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ob\OneDrive - Vanuatu Gov\Documents\Publication_Releases\IVA_Updates\2026\IVA_April_2026\"/>
    </mc:Choice>
  </mc:AlternateContent>
  <xr:revisionPtr revIDLastSave="0" documentId="13_ncr:1_{82B58C6B-5578-40A3-B302-1628B81FB190}" xr6:coauthVersionLast="47" xr6:coauthVersionMax="47" xr10:uidLastSave="{00000000-0000-0000-0000-000000000000}"/>
  <bookViews>
    <workbookView xWindow="20370" yWindow="-120" windowWidth="29040" windowHeight="15720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Charts" sheetId="25" r:id="rId17"/>
    <sheet name="Chart Tab 2" sheetId="51" r:id="rId18"/>
    <sheet name="COU_waterfall " sheetId="47" r:id="rId19"/>
    <sheet name=" COR by LOS chart" sheetId="52" r:id="rId20"/>
    <sheet name="My Age Gat" sheetId="50" r:id="rId21"/>
    <sheet name="Vessel Notification Report  (2)" sheetId="73" r:id="rId22"/>
    <sheet name="POV_Chart" sheetId="35" state="hidden" r:id="rId23"/>
    <sheet name="COU_waterfall" sheetId="26" state="hidden" r:id="rId24"/>
    <sheet name="Annex 1; no. of visitors" sheetId="30" state="hidden" r:id="rId25"/>
    <sheet name="Annex 3" sheetId="37" state="hidden" r:id="rId26"/>
    <sheet name="Annex 2; visitors ALOS" sheetId="31" state="hidden" r:id="rId27"/>
  </sheets>
  <definedNames>
    <definedName name="_xlnm._FilterDatabase" localSheetId="2" hidden="1">'Tab 2.Purpose of visit'!$B$1:$D$310</definedName>
    <definedName name="_xlnm._FilterDatabase" localSheetId="21" hidden="1">'Vessel Notification Report  (2)'!$A$1:$R$359</definedName>
    <definedName name="_xlnm.Print_Area" localSheetId="4">'T4.Resident Arr by nationality'!$A$1:$AA$292</definedName>
    <definedName name="_xlnm.Print_Area" localSheetId="2">'Tab 2.Purpose of visit'!$A$1:$V$290</definedName>
    <definedName name="_xlnm.Print_Area" localSheetId="3">'Tab 3.Count of usual residence'!$A$1:$Z$288</definedName>
    <definedName name="_xlnm.Print_Area" localSheetId="8">'Tab 5.Visitors LOS'!$A$2:$M$165</definedName>
    <definedName name="_xlnm.Print_Area" localSheetId="9">'Tab 6.Visitors AGE'!$A$4:$N$155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Summary'!$A$1:$AG$288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7" l="1"/>
  <c r="G291" i="7"/>
  <c r="I291" i="7"/>
  <c r="K291" i="7"/>
  <c r="M291" i="7"/>
  <c r="O291" i="7"/>
  <c r="Q291" i="7"/>
  <c r="S291" i="7"/>
  <c r="U291" i="7"/>
  <c r="V291" i="7"/>
  <c r="E292" i="7"/>
  <c r="G292" i="7"/>
  <c r="I292" i="7"/>
  <c r="K292" i="7"/>
  <c r="M292" i="7"/>
  <c r="O292" i="7"/>
  <c r="Q292" i="7"/>
  <c r="S292" i="7"/>
  <c r="U292" i="7"/>
  <c r="V292" i="7"/>
  <c r="E293" i="8" l="1"/>
  <c r="G293" i="8"/>
  <c r="I293" i="8"/>
  <c r="K293" i="8"/>
  <c r="M293" i="8"/>
  <c r="N293" i="8"/>
  <c r="E294" i="8"/>
  <c r="G294" i="8"/>
  <c r="I294" i="8"/>
  <c r="K294" i="8"/>
  <c r="M294" i="8"/>
  <c r="N294" i="8"/>
  <c r="E296" i="8"/>
  <c r="G296" i="8"/>
  <c r="I296" i="8"/>
  <c r="K296" i="8"/>
  <c r="M296" i="8"/>
  <c r="N296" i="8"/>
  <c r="E297" i="8"/>
  <c r="G297" i="8"/>
  <c r="I297" i="8"/>
  <c r="K297" i="8"/>
  <c r="M297" i="8"/>
  <c r="N297" i="8"/>
  <c r="E292" i="10"/>
  <c r="G292" i="10"/>
  <c r="H292" i="10"/>
  <c r="I292" i="10"/>
  <c r="J292" i="10"/>
  <c r="K292" i="10"/>
  <c r="M292" i="10"/>
  <c r="O292" i="10"/>
  <c r="Q292" i="10"/>
  <c r="S292" i="10"/>
  <c r="T292" i="10"/>
  <c r="U292" i="10"/>
  <c r="W292" i="10"/>
  <c r="Y292" i="10"/>
  <c r="AA292" i="10"/>
  <c r="AC292" i="10"/>
  <c r="E293" i="10"/>
  <c r="G293" i="10"/>
  <c r="H293" i="10"/>
  <c r="I293" i="10"/>
  <c r="J293" i="10"/>
  <c r="K293" i="10"/>
  <c r="M293" i="10"/>
  <c r="O293" i="10"/>
  <c r="Q293" i="10"/>
  <c r="S293" i="10"/>
  <c r="T293" i="10"/>
  <c r="U293" i="10"/>
  <c r="W293" i="10"/>
  <c r="Y293" i="10"/>
  <c r="AA293" i="10"/>
  <c r="AC293" i="10"/>
  <c r="E294" i="10"/>
  <c r="G294" i="10"/>
  <c r="H294" i="10"/>
  <c r="I294" i="10"/>
  <c r="J294" i="10"/>
  <c r="K294" i="10"/>
  <c r="M294" i="10"/>
  <c r="O294" i="10"/>
  <c r="Q294" i="10"/>
  <c r="S294" i="10"/>
  <c r="T294" i="10"/>
  <c r="U294" i="10"/>
  <c r="W294" i="10"/>
  <c r="Y294" i="10"/>
  <c r="AA294" i="10"/>
  <c r="AC294" i="10"/>
  <c r="E295" i="10"/>
  <c r="G295" i="10"/>
  <c r="H295" i="10"/>
  <c r="I295" i="10"/>
  <c r="J295" i="10"/>
  <c r="K295" i="10"/>
  <c r="M295" i="10"/>
  <c r="O295" i="10"/>
  <c r="Q295" i="10"/>
  <c r="S295" i="10"/>
  <c r="T295" i="10"/>
  <c r="U295" i="10"/>
  <c r="W295" i="10"/>
  <c r="Y295" i="10"/>
  <c r="AA295" i="10"/>
  <c r="AC295" i="10"/>
  <c r="AB292" i="10"/>
  <c r="Z293" i="10"/>
  <c r="F307" i="8"/>
  <c r="J17" i="46"/>
  <c r="H17" i="46"/>
  <c r="F17" i="46"/>
  <c r="D17" i="46"/>
  <c r="B22" i="52"/>
  <c r="B26" i="52"/>
  <c r="B20" i="52"/>
  <c r="B24" i="52"/>
  <c r="Z295" i="10" l="1"/>
  <c r="J302" i="10"/>
  <c r="H302" i="7"/>
  <c r="H306" i="7"/>
  <c r="X302" i="10"/>
  <c r="X300" i="10" s="1"/>
  <c r="F305" i="8"/>
  <c r="H309" i="7"/>
  <c r="F306" i="8"/>
  <c r="H305" i="7"/>
  <c r="F308" i="8"/>
  <c r="F309" i="8"/>
  <c r="H303" i="7"/>
  <c r="D165" i="25"/>
  <c r="H301" i="7"/>
  <c r="H307" i="7"/>
  <c r="R295" i="10"/>
  <c r="AB294" i="10"/>
  <c r="H304" i="7"/>
  <c r="H308" i="7"/>
  <c r="W286" i="7"/>
  <c r="F293" i="7" s="1"/>
  <c r="P293" i="10"/>
  <c r="X287" i="3"/>
  <c r="AD285" i="10"/>
  <c r="U305" i="10" s="1"/>
  <c r="C165" i="25"/>
  <c r="H313" i="10"/>
  <c r="R293" i="10"/>
  <c r="AB293" i="10"/>
  <c r="P295" i="10"/>
  <c r="AB295" i="10"/>
  <c r="Z294" i="10"/>
  <c r="Z292" i="10"/>
  <c r="J299" i="10"/>
  <c r="J300" i="10"/>
  <c r="H312" i="10"/>
  <c r="O287" i="8"/>
  <c r="F295" i="8" s="1"/>
  <c r="D164" i="25"/>
  <c r="F238" i="44"/>
  <c r="H238" i="44"/>
  <c r="F239" i="44"/>
  <c r="G239" i="44"/>
  <c r="H239" i="44"/>
  <c r="E236" i="43"/>
  <c r="G236" i="43"/>
  <c r="E237" i="43"/>
  <c r="F237" i="43"/>
  <c r="G237" i="43"/>
  <c r="P293" i="7" l="1"/>
  <c r="U300" i="10"/>
  <c r="J293" i="7"/>
  <c r="N293" i="7"/>
  <c r="G293" i="7"/>
  <c r="M293" i="7"/>
  <c r="S293" i="7"/>
  <c r="I293" i="7"/>
  <c r="O293" i="7"/>
  <c r="U293" i="7"/>
  <c r="V293" i="7"/>
  <c r="E293" i="7"/>
  <c r="K293" i="7"/>
  <c r="Q293" i="7"/>
  <c r="W293" i="7"/>
  <c r="D293" i="7"/>
  <c r="T293" i="7"/>
  <c r="L293" i="7"/>
  <c r="R293" i="7"/>
  <c r="X299" i="10"/>
  <c r="H293" i="7"/>
  <c r="E295" i="8"/>
  <c r="U301" i="10"/>
  <c r="D295" i="8"/>
  <c r="L295" i="8"/>
  <c r="U307" i="10"/>
  <c r="M295" i="8"/>
  <c r="U306" i="10"/>
  <c r="J295" i="8"/>
  <c r="E165" i="25"/>
  <c r="F165" i="25" s="1"/>
  <c r="G295" i="8"/>
  <c r="O295" i="8"/>
  <c r="H295" i="8"/>
  <c r="N295" i="8"/>
  <c r="I295" i="8"/>
  <c r="K295" i="8"/>
  <c r="G165" i="25" l="1"/>
  <c r="D163" i="25" l="1"/>
  <c r="D162" i="25" l="1"/>
  <c r="B25" i="52" l="1"/>
  <c r="B19" i="52" l="1"/>
  <c r="B23" i="52"/>
  <c r="B21" i="52"/>
  <c r="B27" i="52"/>
  <c r="G30" i="3"/>
  <c r="U30" i="3"/>
  <c r="V30" i="3"/>
  <c r="E29" i="7"/>
  <c r="G29" i="7"/>
  <c r="I29" i="7"/>
  <c r="K29" i="7"/>
  <c r="M29" i="7"/>
  <c r="O29" i="7"/>
  <c r="Q29" i="7"/>
  <c r="S29" i="7"/>
  <c r="U29" i="7"/>
  <c r="V29" i="7"/>
  <c r="E30" i="8"/>
  <c r="M30" i="8"/>
  <c r="N30" i="8"/>
  <c r="E28" i="10"/>
  <c r="I28" i="10"/>
  <c r="K28" i="10"/>
  <c r="M28" i="10"/>
  <c r="O28" i="10"/>
  <c r="Q28" i="10"/>
  <c r="S28" i="10"/>
  <c r="W28" i="10"/>
  <c r="Y28" i="10"/>
  <c r="AA28" i="10"/>
  <c r="AC28" i="10"/>
  <c r="X283" i="3" l="1"/>
  <c r="O283" i="8"/>
  <c r="AD281" i="10"/>
  <c r="W282" i="7"/>
  <c r="C161" i="25"/>
  <c r="D161" i="25"/>
  <c r="D159" i="25"/>
  <c r="I228" i="44"/>
  <c r="AD279" i="10"/>
  <c r="D158" i="25"/>
  <c r="Z28" i="10" l="1"/>
  <c r="C160" i="25"/>
  <c r="E161" i="25"/>
  <c r="F161" i="25" s="1"/>
  <c r="X282" i="3"/>
  <c r="D160" i="25"/>
  <c r="W280" i="7"/>
  <c r="O282" i="8"/>
  <c r="AD280" i="10"/>
  <c r="W281" i="7"/>
  <c r="X281" i="3"/>
  <c r="O281" i="8"/>
  <c r="C159" i="25"/>
  <c r="G161" i="25" l="1"/>
  <c r="E160" i="25"/>
  <c r="G160" i="25" s="1"/>
  <c r="E159" i="25"/>
  <c r="F159" i="25" s="1"/>
  <c r="W279" i="7"/>
  <c r="X280" i="3"/>
  <c r="AD274" i="10"/>
  <c r="D157" i="25"/>
  <c r="G159" i="25" l="1"/>
  <c r="F160" i="25"/>
  <c r="AD278" i="10"/>
  <c r="X279" i="3"/>
  <c r="O280" i="8"/>
  <c r="C158" i="25"/>
  <c r="E158" i="25" s="1"/>
  <c r="AD277" i="10"/>
  <c r="C157" i="25"/>
  <c r="O279" i="8"/>
  <c r="G158" i="25" l="1"/>
  <c r="F158" i="25"/>
  <c r="E157" i="25"/>
  <c r="F157" i="25" s="1"/>
  <c r="G157" i="25" l="1"/>
  <c r="W278" i="7"/>
  <c r="D156" i="25"/>
  <c r="AD276" i="10"/>
  <c r="X278" i="3" l="1"/>
  <c r="C156" i="25"/>
  <c r="E156" i="25" s="1"/>
  <c r="F156" i="25" s="1"/>
  <c r="W277" i="7"/>
  <c r="O278" i="8"/>
  <c r="AD275" i="10" l="1"/>
  <c r="G156" i="25"/>
  <c r="C155" i="25"/>
  <c r="D155" i="25"/>
  <c r="O277" i="8"/>
  <c r="X277" i="3"/>
  <c r="W276" i="7"/>
  <c r="E155" i="25" l="1"/>
  <c r="F155" i="25" s="1"/>
  <c r="C154" i="25"/>
  <c r="D154" i="25"/>
  <c r="I223" i="44"/>
  <c r="X276" i="3"/>
  <c r="W275" i="7"/>
  <c r="L276" i="8"/>
  <c r="H276" i="8"/>
  <c r="O276" i="8" l="1"/>
  <c r="E154" i="25"/>
  <c r="F154" i="25" s="1"/>
  <c r="G155" i="25"/>
  <c r="D153" i="25"/>
  <c r="D152" i="25"/>
  <c r="AB28" i="10" l="1"/>
  <c r="G154" i="25"/>
  <c r="G238" i="44" l="1"/>
  <c r="E13" i="52" l="1"/>
  <c r="D151" i="25" l="1"/>
  <c r="D150" i="25" l="1"/>
  <c r="G29" i="3" l="1"/>
  <c r="U29" i="3"/>
  <c r="V29" i="3"/>
  <c r="E29" i="8"/>
  <c r="M29" i="8"/>
  <c r="N29" i="8"/>
  <c r="E28" i="7"/>
  <c r="G28" i="7"/>
  <c r="I28" i="7"/>
  <c r="K28" i="7"/>
  <c r="M28" i="7"/>
  <c r="O28" i="7"/>
  <c r="Q28" i="7"/>
  <c r="S28" i="7"/>
  <c r="U28" i="7"/>
  <c r="V28" i="7"/>
  <c r="E27" i="10"/>
  <c r="I27" i="10"/>
  <c r="K27" i="10"/>
  <c r="M27" i="10"/>
  <c r="O27" i="10"/>
  <c r="Q27" i="10"/>
  <c r="S27" i="10"/>
  <c r="W27" i="10"/>
  <c r="Y27" i="10"/>
  <c r="D148" i="25"/>
  <c r="D149" i="25"/>
  <c r="AD269" i="10" l="1"/>
  <c r="AD268" i="10"/>
  <c r="X271" i="3"/>
  <c r="C148" i="25"/>
  <c r="C149" i="25"/>
  <c r="W270" i="7"/>
  <c r="O271" i="8"/>
  <c r="W269" i="7"/>
  <c r="O270" i="8"/>
  <c r="C38" i="47"/>
  <c r="C23" i="47" s="1"/>
  <c r="D7" i="50"/>
  <c r="E4" i="50" s="1"/>
  <c r="B7" i="50"/>
  <c r="C4" i="50" s="1"/>
  <c r="E149" i="25" l="1"/>
  <c r="F149" i="25" s="1"/>
  <c r="E148" i="25"/>
  <c r="F148" i="25" s="1"/>
  <c r="E3" i="50"/>
  <c r="C3" i="50"/>
  <c r="E6" i="50"/>
  <c r="C6" i="50"/>
  <c r="E5" i="50"/>
  <c r="C5" i="50"/>
  <c r="G148" i="25" l="1"/>
  <c r="G149" i="25"/>
  <c r="D147" i="25" l="1"/>
  <c r="D146" i="25" l="1"/>
  <c r="X268" i="3" l="1"/>
  <c r="W267" i="7"/>
  <c r="O268" i="8" l="1"/>
  <c r="AD266" i="10" l="1"/>
  <c r="C146" i="25"/>
  <c r="E146" i="25" s="1"/>
  <c r="F146" i="25" s="1"/>
  <c r="B42" i="47"/>
  <c r="F10" i="3"/>
  <c r="H10" i="3"/>
  <c r="J10" i="3"/>
  <c r="L10" i="3"/>
  <c r="N10" i="3"/>
  <c r="P10" i="3"/>
  <c r="R10" i="3"/>
  <c r="T10" i="3"/>
  <c r="U10" i="3"/>
  <c r="V10" i="3"/>
  <c r="F11" i="3"/>
  <c r="H11" i="3"/>
  <c r="J11" i="3"/>
  <c r="L11" i="3"/>
  <c r="N11" i="3"/>
  <c r="P11" i="3"/>
  <c r="R11" i="3"/>
  <c r="T11" i="3"/>
  <c r="U11" i="3"/>
  <c r="V11" i="3"/>
  <c r="U12" i="3"/>
  <c r="V12" i="3"/>
  <c r="D11" i="3"/>
  <c r="D10" i="3"/>
  <c r="R12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E11" i="7"/>
  <c r="G11" i="7"/>
  <c r="I11" i="7"/>
  <c r="K11" i="7"/>
  <c r="M11" i="7"/>
  <c r="O11" i="7"/>
  <c r="Q11" i="7"/>
  <c r="R11" i="7"/>
  <c r="S11" i="7"/>
  <c r="U11" i="7"/>
  <c r="V11" i="7"/>
  <c r="D10" i="7"/>
  <c r="D9" i="7"/>
  <c r="E10" i="8"/>
  <c r="F10" i="8"/>
  <c r="G10" i="8"/>
  <c r="H10" i="8"/>
  <c r="I10" i="8"/>
  <c r="J10" i="8"/>
  <c r="K10" i="8"/>
  <c r="L10" i="8"/>
  <c r="M10" i="8"/>
  <c r="N10" i="8"/>
  <c r="E11" i="8"/>
  <c r="F11" i="8"/>
  <c r="G11" i="8"/>
  <c r="H11" i="8"/>
  <c r="I11" i="8"/>
  <c r="J11" i="8"/>
  <c r="K11" i="8"/>
  <c r="L11" i="8"/>
  <c r="M11" i="8"/>
  <c r="N11" i="8"/>
  <c r="E12" i="8"/>
  <c r="G12" i="8"/>
  <c r="I12" i="8"/>
  <c r="K12" i="8"/>
  <c r="M12" i="8"/>
  <c r="N12" i="8"/>
  <c r="D11" i="8"/>
  <c r="D10" i="8"/>
  <c r="C41" i="47"/>
  <c r="C26" i="47" s="1"/>
  <c r="G146" i="25" l="1"/>
  <c r="D145" i="25"/>
  <c r="X267" i="3"/>
  <c r="W266" i="7"/>
  <c r="O267" i="8"/>
  <c r="C34" i="47"/>
  <c r="C35" i="47"/>
  <c r="C20" i="47" s="1"/>
  <c r="AD264" i="10" l="1"/>
  <c r="C144" i="25"/>
  <c r="O266" i="8"/>
  <c r="X266" i="3"/>
  <c r="D144" i="25"/>
  <c r="W265" i="7"/>
  <c r="D143" i="25"/>
  <c r="E144" i="25" l="1"/>
  <c r="F144" i="25" s="1"/>
  <c r="AD262" i="10" l="1"/>
  <c r="G144" i="25"/>
  <c r="O264" i="8"/>
  <c r="W263" i="7"/>
  <c r="D142" i="25"/>
  <c r="C142" i="25"/>
  <c r="AD261" i="10" l="1"/>
  <c r="E142" i="25"/>
  <c r="G142" i="25" s="1"/>
  <c r="O263" i="8"/>
  <c r="X263" i="3"/>
  <c r="C141" i="25"/>
  <c r="W262" i="7"/>
  <c r="D141" i="25"/>
  <c r="F142" i="25" l="1"/>
  <c r="E141" i="25"/>
  <c r="G141" i="25" s="1"/>
  <c r="F141" i="25" l="1"/>
  <c r="M83" i="31" l="1"/>
  <c r="K83" i="31"/>
  <c r="I83" i="31"/>
  <c r="G83" i="31"/>
  <c r="E83" i="31"/>
  <c r="M82" i="31"/>
  <c r="K82" i="31"/>
  <c r="I82" i="31"/>
  <c r="G82" i="31"/>
  <c r="E82" i="31"/>
  <c r="L83" i="31"/>
  <c r="J83" i="31"/>
  <c r="F83" i="31"/>
  <c r="C83" i="31"/>
  <c r="F76" i="31"/>
  <c r="L82" i="31"/>
  <c r="J82" i="31"/>
  <c r="F82" i="31"/>
  <c r="C82" i="31"/>
  <c r="D61" i="31"/>
  <c r="C61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I68" i="30"/>
  <c r="I67" i="30"/>
  <c r="I61" i="30"/>
  <c r="I42" i="30"/>
  <c r="I37" i="30"/>
  <c r="I36" i="30"/>
  <c r="K36" i="30" s="1"/>
  <c r="I34" i="30"/>
  <c r="I33" i="30"/>
  <c r="I32" i="30"/>
  <c r="I31" i="30"/>
  <c r="I29" i="30"/>
  <c r="I28" i="30"/>
  <c r="I25" i="30"/>
  <c r="I14" i="30"/>
  <c r="I13" i="30"/>
  <c r="I12" i="30"/>
  <c r="I11" i="30"/>
  <c r="I10" i="30"/>
  <c r="I9" i="30"/>
  <c r="I8" i="30"/>
  <c r="I7" i="30"/>
  <c r="I6" i="30"/>
  <c r="I5" i="30"/>
  <c r="D41" i="47"/>
  <c r="D40" i="47"/>
  <c r="C40" i="47"/>
  <c r="C25" i="47" s="1"/>
  <c r="D39" i="47"/>
  <c r="C39" i="47"/>
  <c r="C24" i="47" s="1"/>
  <c r="D38" i="47"/>
  <c r="D37" i="47"/>
  <c r="C37" i="47"/>
  <c r="C22" i="47" s="1"/>
  <c r="D36" i="47"/>
  <c r="C36" i="47"/>
  <c r="C21" i="47" s="1"/>
  <c r="D35" i="47"/>
  <c r="D34" i="47"/>
  <c r="C19" i="47"/>
  <c r="D33" i="47"/>
  <c r="C33" i="47"/>
  <c r="C18" i="47" s="1"/>
  <c r="D19" i="51"/>
  <c r="D139" i="25"/>
  <c r="D137" i="25"/>
  <c r="D136" i="25"/>
  <c r="D133" i="25"/>
  <c r="D131" i="25"/>
  <c r="D130" i="25"/>
  <c r="D129" i="25"/>
  <c r="C124" i="25"/>
  <c r="D122" i="25"/>
  <c r="D121" i="25"/>
  <c r="D120" i="25"/>
  <c r="C120" i="25"/>
  <c r="C93" i="25"/>
  <c r="D57" i="25"/>
  <c r="D51" i="25"/>
  <c r="D49" i="25"/>
  <c r="D22" i="25"/>
  <c r="E15" i="25"/>
  <c r="F15" i="25" s="1"/>
  <c r="E13" i="25"/>
  <c r="F13" i="25" s="1"/>
  <c r="E10" i="25"/>
  <c r="F10" i="25" s="1"/>
  <c r="L16" i="46"/>
  <c r="K16" i="46" s="1"/>
  <c r="L15" i="46"/>
  <c r="G15" i="46" s="1"/>
  <c r="L14" i="46"/>
  <c r="K14" i="46" s="1"/>
  <c r="L13" i="46"/>
  <c r="K13" i="46" s="1"/>
  <c r="L12" i="46"/>
  <c r="K12" i="46" s="1"/>
  <c r="L11" i="46"/>
  <c r="K11" i="46" s="1"/>
  <c r="L10" i="46"/>
  <c r="I10" i="46" s="1"/>
  <c r="L9" i="46"/>
  <c r="G9" i="46" s="1"/>
  <c r="L8" i="46"/>
  <c r="E8" i="46" s="1"/>
  <c r="K235" i="44"/>
  <c r="I240" i="44"/>
  <c r="G20" i="44"/>
  <c r="N119" i="44"/>
  <c r="N118" i="44"/>
  <c r="N130" i="44" s="1"/>
  <c r="N142" i="44" s="1"/>
  <c r="I31" i="44"/>
  <c r="I30" i="44"/>
  <c r="I29" i="44"/>
  <c r="I28" i="44"/>
  <c r="I27" i="44"/>
  <c r="H238" i="43"/>
  <c r="H20" i="43"/>
  <c r="D20" i="43"/>
  <c r="F18" i="43"/>
  <c r="M140" i="43"/>
  <c r="M117" i="43"/>
  <c r="M116" i="43"/>
  <c r="H30" i="43"/>
  <c r="J30" i="43" s="1"/>
  <c r="H29" i="43"/>
  <c r="H28" i="43"/>
  <c r="H27" i="43"/>
  <c r="H26" i="43"/>
  <c r="H25" i="43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P97" i="32"/>
  <c r="N97" i="32"/>
  <c r="L97" i="32"/>
  <c r="J97" i="32"/>
  <c r="H97" i="32"/>
  <c r="F97" i="32"/>
  <c r="D97" i="32"/>
  <c r="D69" i="32"/>
  <c r="R69" i="32" s="1"/>
  <c r="U64" i="32"/>
  <c r="R30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N101" i="21"/>
  <c r="N100" i="21"/>
  <c r="N112" i="21" s="1"/>
  <c r="N124" i="21" s="1"/>
  <c r="I13" i="21"/>
  <c r="I12" i="21"/>
  <c r="I11" i="21"/>
  <c r="I10" i="21"/>
  <c r="I9" i="21"/>
  <c r="M134" i="24"/>
  <c r="M111" i="24"/>
  <c r="M110" i="24"/>
  <c r="H23" i="24"/>
  <c r="H22" i="24"/>
  <c r="H21" i="24"/>
  <c r="H20" i="24"/>
  <c r="H19" i="24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X247" i="3"/>
  <c r="X246" i="3"/>
  <c r="X245" i="3"/>
  <c r="X242" i="3"/>
  <c r="AA195" i="3"/>
  <c r="AA177" i="3"/>
  <c r="X104" i="3"/>
  <c r="V28" i="3"/>
  <c r="U28" i="3"/>
  <c r="V27" i="3"/>
  <c r="U27" i="3"/>
  <c r="V26" i="3"/>
  <c r="U26" i="3"/>
  <c r="V25" i="3"/>
  <c r="U25" i="3"/>
  <c r="V24" i="3"/>
  <c r="U24" i="3"/>
  <c r="G24" i="3"/>
  <c r="V23" i="3"/>
  <c r="U23" i="3"/>
  <c r="G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W246" i="7"/>
  <c r="W244" i="7"/>
  <c r="V26" i="7"/>
  <c r="W241" i="7"/>
  <c r="B41" i="26"/>
  <c r="B38" i="26"/>
  <c r="B37" i="26"/>
  <c r="Z194" i="7"/>
  <c r="Z177" i="7"/>
  <c r="T159" i="7"/>
  <c r="T158" i="7"/>
  <c r="T157" i="7"/>
  <c r="T156" i="7"/>
  <c r="T155" i="7"/>
  <c r="W104" i="7"/>
  <c r="W103" i="7"/>
  <c r="V27" i="7"/>
  <c r="U27" i="7"/>
  <c r="S27" i="7"/>
  <c r="Q27" i="7"/>
  <c r="O27" i="7"/>
  <c r="M27" i="7"/>
  <c r="K27" i="7"/>
  <c r="I27" i="7"/>
  <c r="G27" i="7"/>
  <c r="E27" i="7"/>
  <c r="U26" i="7"/>
  <c r="S26" i="7"/>
  <c r="Q26" i="7"/>
  <c r="O26" i="7"/>
  <c r="M26" i="7"/>
  <c r="K26" i="7"/>
  <c r="I26" i="7"/>
  <c r="G26" i="7"/>
  <c r="E26" i="7"/>
  <c r="V25" i="7"/>
  <c r="V24" i="7"/>
  <c r="Q24" i="7"/>
  <c r="O24" i="7"/>
  <c r="M24" i="7"/>
  <c r="K24" i="7"/>
  <c r="G24" i="7"/>
  <c r="E24" i="7"/>
  <c r="V23" i="7"/>
  <c r="Q23" i="7"/>
  <c r="O23" i="7"/>
  <c r="M23" i="7"/>
  <c r="K23" i="7"/>
  <c r="G23" i="7"/>
  <c r="E23" i="7"/>
  <c r="Q22" i="7"/>
  <c r="O22" i="7"/>
  <c r="M22" i="7"/>
  <c r="K22" i="7"/>
  <c r="G22" i="7"/>
  <c r="E22" i="7"/>
  <c r="U18" i="7"/>
  <c r="Q18" i="7"/>
  <c r="M18" i="7"/>
  <c r="U17" i="7"/>
  <c r="U16" i="7"/>
  <c r="U15" i="7"/>
  <c r="U14" i="7"/>
  <c r="U13" i="7"/>
  <c r="U12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O245" i="8"/>
  <c r="O242" i="8"/>
  <c r="D15" i="35"/>
  <c r="F15" i="35"/>
  <c r="E15" i="35"/>
  <c r="C15" i="35"/>
  <c r="B15" i="35"/>
  <c r="D14" i="35"/>
  <c r="F14" i="35"/>
  <c r="E14" i="35"/>
  <c r="C14" i="35"/>
  <c r="B14" i="35"/>
  <c r="D13" i="35"/>
  <c r="F13" i="35"/>
  <c r="E13" i="35"/>
  <c r="C13" i="35"/>
  <c r="B13" i="35"/>
  <c r="D12" i="35"/>
  <c r="F12" i="35"/>
  <c r="E12" i="35"/>
  <c r="C12" i="35"/>
  <c r="B12" i="35"/>
  <c r="D11" i="35"/>
  <c r="F11" i="35"/>
  <c r="E11" i="35"/>
  <c r="C11" i="35"/>
  <c r="B11" i="35"/>
  <c r="B10" i="35"/>
  <c r="E9" i="35"/>
  <c r="B9" i="35"/>
  <c r="D8" i="35"/>
  <c r="F8" i="35"/>
  <c r="E8" i="35"/>
  <c r="C8" i="35"/>
  <c r="B8" i="35"/>
  <c r="D7" i="35"/>
  <c r="F7" i="35"/>
  <c r="E7" i="35"/>
  <c r="C7" i="35"/>
  <c r="B7" i="35"/>
  <c r="D6" i="35"/>
  <c r="F6" i="35"/>
  <c r="E6" i="35"/>
  <c r="C6" i="35"/>
  <c r="B6" i="35"/>
  <c r="D5" i="35"/>
  <c r="F5" i="35"/>
  <c r="E5" i="35"/>
  <c r="C5" i="35"/>
  <c r="B5" i="35"/>
  <c r="D4" i="35"/>
  <c r="F4" i="35"/>
  <c r="E4" i="35"/>
  <c r="C4" i="35"/>
  <c r="B4" i="35"/>
  <c r="V195" i="8"/>
  <c r="V181" i="8"/>
  <c r="V177" i="8"/>
  <c r="N17" i="8"/>
  <c r="O105" i="8"/>
  <c r="O104" i="8"/>
  <c r="N28" i="8"/>
  <c r="M28" i="8"/>
  <c r="E28" i="8"/>
  <c r="N27" i="8"/>
  <c r="M27" i="8"/>
  <c r="N26" i="8"/>
  <c r="M26" i="8"/>
  <c r="N25" i="8"/>
  <c r="M25" i="8"/>
  <c r="E25" i="8"/>
  <c r="N24" i="8"/>
  <c r="M24" i="8"/>
  <c r="E24" i="8"/>
  <c r="N23" i="8"/>
  <c r="M23" i="8"/>
  <c r="N22" i="8"/>
  <c r="M22" i="8"/>
  <c r="N21" i="8"/>
  <c r="M21" i="8"/>
  <c r="N20" i="8"/>
  <c r="M20" i="8"/>
  <c r="N19" i="8"/>
  <c r="M19" i="8"/>
  <c r="N18" i="8"/>
  <c r="M18" i="8"/>
  <c r="M17" i="8"/>
  <c r="N16" i="8"/>
  <c r="M16" i="8"/>
  <c r="N15" i="8"/>
  <c r="M15" i="8"/>
  <c r="N14" i="8"/>
  <c r="M14" i="8"/>
  <c r="L13" i="8"/>
  <c r="L12" i="8"/>
  <c r="Q58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D128" i="25"/>
  <c r="C128" i="25"/>
  <c r="D127" i="25"/>
  <c r="D126" i="25"/>
  <c r="C126" i="25"/>
  <c r="D125" i="25"/>
  <c r="C125" i="25"/>
  <c r="AB244" i="10"/>
  <c r="D124" i="25" s="1"/>
  <c r="D123" i="25"/>
  <c r="C123" i="25"/>
  <c r="C121" i="25"/>
  <c r="D119" i="25"/>
  <c r="C119" i="25"/>
  <c r="D118" i="25"/>
  <c r="C118" i="25"/>
  <c r="D117" i="25"/>
  <c r="D116" i="25"/>
  <c r="C116" i="25"/>
  <c r="D115" i="25"/>
  <c r="C115" i="25"/>
  <c r="D114" i="25"/>
  <c r="D113" i="25"/>
  <c r="C113" i="25"/>
  <c r="D112" i="25"/>
  <c r="C112" i="25"/>
  <c r="D111" i="25"/>
  <c r="D110" i="25"/>
  <c r="D109" i="25"/>
  <c r="C109" i="25"/>
  <c r="D108" i="25"/>
  <c r="D107" i="25"/>
  <c r="D106" i="25"/>
  <c r="C106" i="25"/>
  <c r="C105" i="25"/>
  <c r="D104" i="25"/>
  <c r="C103" i="25"/>
  <c r="D102" i="25"/>
  <c r="C102" i="25"/>
  <c r="D101" i="25"/>
  <c r="C101" i="25"/>
  <c r="C100" i="25"/>
  <c r="D99" i="25"/>
  <c r="C99" i="25"/>
  <c r="D98" i="25"/>
  <c r="C98" i="25"/>
  <c r="C97" i="25"/>
  <c r="D96" i="25"/>
  <c r="D95" i="25"/>
  <c r="J76" i="30"/>
  <c r="D92" i="25"/>
  <c r="J75" i="30"/>
  <c r="C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X198" i="10"/>
  <c r="V198" i="10"/>
  <c r="D77" i="25"/>
  <c r="D75" i="25"/>
  <c r="D74" i="25"/>
  <c r="AG193" i="10"/>
  <c r="D73" i="25"/>
  <c r="D71" i="25"/>
  <c r="D70" i="25"/>
  <c r="D68" i="25"/>
  <c r="D67" i="25"/>
  <c r="D66" i="25"/>
  <c r="D65" i="25"/>
  <c r="D64" i="25"/>
  <c r="D62" i="25"/>
  <c r="D61" i="25"/>
  <c r="D59" i="25"/>
  <c r="D58" i="25"/>
  <c r="AG176" i="10"/>
  <c r="D56" i="25"/>
  <c r="AG175" i="10"/>
  <c r="AG163" i="10" s="1"/>
  <c r="D55" i="25"/>
  <c r="C175" i="10"/>
  <c r="D54" i="25"/>
  <c r="D53" i="25"/>
  <c r="D50" i="25"/>
  <c r="X170" i="10"/>
  <c r="V170" i="10"/>
  <c r="X169" i="10"/>
  <c r="V169" i="10"/>
  <c r="D48" i="25"/>
  <c r="D46" i="25"/>
  <c r="D45" i="25"/>
  <c r="D43" i="25"/>
  <c r="D42" i="25"/>
  <c r="D41" i="25"/>
  <c r="D40" i="25"/>
  <c r="D37" i="25"/>
  <c r="D35" i="25"/>
  <c r="D34" i="25"/>
  <c r="D33" i="25"/>
  <c r="D32" i="25"/>
  <c r="D30" i="25"/>
  <c r="D29" i="25"/>
  <c r="D28" i="25"/>
  <c r="D27" i="25"/>
  <c r="D26" i="25"/>
  <c r="D25" i="25"/>
  <c r="D24" i="25"/>
  <c r="D23" i="25"/>
  <c r="D21" i="25"/>
  <c r="D11" i="25"/>
  <c r="X106" i="10"/>
  <c r="X104" i="10"/>
  <c r="V104" i="10"/>
  <c r="X103" i="10"/>
  <c r="V103" i="10"/>
  <c r="X102" i="10"/>
  <c r="V102" i="10"/>
  <c r="N102" i="10"/>
  <c r="L102" i="10"/>
  <c r="X90" i="10"/>
  <c r="V90" i="10"/>
  <c r="AD86" i="10"/>
  <c r="X83" i="10"/>
  <c r="V83" i="10"/>
  <c r="N83" i="10"/>
  <c r="AD83" i="10" s="1"/>
  <c r="X82" i="10"/>
  <c r="V82" i="10"/>
  <c r="X81" i="10"/>
  <c r="V81" i="10"/>
  <c r="X80" i="10"/>
  <c r="V80" i="10"/>
  <c r="X79" i="10"/>
  <c r="V79" i="10"/>
  <c r="X78" i="10"/>
  <c r="V78" i="10"/>
  <c r="Y26" i="10"/>
  <c r="W26" i="10"/>
  <c r="S26" i="10"/>
  <c r="Q26" i="10"/>
  <c r="O26" i="10"/>
  <c r="M26" i="10"/>
  <c r="K26" i="10"/>
  <c r="I26" i="10"/>
  <c r="E26" i="10"/>
  <c r="Y25" i="10"/>
  <c r="W25" i="10"/>
  <c r="S25" i="10"/>
  <c r="Q25" i="10"/>
  <c r="O25" i="10"/>
  <c r="M25" i="10"/>
  <c r="K25" i="10"/>
  <c r="I25" i="10"/>
  <c r="E25" i="10"/>
  <c r="Y24" i="10"/>
  <c r="S24" i="10"/>
  <c r="Q24" i="10"/>
  <c r="K24" i="10"/>
  <c r="I24" i="10"/>
  <c r="E24" i="10"/>
  <c r="Y23" i="10"/>
  <c r="W23" i="10"/>
  <c r="S23" i="10"/>
  <c r="Q23" i="10"/>
  <c r="O23" i="10"/>
  <c r="M23" i="10"/>
  <c r="K23" i="10"/>
  <c r="I23" i="10"/>
  <c r="E23" i="10"/>
  <c r="Y22" i="10"/>
  <c r="W22" i="10"/>
  <c r="S22" i="10"/>
  <c r="Q22" i="10"/>
  <c r="O22" i="10"/>
  <c r="M22" i="10"/>
  <c r="K22" i="10"/>
  <c r="I22" i="10"/>
  <c r="E22" i="10"/>
  <c r="Y21" i="10"/>
  <c r="K21" i="10"/>
  <c r="Y20" i="10"/>
  <c r="W20" i="10"/>
  <c r="S20" i="10"/>
  <c r="Q20" i="10"/>
  <c r="K20" i="10"/>
  <c r="W19" i="10"/>
  <c r="S19" i="10"/>
  <c r="Q19" i="10"/>
  <c r="K19" i="10"/>
  <c r="Y18" i="10"/>
  <c r="W18" i="10"/>
  <c r="S18" i="10"/>
  <c r="Q18" i="10"/>
  <c r="O18" i="10"/>
  <c r="K18" i="10"/>
  <c r="W17" i="10"/>
  <c r="Q17" i="10"/>
  <c r="K17" i="10"/>
  <c r="W16" i="10"/>
  <c r="Y12" i="10"/>
  <c r="W12" i="10"/>
  <c r="S12" i="10"/>
  <c r="Q12" i="10"/>
  <c r="O12" i="10"/>
  <c r="M12" i="10"/>
  <c r="K12" i="10"/>
  <c r="I12" i="10"/>
  <c r="X77" i="10"/>
  <c r="V77" i="10"/>
  <c r="X76" i="10"/>
  <c r="V76" i="10"/>
  <c r="AB11" i="10"/>
  <c r="U11" i="10"/>
  <c r="P11" i="10"/>
  <c r="X73" i="10"/>
  <c r="V73" i="10"/>
  <c r="N73" i="10"/>
  <c r="L73" i="10"/>
  <c r="X72" i="10"/>
  <c r="V72" i="10"/>
  <c r="X71" i="10"/>
  <c r="V71" i="10"/>
  <c r="N71" i="10"/>
  <c r="L71" i="10"/>
  <c r="X70" i="10"/>
  <c r="V70" i="10"/>
  <c r="N70" i="10"/>
  <c r="L70" i="10"/>
  <c r="X69" i="10"/>
  <c r="V69" i="10"/>
  <c r="N69" i="10"/>
  <c r="L69" i="10"/>
  <c r="X68" i="10"/>
  <c r="V68" i="10"/>
  <c r="N68" i="10"/>
  <c r="L68" i="10"/>
  <c r="X67" i="10"/>
  <c r="V67" i="10"/>
  <c r="N67" i="10"/>
  <c r="L67" i="10"/>
  <c r="X66" i="10"/>
  <c r="V66" i="10"/>
  <c r="X65" i="10"/>
  <c r="V65" i="10"/>
  <c r="N65" i="10"/>
  <c r="L65" i="10"/>
  <c r="X64" i="10"/>
  <c r="V64" i="10"/>
  <c r="N64" i="10"/>
  <c r="L64" i="10"/>
  <c r="AB10" i="10"/>
  <c r="U10" i="10"/>
  <c r="T10" i="10"/>
  <c r="R10" i="10"/>
  <c r="P10" i="10"/>
  <c r="X61" i="10"/>
  <c r="V61" i="10"/>
  <c r="X60" i="10"/>
  <c r="V60" i="10"/>
  <c r="X59" i="10"/>
  <c r="V59" i="10"/>
  <c r="X58" i="10"/>
  <c r="V58" i="10"/>
  <c r="X57" i="10"/>
  <c r="V57" i="10"/>
  <c r="N54" i="10"/>
  <c r="L54" i="10"/>
  <c r="N53" i="10"/>
  <c r="L53" i="10"/>
  <c r="N52" i="10"/>
  <c r="L52" i="10"/>
  <c r="X51" i="10"/>
  <c r="V51" i="10"/>
  <c r="N51" i="10"/>
  <c r="L51" i="10"/>
  <c r="X50" i="10"/>
  <c r="V50" i="10"/>
  <c r="N50" i="10"/>
  <c r="L50" i="10"/>
  <c r="X49" i="10"/>
  <c r="V49" i="10"/>
  <c r="N49" i="10"/>
  <c r="L49" i="10"/>
  <c r="X48" i="10"/>
  <c r="V48" i="10"/>
  <c r="N48" i="10"/>
  <c r="L48" i="10"/>
  <c r="X47" i="10"/>
  <c r="V47" i="10"/>
  <c r="N47" i="10"/>
  <c r="L47" i="10"/>
  <c r="X46" i="10"/>
  <c r="V46" i="10"/>
  <c r="N46" i="10"/>
  <c r="L46" i="10"/>
  <c r="AB9" i="10"/>
  <c r="X45" i="10"/>
  <c r="V45" i="10"/>
  <c r="N45" i="10"/>
  <c r="L45" i="10"/>
  <c r="X44" i="10"/>
  <c r="V44" i="10"/>
  <c r="N44" i="10"/>
  <c r="L44" i="10"/>
  <c r="X43" i="10"/>
  <c r="V43" i="10"/>
  <c r="N43" i="10"/>
  <c r="L43" i="10"/>
  <c r="X42" i="10"/>
  <c r="V42" i="10"/>
  <c r="N42" i="10"/>
  <c r="L42" i="10"/>
  <c r="X41" i="10"/>
  <c r="V41" i="10"/>
  <c r="N41" i="10"/>
  <c r="L41" i="10"/>
  <c r="X40" i="10"/>
  <c r="V40" i="10"/>
  <c r="N40" i="10"/>
  <c r="L40" i="10"/>
  <c r="X39" i="10"/>
  <c r="V39" i="10"/>
  <c r="N39" i="10"/>
  <c r="L39" i="10"/>
  <c r="X38" i="10"/>
  <c r="V38" i="10"/>
  <c r="N38" i="10"/>
  <c r="L38" i="10"/>
  <c r="X37" i="10"/>
  <c r="V37" i="10"/>
  <c r="N37" i="10"/>
  <c r="L37" i="10"/>
  <c r="X36" i="10"/>
  <c r="V36" i="10"/>
  <c r="N36" i="10"/>
  <c r="L36" i="10"/>
  <c r="X35" i="10"/>
  <c r="V35" i="10"/>
  <c r="N35" i="10"/>
  <c r="L35" i="10"/>
  <c r="X34" i="10"/>
  <c r="V34" i="10"/>
  <c r="N34" i="10"/>
  <c r="L34" i="10"/>
  <c r="X33" i="10"/>
  <c r="V33" i="10"/>
  <c r="N33" i="10"/>
  <c r="L33" i="10"/>
  <c r="X32" i="10"/>
  <c r="V32" i="10"/>
  <c r="N32" i="10"/>
  <c r="L32" i="10"/>
  <c r="X31" i="10"/>
  <c r="V31" i="10"/>
  <c r="N31" i="10"/>
  <c r="L31" i="10"/>
  <c r="X30" i="10"/>
  <c r="V30" i="10"/>
  <c r="N30" i="10"/>
  <c r="L30" i="10"/>
  <c r="Y10" i="10"/>
  <c r="W10" i="10"/>
  <c r="S10" i="10"/>
  <c r="Q10" i="10"/>
  <c r="M10" i="10"/>
  <c r="K10" i="10"/>
  <c r="I10" i="10"/>
  <c r="Y9" i="10"/>
  <c r="W9" i="10"/>
  <c r="S9" i="10"/>
  <c r="R9" i="10"/>
  <c r="Q9" i="10"/>
  <c r="P9" i="10"/>
  <c r="M9" i="10"/>
  <c r="K9" i="10"/>
  <c r="J9" i="10"/>
  <c r="I9" i="10"/>
  <c r="H9" i="10"/>
  <c r="F9" i="10"/>
  <c r="D9" i="10"/>
  <c r="AB8" i="10"/>
  <c r="W8" i="10"/>
  <c r="S8" i="10"/>
  <c r="R8" i="10"/>
  <c r="Q8" i="10"/>
  <c r="P8" i="10"/>
  <c r="M8" i="10"/>
  <c r="K8" i="10"/>
  <c r="I8" i="10"/>
  <c r="F8" i="10"/>
  <c r="D8" i="1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F25" i="22" l="1"/>
  <c r="G25" i="22" s="1"/>
  <c r="G15" i="25"/>
  <c r="K19" i="4"/>
  <c r="AD257" i="10"/>
  <c r="AD253" i="10"/>
  <c r="AD260" i="10"/>
  <c r="F16" i="22"/>
  <c r="G16" i="22" s="1"/>
  <c r="AD254" i="10"/>
  <c r="AD255" i="10"/>
  <c r="J13" i="4"/>
  <c r="I18" i="4"/>
  <c r="G27" i="20"/>
  <c r="I27" i="20" s="1"/>
  <c r="F19" i="22"/>
  <c r="G19" i="22" s="1"/>
  <c r="F23" i="22"/>
  <c r="G23" i="22" s="1"/>
  <c r="F27" i="22"/>
  <c r="G27" i="22" s="1"/>
  <c r="C133" i="25"/>
  <c r="E133" i="25" s="1"/>
  <c r="F133" i="25" s="1"/>
  <c r="AD256" i="10"/>
  <c r="AD258" i="10"/>
  <c r="C139" i="25"/>
  <c r="E139" i="25" s="1"/>
  <c r="F139" i="25" s="1"/>
  <c r="AD259" i="10"/>
  <c r="M34" i="4"/>
  <c r="M38" i="4"/>
  <c r="M44" i="4"/>
  <c r="F29" i="23"/>
  <c r="G29" i="23" s="1"/>
  <c r="L13" i="4"/>
  <c r="E13" i="4"/>
  <c r="M45" i="4"/>
  <c r="E22" i="44"/>
  <c r="G24" i="20"/>
  <c r="I24" i="20" s="1"/>
  <c r="G13" i="4"/>
  <c r="E21" i="4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D18" i="43"/>
  <c r="I22" i="44"/>
  <c r="E20" i="44"/>
  <c r="G22" i="44"/>
  <c r="E19" i="44"/>
  <c r="E12" i="25"/>
  <c r="G12" i="25" s="1"/>
  <c r="E23" i="44"/>
  <c r="H18" i="43"/>
  <c r="F21" i="43"/>
  <c r="I20" i="44"/>
  <c r="D19" i="43"/>
  <c r="G23" i="44"/>
  <c r="I23" i="44"/>
  <c r="C138" i="25"/>
  <c r="D138" i="25"/>
  <c r="AB27" i="10"/>
  <c r="D26" i="10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E18" i="25"/>
  <c r="F18" i="25" s="1"/>
  <c r="C136" i="25"/>
  <c r="E136" i="25" s="1"/>
  <c r="F136" i="25" s="1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E92" i="25"/>
  <c r="G92" i="25" s="1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L11" i="7"/>
  <c r="H25" i="24"/>
  <c r="J25" i="24" s="1"/>
  <c r="C135" i="25"/>
  <c r="D135" i="25"/>
  <c r="F12" i="3"/>
  <c r="R12" i="3"/>
  <c r="D134" i="25"/>
  <c r="J12" i="3"/>
  <c r="L12" i="3"/>
  <c r="F17" i="3"/>
  <c r="H18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L17" i="46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E20" i="25"/>
  <c r="F20" i="25" s="1"/>
  <c r="D12" i="32"/>
  <c r="D12" i="3"/>
  <c r="P12" i="3"/>
  <c r="I68" i="21"/>
  <c r="I74" i="21"/>
  <c r="I96" i="21"/>
  <c r="I99" i="21"/>
  <c r="I107" i="21"/>
  <c r="I135" i="21"/>
  <c r="H12" i="3"/>
  <c r="T12" i="3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N12" i="3"/>
  <c r="H11" i="7"/>
  <c r="N11" i="7"/>
  <c r="D11" i="7"/>
  <c r="P11" i="7"/>
  <c r="X11" i="3"/>
  <c r="X10" i="3"/>
  <c r="W9" i="7"/>
  <c r="W10" i="7"/>
  <c r="F11" i="7"/>
  <c r="T11" i="7"/>
  <c r="J11" i="7"/>
  <c r="D12" i="8"/>
  <c r="F12" i="8"/>
  <c r="H12" i="8"/>
  <c r="J12" i="8"/>
  <c r="O10" i="8"/>
  <c r="O11" i="8"/>
  <c r="D21" i="8"/>
  <c r="D19" i="8"/>
  <c r="O65" i="10"/>
  <c r="O35" i="10"/>
  <c r="O47" i="10"/>
  <c r="L203" i="10"/>
  <c r="L207" i="10"/>
  <c r="C132" i="25"/>
  <c r="D132" i="25"/>
  <c r="O40" i="10"/>
  <c r="O64" i="10"/>
  <c r="O45" i="10"/>
  <c r="L24" i="3"/>
  <c r="L88" i="10"/>
  <c r="X153" i="10"/>
  <c r="X96" i="10"/>
  <c r="X98" i="10"/>
  <c r="V110" i="10"/>
  <c r="N111" i="10"/>
  <c r="AD111" i="10" s="1"/>
  <c r="V112" i="10"/>
  <c r="X116" i="10"/>
  <c r="X126" i="10"/>
  <c r="L128" i="10"/>
  <c r="AB18" i="10"/>
  <c r="L155" i="10"/>
  <c r="L159" i="10"/>
  <c r="X171" i="10"/>
  <c r="H22" i="10"/>
  <c r="O46" i="10"/>
  <c r="O49" i="10"/>
  <c r="N163" i="10"/>
  <c r="C43" i="25" s="1"/>
  <c r="N169" i="10"/>
  <c r="AD169" i="10" s="1"/>
  <c r="E49" i="25" s="1"/>
  <c r="F49" i="25" s="1"/>
  <c r="J27" i="8"/>
  <c r="H36" i="24"/>
  <c r="J36" i="24" s="1"/>
  <c r="I83" i="21"/>
  <c r="H153" i="43"/>
  <c r="G53" i="20"/>
  <c r="I53" i="20" s="1"/>
  <c r="F38" i="22"/>
  <c r="G38" i="22" s="1"/>
  <c r="F47" i="22"/>
  <c r="G47" i="22" s="1"/>
  <c r="F16" i="24"/>
  <c r="L122" i="10"/>
  <c r="L124" i="10"/>
  <c r="X135" i="10"/>
  <c r="L146" i="10"/>
  <c r="G54" i="20"/>
  <c r="H54" i="20" s="1"/>
  <c r="F51" i="23"/>
  <c r="G51" i="23" s="1"/>
  <c r="R87" i="32"/>
  <c r="I47" i="44"/>
  <c r="K47" i="44" s="1"/>
  <c r="I56" i="44"/>
  <c r="K56" i="44" s="1"/>
  <c r="I68" i="44"/>
  <c r="K68" i="44" s="1"/>
  <c r="E9" i="25"/>
  <c r="G9" i="25" s="1"/>
  <c r="L58" i="10"/>
  <c r="F26" i="8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L56" i="10"/>
  <c r="V101" i="10"/>
  <c r="N76" i="10"/>
  <c r="N77" i="10"/>
  <c r="N91" i="10"/>
  <c r="AD91" i="10" s="1"/>
  <c r="V92" i="10"/>
  <c r="N97" i="10"/>
  <c r="AD97" i="10" s="1"/>
  <c r="V98" i="10"/>
  <c r="C131" i="25"/>
  <c r="E131" i="25" s="1"/>
  <c r="F131" i="25" s="1"/>
  <c r="H24" i="3"/>
  <c r="T24" i="3"/>
  <c r="N24" i="3"/>
  <c r="D26" i="3"/>
  <c r="F40" i="23"/>
  <c r="G40" i="23" s="1"/>
  <c r="F49" i="23"/>
  <c r="G49" i="23" s="1"/>
  <c r="I131" i="21"/>
  <c r="H119" i="43"/>
  <c r="I126" i="44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H33" i="43"/>
  <c r="J33" i="43" s="1"/>
  <c r="H66" i="43"/>
  <c r="J66" i="43" s="1"/>
  <c r="H69" i="43"/>
  <c r="J69" i="43" s="1"/>
  <c r="H72" i="43"/>
  <c r="H78" i="43"/>
  <c r="H84" i="43"/>
  <c r="H90" i="43"/>
  <c r="I70" i="44"/>
  <c r="K70" i="44" s="1"/>
  <c r="L118" i="10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X177" i="10"/>
  <c r="V151" i="10"/>
  <c r="V181" i="10"/>
  <c r="H66" i="24"/>
  <c r="H72" i="24"/>
  <c r="H78" i="24"/>
  <c r="H84" i="24"/>
  <c r="P12" i="32"/>
  <c r="D82" i="31"/>
  <c r="L106" i="10"/>
  <c r="N117" i="10"/>
  <c r="AD117" i="10" s="1"/>
  <c r="V118" i="10"/>
  <c r="F23" i="7"/>
  <c r="R23" i="7"/>
  <c r="F24" i="7"/>
  <c r="R24" i="7"/>
  <c r="L24" i="7"/>
  <c r="L131" i="10"/>
  <c r="N152" i="10"/>
  <c r="J15" i="30" s="1"/>
  <c r="V153" i="10"/>
  <c r="V155" i="10"/>
  <c r="N160" i="10"/>
  <c r="AD160" i="10" s="1"/>
  <c r="V165" i="10"/>
  <c r="N168" i="10"/>
  <c r="J31" i="30" s="1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N123" i="10"/>
  <c r="AD123" i="10" s="1"/>
  <c r="X137" i="10"/>
  <c r="V177" i="10"/>
  <c r="L209" i="10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X175" i="10"/>
  <c r="X207" i="10"/>
  <c r="N23" i="7"/>
  <c r="D16" i="24"/>
  <c r="I105" i="21"/>
  <c r="I108" i="21"/>
  <c r="I159" i="21"/>
  <c r="D20" i="10"/>
  <c r="T20" i="10"/>
  <c r="L177" i="10"/>
  <c r="V178" i="10"/>
  <c r="N179" i="10"/>
  <c r="J42" i="30" s="1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L181" i="10"/>
  <c r="O84" i="8"/>
  <c r="L19" i="8"/>
  <c r="H21" i="8"/>
  <c r="D24" i="8"/>
  <c r="P26" i="3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H32" i="43"/>
  <c r="J32" i="43" s="1"/>
  <c r="H65" i="43"/>
  <c r="J65" i="43" s="1"/>
  <c r="H68" i="43"/>
  <c r="J68" i="43" s="1"/>
  <c r="H71" i="43"/>
  <c r="J71" i="43" s="1"/>
  <c r="H74" i="43"/>
  <c r="H80" i="43"/>
  <c r="H86" i="43"/>
  <c r="H111" i="43"/>
  <c r="I36" i="44"/>
  <c r="K36" i="44" s="1"/>
  <c r="I48" i="44"/>
  <c r="K48" i="44" s="1"/>
  <c r="I54" i="44"/>
  <c r="K54" i="44" s="1"/>
  <c r="I57" i="44"/>
  <c r="K57" i="44" s="1"/>
  <c r="I69" i="44"/>
  <c r="K69" i="44" s="1"/>
  <c r="I72" i="44"/>
  <c r="K72" i="44" s="1"/>
  <c r="I38" i="30"/>
  <c r="I39" i="30"/>
  <c r="I40" i="30"/>
  <c r="I41" i="30"/>
  <c r="N148" i="10"/>
  <c r="J11" i="30" s="1"/>
  <c r="X158" i="10"/>
  <c r="X162" i="10"/>
  <c r="N175" i="10"/>
  <c r="J38" i="30" s="1"/>
  <c r="N185" i="10"/>
  <c r="J48" i="30" s="1"/>
  <c r="V190" i="10"/>
  <c r="N196" i="10"/>
  <c r="AD196" i="10" s="1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4" i="43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V84" i="10"/>
  <c r="V87" i="10"/>
  <c r="N88" i="10"/>
  <c r="AD88" i="10" s="1"/>
  <c r="N90" i="10"/>
  <c r="AD90" i="10" s="1"/>
  <c r="L91" i="10"/>
  <c r="L101" i="10"/>
  <c r="AB14" i="10"/>
  <c r="V107" i="10"/>
  <c r="X113" i="10"/>
  <c r="L117" i="10"/>
  <c r="L169" i="10"/>
  <c r="N206" i="10"/>
  <c r="C86" i="25" s="1"/>
  <c r="E86" i="25" s="1"/>
  <c r="F86" i="25" s="1"/>
  <c r="AD219" i="10"/>
  <c r="N14" i="7"/>
  <c r="T22" i="7"/>
  <c r="R25" i="7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X107" i="10"/>
  <c r="X125" i="10"/>
  <c r="V141" i="10"/>
  <c r="X149" i="10"/>
  <c r="V191" i="10"/>
  <c r="V194" i="10"/>
  <c r="L208" i="10"/>
  <c r="D25" i="8"/>
  <c r="D17" i="8"/>
  <c r="F17" i="8"/>
  <c r="H17" i="8"/>
  <c r="O123" i="8"/>
  <c r="J18" i="8"/>
  <c r="L18" i="8"/>
  <c r="H19" i="8"/>
  <c r="L20" i="8"/>
  <c r="L21" i="8"/>
  <c r="O179" i="8"/>
  <c r="F22" i="8"/>
  <c r="L23" i="8"/>
  <c r="D23" i="8"/>
  <c r="F23" i="8"/>
  <c r="F24" i="8"/>
  <c r="H24" i="8"/>
  <c r="J26" i="8"/>
  <c r="D26" i="8"/>
  <c r="D27" i="8"/>
  <c r="H27" i="8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N84" i="10"/>
  <c r="AD84" i="10" s="1"/>
  <c r="L120" i="10"/>
  <c r="V146" i="10"/>
  <c r="N149" i="10"/>
  <c r="C29" i="25" s="1"/>
  <c r="L191" i="10"/>
  <c r="L193" i="10"/>
  <c r="E16" i="25"/>
  <c r="F16" i="25" s="1"/>
  <c r="I76" i="44"/>
  <c r="K76" i="44" s="1"/>
  <c r="G14" i="44"/>
  <c r="I119" i="44"/>
  <c r="I35" i="44"/>
  <c r="K35" i="44" s="1"/>
  <c r="I123" i="44"/>
  <c r="F12" i="43"/>
  <c r="F14" i="43"/>
  <c r="H31" i="43"/>
  <c r="J31" i="43" s="1"/>
  <c r="H34" i="43"/>
  <c r="J34" i="43" s="1"/>
  <c r="H37" i="43"/>
  <c r="J37" i="43" s="1"/>
  <c r="H43" i="43"/>
  <c r="J43" i="43" s="1"/>
  <c r="H46" i="43"/>
  <c r="J46" i="43" s="1"/>
  <c r="H52" i="43"/>
  <c r="J52" i="43" s="1"/>
  <c r="H58" i="43"/>
  <c r="J58" i="43" s="1"/>
  <c r="H61" i="43"/>
  <c r="J61" i="43" s="1"/>
  <c r="H67" i="43"/>
  <c r="J67" i="43" s="1"/>
  <c r="H70" i="43"/>
  <c r="J70" i="43" s="1"/>
  <c r="H82" i="43"/>
  <c r="H88" i="43"/>
  <c r="H113" i="43"/>
  <c r="F11" i="43"/>
  <c r="F13" i="43"/>
  <c r="H123" i="43"/>
  <c r="N14" i="3"/>
  <c r="J15" i="3"/>
  <c r="D22" i="3"/>
  <c r="H23" i="3"/>
  <c r="H26" i="3"/>
  <c r="T26" i="3"/>
  <c r="T27" i="3"/>
  <c r="R27" i="3"/>
  <c r="H19" i="3"/>
  <c r="T19" i="3"/>
  <c r="N20" i="7"/>
  <c r="P23" i="7"/>
  <c r="D21" i="7"/>
  <c r="P21" i="7"/>
  <c r="F25" i="7"/>
  <c r="J25" i="7"/>
  <c r="N26" i="7"/>
  <c r="F18" i="7"/>
  <c r="H19" i="7"/>
  <c r="N24" i="7"/>
  <c r="H16" i="8"/>
  <c r="F25" i="8"/>
  <c r="L14" i="8"/>
  <c r="O92" i="8"/>
  <c r="D22" i="8"/>
  <c r="D16" i="8"/>
  <c r="O114" i="8"/>
  <c r="O227" i="8"/>
  <c r="O233" i="8"/>
  <c r="O252" i="8"/>
  <c r="O257" i="8"/>
  <c r="O83" i="8"/>
  <c r="O226" i="8"/>
  <c r="O79" i="8"/>
  <c r="O31" i="10"/>
  <c r="O34" i="10"/>
  <c r="O37" i="10"/>
  <c r="N89" i="10"/>
  <c r="AD89" i="10" s="1"/>
  <c r="L98" i="10"/>
  <c r="N121" i="10"/>
  <c r="AD121" i="10" s="1"/>
  <c r="N162" i="10"/>
  <c r="AD162" i="10" s="1"/>
  <c r="E42" i="25" s="1"/>
  <c r="F42" i="25" s="1"/>
  <c r="X202" i="10"/>
  <c r="N109" i="10"/>
  <c r="AD109" i="10" s="1"/>
  <c r="X118" i="10"/>
  <c r="V121" i="10"/>
  <c r="V131" i="10"/>
  <c r="X161" i="10"/>
  <c r="X163" i="10"/>
  <c r="X165" i="10"/>
  <c r="X167" i="10"/>
  <c r="V183" i="10"/>
  <c r="N184" i="10"/>
  <c r="AD184" i="10" s="1"/>
  <c r="V185" i="10"/>
  <c r="X186" i="10"/>
  <c r="P21" i="10"/>
  <c r="F21" i="10"/>
  <c r="N199" i="10"/>
  <c r="J62" i="30" s="1"/>
  <c r="V200" i="10"/>
  <c r="V204" i="10"/>
  <c r="V208" i="10"/>
  <c r="AD212" i="10"/>
  <c r="AD238" i="10"/>
  <c r="X101" i="10"/>
  <c r="N108" i="10"/>
  <c r="AD108" i="10" s="1"/>
  <c r="V109" i="10"/>
  <c r="L144" i="10"/>
  <c r="X8" i="10"/>
  <c r="F16" i="10"/>
  <c r="N146" i="10"/>
  <c r="J9" i="30" s="1"/>
  <c r="X148" i="10"/>
  <c r="V150" i="10"/>
  <c r="L162" i="10"/>
  <c r="L166" i="10"/>
  <c r="J20" i="10"/>
  <c r="R20" i="10"/>
  <c r="N188" i="10"/>
  <c r="C68" i="25" s="1"/>
  <c r="E68" i="25" s="1"/>
  <c r="F68" i="25" s="1"/>
  <c r="L189" i="10"/>
  <c r="X191" i="10"/>
  <c r="X192" i="10"/>
  <c r="F24" i="10"/>
  <c r="O38" i="10"/>
  <c r="X75" i="10"/>
  <c r="X11" i="10" s="1"/>
  <c r="R12" i="10"/>
  <c r="X145" i="10"/>
  <c r="X189" i="10"/>
  <c r="X196" i="10"/>
  <c r="V203" i="10"/>
  <c r="V207" i="10"/>
  <c r="T22" i="10"/>
  <c r="H23" i="10"/>
  <c r="T23" i="10"/>
  <c r="L75" i="10"/>
  <c r="L84" i="10"/>
  <c r="L87" i="10"/>
  <c r="X111" i="10"/>
  <c r="L119" i="10"/>
  <c r="V128" i="10"/>
  <c r="U22" i="10"/>
  <c r="E10" i="44"/>
  <c r="I44" i="44"/>
  <c r="K44" i="44" s="1"/>
  <c r="I53" i="44"/>
  <c r="K53" i="44" s="1"/>
  <c r="I125" i="44"/>
  <c r="I149" i="44"/>
  <c r="I39" i="44"/>
  <c r="K39" i="44" s="1"/>
  <c r="I38" i="44"/>
  <c r="K38" i="44" s="1"/>
  <c r="I127" i="44"/>
  <c r="I155" i="44"/>
  <c r="F7" i="43"/>
  <c r="F8" i="43"/>
  <c r="H151" i="43"/>
  <c r="H39" i="43"/>
  <c r="J39" i="43" s="1"/>
  <c r="H42" i="43"/>
  <c r="J42" i="43" s="1"/>
  <c r="H48" i="43"/>
  <c r="J48" i="43" s="1"/>
  <c r="H51" i="43"/>
  <c r="J51" i="43" s="1"/>
  <c r="H57" i="43"/>
  <c r="J57" i="43" s="1"/>
  <c r="H60" i="43"/>
  <c r="J60" i="43" s="1"/>
  <c r="H125" i="43"/>
  <c r="D10" i="43"/>
  <c r="H55" i="43"/>
  <c r="J55" i="43" s="1"/>
  <c r="H147" i="43"/>
  <c r="H38" i="43"/>
  <c r="J38" i="43" s="1"/>
  <c r="H41" i="43"/>
  <c r="J41" i="43" s="1"/>
  <c r="H47" i="43"/>
  <c r="J47" i="43" s="1"/>
  <c r="H50" i="43"/>
  <c r="J50" i="43" s="1"/>
  <c r="H56" i="43"/>
  <c r="J56" i="43" s="1"/>
  <c r="H59" i="43"/>
  <c r="J59" i="43" s="1"/>
  <c r="J24" i="3"/>
  <c r="D24" i="3"/>
  <c r="P24" i="3"/>
  <c r="J25" i="3"/>
  <c r="T19" i="7"/>
  <c r="H20" i="7"/>
  <c r="T20" i="7"/>
  <c r="F22" i="7"/>
  <c r="J23" i="7"/>
  <c r="J24" i="7"/>
  <c r="D25" i="7"/>
  <c r="P25" i="7"/>
  <c r="J20" i="7"/>
  <c r="O239" i="8"/>
  <c r="O82" i="8"/>
  <c r="O81" i="8"/>
  <c r="O75" i="8"/>
  <c r="O78" i="8"/>
  <c r="O80" i="8"/>
  <c r="O107" i="8"/>
  <c r="O113" i="8"/>
  <c r="L17" i="8"/>
  <c r="O74" i="8"/>
  <c r="F16" i="8"/>
  <c r="V8" i="10"/>
  <c r="O42" i="10"/>
  <c r="N101" i="10"/>
  <c r="AD101" i="10" s="1"/>
  <c r="L112" i="10"/>
  <c r="N118" i="10"/>
  <c r="AD118" i="10" s="1"/>
  <c r="N120" i="10"/>
  <c r="AD120" i="10" s="1"/>
  <c r="V134" i="10"/>
  <c r="L66" i="10"/>
  <c r="F13" i="10"/>
  <c r="X19" i="10"/>
  <c r="N112" i="10"/>
  <c r="AD112" i="10" s="1"/>
  <c r="L113" i="10"/>
  <c r="V115" i="10"/>
  <c r="N129" i="10"/>
  <c r="AD129" i="10" s="1"/>
  <c r="X132" i="10"/>
  <c r="X134" i="10"/>
  <c r="V139" i="10"/>
  <c r="L145" i="10"/>
  <c r="L172" i="10"/>
  <c r="X183" i="10"/>
  <c r="T21" i="10"/>
  <c r="J21" i="10"/>
  <c r="L195" i="10"/>
  <c r="L60" i="10"/>
  <c r="L61" i="10"/>
  <c r="L78" i="10"/>
  <c r="L81" i="10"/>
  <c r="L82" i="10"/>
  <c r="L83" i="10"/>
  <c r="J13" i="10"/>
  <c r="L92" i="10"/>
  <c r="L109" i="10"/>
  <c r="X130" i="10"/>
  <c r="X133" i="10"/>
  <c r="N156" i="10"/>
  <c r="AD156" i="10" s="1"/>
  <c r="V159" i="10"/>
  <c r="N164" i="10"/>
  <c r="C44" i="25" s="1"/>
  <c r="X184" i="10"/>
  <c r="L200" i="10"/>
  <c r="AD226" i="10"/>
  <c r="N57" i="10"/>
  <c r="N59" i="10"/>
  <c r="D19" i="10"/>
  <c r="D22" i="10"/>
  <c r="N24" i="10"/>
  <c r="N81" i="10"/>
  <c r="AD81" i="10" s="1"/>
  <c r="L85" i="10"/>
  <c r="X88" i="10"/>
  <c r="L89" i="10"/>
  <c r="V91" i="10"/>
  <c r="N92" i="10"/>
  <c r="AD92" i="10" s="1"/>
  <c r="V95" i="10"/>
  <c r="N98" i="10"/>
  <c r="AD98" i="10" s="1"/>
  <c r="X110" i="10"/>
  <c r="X121" i="10"/>
  <c r="N122" i="10"/>
  <c r="AD122" i="10" s="1"/>
  <c r="L123" i="10"/>
  <c r="V125" i="10"/>
  <c r="X127" i="10"/>
  <c r="AB16" i="10"/>
  <c r="X138" i="10"/>
  <c r="X159" i="10"/>
  <c r="V162" i="10"/>
  <c r="L171" i="10"/>
  <c r="L175" i="10"/>
  <c r="N177" i="10"/>
  <c r="J40" i="30" s="1"/>
  <c r="L182" i="10"/>
  <c r="V182" i="10"/>
  <c r="X188" i="10"/>
  <c r="N191" i="10"/>
  <c r="C71" i="25" s="1"/>
  <c r="E71" i="25" s="1"/>
  <c r="F71" i="25" s="1"/>
  <c r="N198" i="10"/>
  <c r="J61" i="30" s="1"/>
  <c r="L61" i="30" s="1"/>
  <c r="V199" i="10"/>
  <c r="F23" i="10"/>
  <c r="X210" i="10"/>
  <c r="X23" i="10" s="1"/>
  <c r="AD213" i="10"/>
  <c r="O43" i="10"/>
  <c r="O50" i="10"/>
  <c r="O54" i="10"/>
  <c r="N72" i="10"/>
  <c r="X93" i="10"/>
  <c r="L96" i="10"/>
  <c r="X97" i="10"/>
  <c r="J14" i="10"/>
  <c r="L121" i="10"/>
  <c r="P16" i="10"/>
  <c r="L170" i="10"/>
  <c r="X180" i="10"/>
  <c r="V187" i="10"/>
  <c r="L190" i="10"/>
  <c r="N192" i="10"/>
  <c r="C72" i="25" s="1"/>
  <c r="L198" i="10"/>
  <c r="N203" i="10"/>
  <c r="C83" i="25" s="1"/>
  <c r="E83" i="25" s="1"/>
  <c r="F83" i="25" s="1"/>
  <c r="X203" i="10"/>
  <c r="H16" i="20"/>
  <c r="I26" i="20"/>
  <c r="I29" i="20"/>
  <c r="N8" i="10"/>
  <c r="O33" i="10"/>
  <c r="O44" i="10"/>
  <c r="O48" i="10"/>
  <c r="N55" i="10"/>
  <c r="X89" i="10"/>
  <c r="R16" i="10"/>
  <c r="V149" i="10"/>
  <c r="L150" i="10"/>
  <c r="N193" i="10"/>
  <c r="AD193" i="10" s="1"/>
  <c r="L201" i="10"/>
  <c r="AD235" i="10"/>
  <c r="AD244" i="10"/>
  <c r="O73" i="8"/>
  <c r="J15" i="8"/>
  <c r="O106" i="8"/>
  <c r="O112" i="8"/>
  <c r="O122" i="8"/>
  <c r="O128" i="8"/>
  <c r="O133" i="8"/>
  <c r="O139" i="8"/>
  <c r="F19" i="8"/>
  <c r="O145" i="8"/>
  <c r="O151" i="8"/>
  <c r="F20" i="8"/>
  <c r="O157" i="8"/>
  <c r="O165" i="8"/>
  <c r="O171" i="8"/>
  <c r="O177" i="8"/>
  <c r="O178" i="8"/>
  <c r="D14" i="24"/>
  <c r="H117" i="24"/>
  <c r="I12" i="34"/>
  <c r="E12" i="34"/>
  <c r="K12" i="34"/>
  <c r="G12" i="34"/>
  <c r="O36" i="10"/>
  <c r="X9" i="10"/>
  <c r="O51" i="10"/>
  <c r="O53" i="10"/>
  <c r="L59" i="10"/>
  <c r="X63" i="10"/>
  <c r="X10" i="10" s="1"/>
  <c r="V85" i="10"/>
  <c r="V93" i="10"/>
  <c r="L95" i="10"/>
  <c r="L99" i="10"/>
  <c r="L105" i="10"/>
  <c r="X108" i="10"/>
  <c r="X115" i="10"/>
  <c r="L125" i="10"/>
  <c r="N127" i="10"/>
  <c r="AD127" i="10" s="1"/>
  <c r="L132" i="10"/>
  <c r="L134" i="10"/>
  <c r="X139" i="10"/>
  <c r="V144" i="10"/>
  <c r="L149" i="10"/>
  <c r="X156" i="10"/>
  <c r="N159" i="10"/>
  <c r="J22" i="30" s="1"/>
  <c r="X166" i="10"/>
  <c r="N172" i="10"/>
  <c r="J35" i="30" s="1"/>
  <c r="L173" i="10"/>
  <c r="V173" i="10"/>
  <c r="V175" i="10"/>
  <c r="X176" i="10"/>
  <c r="L179" i="10"/>
  <c r="V179" i="10"/>
  <c r="X182" i="10"/>
  <c r="N183" i="10"/>
  <c r="J46" i="30" s="1"/>
  <c r="L184" i="10"/>
  <c r="L186" i="10"/>
  <c r="L197" i="10"/>
  <c r="V197" i="10"/>
  <c r="X204" i="10"/>
  <c r="L206" i="10"/>
  <c r="N207" i="10"/>
  <c r="J70" i="30" s="1"/>
  <c r="J23" i="10"/>
  <c r="U23" i="10"/>
  <c r="AD232" i="10"/>
  <c r="O98" i="8"/>
  <c r="L16" i="8"/>
  <c r="O111" i="8"/>
  <c r="O121" i="8"/>
  <c r="O127" i="8"/>
  <c r="O132" i="8"/>
  <c r="O138" i="8"/>
  <c r="O144" i="8"/>
  <c r="O150" i="8"/>
  <c r="H20" i="8"/>
  <c r="O156" i="8"/>
  <c r="O170" i="8"/>
  <c r="O176" i="8"/>
  <c r="L26" i="8"/>
  <c r="D25" i="3"/>
  <c r="P25" i="3"/>
  <c r="L25" i="3"/>
  <c r="X219" i="3"/>
  <c r="R25" i="3"/>
  <c r="L26" i="3"/>
  <c r="F26" i="3"/>
  <c r="R26" i="3"/>
  <c r="L27" i="3"/>
  <c r="F27" i="3"/>
  <c r="X244" i="3"/>
  <c r="P27" i="3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O32" i="10"/>
  <c r="O39" i="10"/>
  <c r="L63" i="10"/>
  <c r="R13" i="10"/>
  <c r="X95" i="10"/>
  <c r="L100" i="10"/>
  <c r="L110" i="10"/>
  <c r="L115" i="10"/>
  <c r="X119" i="10"/>
  <c r="V124" i="10"/>
  <c r="X131" i="10"/>
  <c r="N132" i="10"/>
  <c r="AD132" i="10" s="1"/>
  <c r="V133" i="10"/>
  <c r="N134" i="10"/>
  <c r="AD134" i="10" s="1"/>
  <c r="V135" i="10"/>
  <c r="L137" i="10"/>
  <c r="L139" i="10"/>
  <c r="V142" i="10"/>
  <c r="X144" i="10"/>
  <c r="L156" i="10"/>
  <c r="N167" i="10"/>
  <c r="AD167" i="10" s="1"/>
  <c r="E47" i="25" s="1"/>
  <c r="V171" i="10"/>
  <c r="X173" i="10"/>
  <c r="X179" i="10"/>
  <c r="N182" i="10"/>
  <c r="AD182" i="10" s="1"/>
  <c r="X206" i="10"/>
  <c r="X209" i="10"/>
  <c r="AD236" i="10"/>
  <c r="C129" i="25"/>
  <c r="E129" i="25" s="1"/>
  <c r="F129" i="25" s="1"/>
  <c r="O61" i="8"/>
  <c r="O66" i="8"/>
  <c r="D13" i="8"/>
  <c r="O85" i="8"/>
  <c r="O90" i="8"/>
  <c r="O93" i="8"/>
  <c r="H15" i="8"/>
  <c r="O110" i="8"/>
  <c r="J17" i="8"/>
  <c r="O120" i="8"/>
  <c r="O126" i="8"/>
  <c r="H18" i="8"/>
  <c r="O184" i="8"/>
  <c r="O190" i="8"/>
  <c r="O196" i="8"/>
  <c r="L24" i="8"/>
  <c r="O202" i="8"/>
  <c r="L28" i="3"/>
  <c r="K15" i="34"/>
  <c r="I15" i="34"/>
  <c r="G15" i="34"/>
  <c r="E15" i="34"/>
  <c r="N75" i="10"/>
  <c r="N100" i="10"/>
  <c r="AD100" i="10" s="1"/>
  <c r="N106" i="10"/>
  <c r="AD106" i="10" s="1"/>
  <c r="L107" i="10"/>
  <c r="N110" i="10"/>
  <c r="AD110" i="10" s="1"/>
  <c r="X112" i="10"/>
  <c r="J15" i="10"/>
  <c r="N124" i="10"/>
  <c r="AD124" i="10" s="1"/>
  <c r="N131" i="10"/>
  <c r="AD131" i="10" s="1"/>
  <c r="N133" i="10"/>
  <c r="AD133" i="10" s="1"/>
  <c r="D17" i="10"/>
  <c r="T17" i="10"/>
  <c r="N139" i="10"/>
  <c r="AD139" i="10" s="1"/>
  <c r="V140" i="10"/>
  <c r="N142" i="10"/>
  <c r="AD142" i="10" s="1"/>
  <c r="N158" i="10"/>
  <c r="J21" i="30" s="1"/>
  <c r="X174" i="10"/>
  <c r="X185" i="10"/>
  <c r="X187" i="10"/>
  <c r="L196" i="10"/>
  <c r="X205" i="10"/>
  <c r="AD229" i="10"/>
  <c r="AD233" i="10"/>
  <c r="O89" i="8"/>
  <c r="O109" i="8"/>
  <c r="O119" i="8"/>
  <c r="O125" i="8"/>
  <c r="O181" i="8"/>
  <c r="O183" i="8"/>
  <c r="H22" i="8"/>
  <c r="O201" i="8"/>
  <c r="O232" i="8"/>
  <c r="L27" i="8"/>
  <c r="J12" i="7"/>
  <c r="W76" i="7"/>
  <c r="P13" i="7"/>
  <c r="W88" i="7"/>
  <c r="J14" i="7"/>
  <c r="W94" i="7"/>
  <c r="W106" i="7"/>
  <c r="L15" i="7"/>
  <c r="W111" i="7"/>
  <c r="W117" i="7"/>
  <c r="W123" i="7"/>
  <c r="W124" i="7"/>
  <c r="H17" i="7"/>
  <c r="F17" i="7"/>
  <c r="W135" i="7"/>
  <c r="H18" i="7"/>
  <c r="W141" i="7"/>
  <c r="W142" i="7"/>
  <c r="W147" i="7"/>
  <c r="W154" i="7"/>
  <c r="W161" i="7"/>
  <c r="F20" i="7"/>
  <c r="R20" i="7"/>
  <c r="T21" i="7"/>
  <c r="F21" i="7"/>
  <c r="W195" i="7"/>
  <c r="W207" i="7"/>
  <c r="W219" i="7"/>
  <c r="N25" i="7"/>
  <c r="L26" i="7"/>
  <c r="W247" i="7"/>
  <c r="H16" i="3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N9" i="10"/>
  <c r="O70" i="10"/>
  <c r="H12" i="10"/>
  <c r="L80" i="10"/>
  <c r="X87" i="10"/>
  <c r="L94" i="10"/>
  <c r="N95" i="10"/>
  <c r="AD95" i="10" s="1"/>
  <c r="N104" i="10"/>
  <c r="AD104" i="10" s="1"/>
  <c r="X105" i="10"/>
  <c r="N107" i="10"/>
  <c r="AD107" i="10" s="1"/>
  <c r="V108" i="10"/>
  <c r="V113" i="10"/>
  <c r="U15" i="10"/>
  <c r="X123" i="10"/>
  <c r="L135" i="10"/>
  <c r="V136" i="10"/>
  <c r="N138" i="10"/>
  <c r="AD138" i="10" s="1"/>
  <c r="X140" i="10"/>
  <c r="L142" i="10"/>
  <c r="L143" i="10"/>
  <c r="N144" i="10"/>
  <c r="J7" i="30" s="1"/>
  <c r="X146" i="10"/>
  <c r="N147" i="10"/>
  <c r="C27" i="25" s="1"/>
  <c r="X151" i="10"/>
  <c r="V152" i="10"/>
  <c r="N153" i="10"/>
  <c r="J16" i="30" s="1"/>
  <c r="X155" i="10"/>
  <c r="N157" i="10"/>
  <c r="J20" i="30" s="1"/>
  <c r="L168" i="10"/>
  <c r="N170" i="10"/>
  <c r="AD170" i="10" s="1"/>
  <c r="E50" i="25" s="1"/>
  <c r="F50" i="25" s="1"/>
  <c r="L178" i="10"/>
  <c r="V180" i="10"/>
  <c r="L185" i="10"/>
  <c r="X194" i="10"/>
  <c r="N202" i="10"/>
  <c r="J65" i="30" s="1"/>
  <c r="X208" i="10"/>
  <c r="N209" i="10"/>
  <c r="C89" i="25" s="1"/>
  <c r="E89" i="25" s="1"/>
  <c r="F89" i="25" s="1"/>
  <c r="V210" i="10"/>
  <c r="V23" i="10" s="1"/>
  <c r="AD222" i="10"/>
  <c r="L24" i="10"/>
  <c r="V24" i="10"/>
  <c r="J24" i="10"/>
  <c r="O57" i="8"/>
  <c r="O60" i="8"/>
  <c r="O108" i="8"/>
  <c r="O118" i="8"/>
  <c r="O124" i="8"/>
  <c r="J21" i="8"/>
  <c r="O180" i="8"/>
  <c r="D12" i="24"/>
  <c r="R48" i="32"/>
  <c r="D9" i="32"/>
  <c r="O30" i="10"/>
  <c r="O41" i="10"/>
  <c r="V9" i="10"/>
  <c r="O52" i="10"/>
  <c r="N63" i="10"/>
  <c r="L77" i="10"/>
  <c r="N78" i="10"/>
  <c r="AD78" i="10" s="1"/>
  <c r="P22" i="10"/>
  <c r="D23" i="10"/>
  <c r="P23" i="10"/>
  <c r="H23" i="7"/>
  <c r="T23" i="7"/>
  <c r="H24" i="7"/>
  <c r="T24" i="7"/>
  <c r="F16" i="3"/>
  <c r="L18" i="3"/>
  <c r="L20" i="3"/>
  <c r="R24" i="3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74" i="24"/>
  <c r="F17" i="24"/>
  <c r="G11" i="44"/>
  <c r="X252" i="3"/>
  <c r="X254" i="3"/>
  <c r="X259" i="3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F9" i="43"/>
  <c r="I66" i="44"/>
  <c r="K66" i="44" s="1"/>
  <c r="E16" i="44"/>
  <c r="R25" i="32"/>
  <c r="R36" i="32"/>
  <c r="R44" i="32"/>
  <c r="R50" i="32"/>
  <c r="D8" i="43"/>
  <c r="F10" i="43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D9" i="43"/>
  <c r="I75" i="44"/>
  <c r="K75" i="44" s="1"/>
  <c r="G13" i="4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D15" i="43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H64" i="43"/>
  <c r="J64" i="43" s="1"/>
  <c r="I45" i="44"/>
  <c r="K45" i="44" s="1"/>
  <c r="G10" i="25"/>
  <c r="G13" i="25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H36" i="43"/>
  <c r="J36" i="43" s="1"/>
  <c r="H44" i="43"/>
  <c r="J44" i="43" s="1"/>
  <c r="H63" i="43"/>
  <c r="J63" i="43" s="1"/>
  <c r="H117" i="43"/>
  <c r="H127" i="43"/>
  <c r="I32" i="44"/>
  <c r="K32" i="44" s="1"/>
  <c r="I40" i="44"/>
  <c r="K40" i="44" s="1"/>
  <c r="I51" i="44"/>
  <c r="K51" i="44" s="1"/>
  <c r="I59" i="44"/>
  <c r="K59" i="44" s="1"/>
  <c r="I65" i="44"/>
  <c r="K65" i="44" s="1"/>
  <c r="G12" i="44"/>
  <c r="I79" i="44"/>
  <c r="I82" i="44"/>
  <c r="I85" i="44"/>
  <c r="I88" i="44"/>
  <c r="I91" i="44"/>
  <c r="I113" i="44"/>
  <c r="I116" i="44"/>
  <c r="I121" i="44"/>
  <c r="I129" i="44"/>
  <c r="E14" i="25"/>
  <c r="F14" i="25" s="1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H45" i="43"/>
  <c r="J45" i="43" s="1"/>
  <c r="H53" i="43"/>
  <c r="J53" i="43" s="1"/>
  <c r="H75" i="43"/>
  <c r="H81" i="43"/>
  <c r="H112" i="43"/>
  <c r="I33" i="44"/>
  <c r="K33" i="44" s="1"/>
  <c r="I41" i="44"/>
  <c r="K41" i="44" s="1"/>
  <c r="I49" i="44"/>
  <c r="K49" i="44" s="1"/>
  <c r="I60" i="44"/>
  <c r="K60" i="44" s="1"/>
  <c r="I63" i="44"/>
  <c r="K63" i="44" s="1"/>
  <c r="I77" i="44"/>
  <c r="I80" i="44"/>
  <c r="I83" i="44"/>
  <c r="I86" i="44"/>
  <c r="I89" i="44"/>
  <c r="I92" i="44"/>
  <c r="I114" i="44"/>
  <c r="I117" i="44"/>
  <c r="I122" i="44"/>
  <c r="G17" i="44"/>
  <c r="E7" i="25"/>
  <c r="F7" i="25" s="1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G20" i="25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H35" i="43"/>
  <c r="J35" i="43" s="1"/>
  <c r="H54" i="43"/>
  <c r="J54" i="43" s="1"/>
  <c r="H62" i="43"/>
  <c r="J62" i="43" s="1"/>
  <c r="H73" i="43"/>
  <c r="H79" i="43"/>
  <c r="H85" i="43"/>
  <c r="H99" i="43"/>
  <c r="H116" i="43"/>
  <c r="H118" i="43"/>
  <c r="F15" i="43"/>
  <c r="I42" i="44"/>
  <c r="K42" i="44" s="1"/>
  <c r="I50" i="44"/>
  <c r="K50" i="44" s="1"/>
  <c r="I58" i="44"/>
  <c r="K58" i="44" s="1"/>
  <c r="I64" i="44"/>
  <c r="K64" i="44" s="1"/>
  <c r="I78" i="44"/>
  <c r="I81" i="44"/>
  <c r="I84" i="44"/>
  <c r="I87" i="44"/>
  <c r="I90" i="44"/>
  <c r="E15" i="44"/>
  <c r="I101" i="44"/>
  <c r="I15" i="44" s="1"/>
  <c r="G15" i="44"/>
  <c r="G16" i="44"/>
  <c r="I115" i="44"/>
  <c r="I118" i="44"/>
  <c r="I120" i="44"/>
  <c r="I78" i="30"/>
  <c r="B27" i="37"/>
  <c r="N83" i="31"/>
  <c r="R25" i="10"/>
  <c r="AB26" i="10"/>
  <c r="AB25" i="10"/>
  <c r="F19" i="43"/>
  <c r="H21" i="43"/>
  <c r="B14" i="50"/>
  <c r="C27" i="47"/>
  <c r="B18" i="47"/>
  <c r="B19" i="47" s="1"/>
  <c r="D42" i="47"/>
  <c r="E16" i="46"/>
  <c r="G16" i="46"/>
  <c r="I16" i="46"/>
  <c r="I13" i="46"/>
  <c r="I9" i="46"/>
  <c r="E12" i="46"/>
  <c r="I15" i="46"/>
  <c r="K9" i="46"/>
  <c r="G12" i="46"/>
  <c r="E14" i="46"/>
  <c r="K15" i="46"/>
  <c r="G14" i="46"/>
  <c r="K10" i="46"/>
  <c r="E13" i="46"/>
  <c r="I14" i="46"/>
  <c r="G13" i="46"/>
  <c r="E11" i="46"/>
  <c r="E10" i="46"/>
  <c r="G11" i="46"/>
  <c r="I12" i="46"/>
  <c r="E9" i="46"/>
  <c r="G10" i="46"/>
  <c r="I11" i="46"/>
  <c r="E15" i="46"/>
  <c r="G8" i="46"/>
  <c r="I8" i="46"/>
  <c r="K8" i="46"/>
  <c r="G9" i="44"/>
  <c r="E14" i="44"/>
  <c r="I37" i="44"/>
  <c r="K37" i="44" s="1"/>
  <c r="I46" i="44"/>
  <c r="K46" i="44" s="1"/>
  <c r="I55" i="44"/>
  <c r="K55" i="44" s="1"/>
  <c r="I62" i="44"/>
  <c r="K62" i="44" s="1"/>
  <c r="I67" i="44"/>
  <c r="K67" i="44" s="1"/>
  <c r="E12" i="44"/>
  <c r="E17" i="44"/>
  <c r="I73" i="44"/>
  <c r="K73" i="44" s="1"/>
  <c r="G10" i="44"/>
  <c r="I71" i="44"/>
  <c r="K71" i="44" s="1"/>
  <c r="E13" i="44"/>
  <c r="E9" i="44"/>
  <c r="I34" i="44"/>
  <c r="K34" i="44" s="1"/>
  <c r="I43" i="44"/>
  <c r="K43" i="44" s="1"/>
  <c r="I52" i="44"/>
  <c r="K52" i="44" s="1"/>
  <c r="I61" i="44"/>
  <c r="K61" i="44" s="1"/>
  <c r="I74" i="44"/>
  <c r="K74" i="44" s="1"/>
  <c r="H77" i="43"/>
  <c r="H83" i="43"/>
  <c r="H89" i="43"/>
  <c r="D13" i="43"/>
  <c r="H114" i="43"/>
  <c r="H121" i="43"/>
  <c r="H126" i="43"/>
  <c r="H40" i="43"/>
  <c r="J40" i="43" s="1"/>
  <c r="H49" i="43"/>
  <c r="J49" i="43" s="1"/>
  <c r="H115" i="43"/>
  <c r="H124" i="43"/>
  <c r="D12" i="43"/>
  <c r="H87" i="43"/>
  <c r="H122" i="43"/>
  <c r="H76" i="43"/>
  <c r="H120" i="43"/>
  <c r="T16" i="3"/>
  <c r="L15" i="3"/>
  <c r="F14" i="3"/>
  <c r="P22" i="3"/>
  <c r="P14" i="3"/>
  <c r="X89" i="3"/>
  <c r="J16" i="3"/>
  <c r="X108" i="3"/>
  <c r="X114" i="3"/>
  <c r="J17" i="3"/>
  <c r="X120" i="3"/>
  <c r="X126" i="3"/>
  <c r="X132" i="3"/>
  <c r="X134" i="3"/>
  <c r="X144" i="3"/>
  <c r="X150" i="3"/>
  <c r="P20" i="3"/>
  <c r="X159" i="3"/>
  <c r="X160" i="3"/>
  <c r="X161" i="3"/>
  <c r="F21" i="3"/>
  <c r="R21" i="3"/>
  <c r="J21" i="3"/>
  <c r="X173" i="3"/>
  <c r="N22" i="3"/>
  <c r="H22" i="3"/>
  <c r="T22" i="3"/>
  <c r="L22" i="3"/>
  <c r="L23" i="3"/>
  <c r="J23" i="3"/>
  <c r="D23" i="3"/>
  <c r="P23" i="3"/>
  <c r="X205" i="3"/>
  <c r="X211" i="3"/>
  <c r="X67" i="3"/>
  <c r="R16" i="3"/>
  <c r="R17" i="3"/>
  <c r="L19" i="3"/>
  <c r="J22" i="3"/>
  <c r="N23" i="3"/>
  <c r="T23" i="3"/>
  <c r="F24" i="3"/>
  <c r="N25" i="3"/>
  <c r="H27" i="3"/>
  <c r="R14" i="3"/>
  <c r="L17" i="3"/>
  <c r="L14" i="3"/>
  <c r="F23" i="3"/>
  <c r="R23" i="3"/>
  <c r="X199" i="3"/>
  <c r="D27" i="3"/>
  <c r="X91" i="3"/>
  <c r="L16" i="3"/>
  <c r="X128" i="3"/>
  <c r="X140" i="3"/>
  <c r="X146" i="3"/>
  <c r="X158" i="3"/>
  <c r="N26" i="3"/>
  <c r="X72" i="3"/>
  <c r="X78" i="3"/>
  <c r="X87" i="3"/>
  <c r="X116" i="3"/>
  <c r="X122" i="3"/>
  <c r="X68" i="3"/>
  <c r="X74" i="3"/>
  <c r="X93" i="3"/>
  <c r="X94" i="3"/>
  <c r="X99" i="3"/>
  <c r="X100" i="3"/>
  <c r="H17" i="3"/>
  <c r="T17" i="3"/>
  <c r="H18" i="3"/>
  <c r="T18" i="3"/>
  <c r="P21" i="3"/>
  <c r="X169" i="3"/>
  <c r="X178" i="3"/>
  <c r="X179" i="3"/>
  <c r="X183" i="3"/>
  <c r="X185" i="3"/>
  <c r="X191" i="3"/>
  <c r="X195" i="3"/>
  <c r="X201" i="3"/>
  <c r="X207" i="3"/>
  <c r="X223" i="3"/>
  <c r="X227" i="3"/>
  <c r="X228" i="3"/>
  <c r="J26" i="3"/>
  <c r="X233" i="3"/>
  <c r="X235" i="3"/>
  <c r="X241" i="3"/>
  <c r="X85" i="3"/>
  <c r="X110" i="3"/>
  <c r="X57" i="3"/>
  <c r="X61" i="3"/>
  <c r="X63" i="3"/>
  <c r="J14" i="3"/>
  <c r="X86" i="3"/>
  <c r="P15" i="3"/>
  <c r="P16" i="3"/>
  <c r="X111" i="3"/>
  <c r="P17" i="3"/>
  <c r="X123" i="3"/>
  <c r="P18" i="3"/>
  <c r="X131" i="3"/>
  <c r="X133" i="3"/>
  <c r="X137" i="3"/>
  <c r="X138" i="3"/>
  <c r="X147" i="3"/>
  <c r="X149" i="3"/>
  <c r="X151" i="3"/>
  <c r="X155" i="3"/>
  <c r="L21" i="3"/>
  <c r="F22" i="3"/>
  <c r="R22" i="3"/>
  <c r="X196" i="3"/>
  <c r="X202" i="3"/>
  <c r="X208" i="3"/>
  <c r="X214" i="3"/>
  <c r="X220" i="3"/>
  <c r="X222" i="3"/>
  <c r="X243" i="3"/>
  <c r="X248" i="3"/>
  <c r="J28" i="3"/>
  <c r="X251" i="3"/>
  <c r="X253" i="3"/>
  <c r="P19" i="3"/>
  <c r="X69" i="3"/>
  <c r="H15" i="3"/>
  <c r="F18" i="3"/>
  <c r="R18" i="3"/>
  <c r="F19" i="3"/>
  <c r="R19" i="3"/>
  <c r="R20" i="3"/>
  <c r="N21" i="3"/>
  <c r="X175" i="3"/>
  <c r="X177" i="3"/>
  <c r="F25" i="3"/>
  <c r="N27" i="3"/>
  <c r="X249" i="3"/>
  <c r="X60" i="3"/>
  <c r="J19" i="3"/>
  <c r="X59" i="3"/>
  <c r="X66" i="3"/>
  <c r="X75" i="3"/>
  <c r="T15" i="3"/>
  <c r="X81" i="3"/>
  <c r="X95" i="3"/>
  <c r="X96" i="3"/>
  <c r="X102" i="3"/>
  <c r="X103" i="3"/>
  <c r="N16" i="3"/>
  <c r="N17" i="3"/>
  <c r="N18" i="3"/>
  <c r="X135" i="3"/>
  <c r="N19" i="3"/>
  <c r="T20" i="3"/>
  <c r="X182" i="3"/>
  <c r="X186" i="3"/>
  <c r="X187" i="3"/>
  <c r="X188" i="3"/>
  <c r="X192" i="3"/>
  <c r="X194" i="3"/>
  <c r="X198" i="3"/>
  <c r="X204" i="3"/>
  <c r="X210" i="3"/>
  <c r="H25" i="3"/>
  <c r="T25" i="3"/>
  <c r="X224" i="3"/>
  <c r="X226" i="3"/>
  <c r="X232" i="3"/>
  <c r="X236" i="3"/>
  <c r="X237" i="3"/>
  <c r="J27" i="3"/>
  <c r="X258" i="3"/>
  <c r="H21" i="7"/>
  <c r="T12" i="7"/>
  <c r="W75" i="7"/>
  <c r="W78" i="7"/>
  <c r="N13" i="7"/>
  <c r="H14" i="7"/>
  <c r="P16" i="7"/>
  <c r="W134" i="7"/>
  <c r="W152" i="7"/>
  <c r="W167" i="7"/>
  <c r="W173" i="7"/>
  <c r="N22" i="7"/>
  <c r="W196" i="7"/>
  <c r="L22" i="7"/>
  <c r="W200" i="7"/>
  <c r="W202" i="7"/>
  <c r="W206" i="7"/>
  <c r="W208" i="7"/>
  <c r="W212" i="7"/>
  <c r="W214" i="7"/>
  <c r="W218" i="7"/>
  <c r="W220" i="7"/>
  <c r="W228" i="7"/>
  <c r="W234" i="7"/>
  <c r="W240" i="7"/>
  <c r="W55" i="7"/>
  <c r="W60" i="7"/>
  <c r="W61" i="7"/>
  <c r="H12" i="7"/>
  <c r="W68" i="7"/>
  <c r="W73" i="7"/>
  <c r="W74" i="7"/>
  <c r="D19" i="7"/>
  <c r="W86" i="7"/>
  <c r="F14" i="7"/>
  <c r="W93" i="7"/>
  <c r="W98" i="7"/>
  <c r="H15" i="7"/>
  <c r="N17" i="7"/>
  <c r="W160" i="7"/>
  <c r="W179" i="7"/>
  <c r="W184" i="7"/>
  <c r="W185" i="7"/>
  <c r="W189" i="7"/>
  <c r="W190" i="7"/>
  <c r="H22" i="7"/>
  <c r="D27" i="7"/>
  <c r="W250" i="7"/>
  <c r="W251" i="7"/>
  <c r="W257" i="7"/>
  <c r="W58" i="7"/>
  <c r="W59" i="7"/>
  <c r="W65" i="7"/>
  <c r="W66" i="7"/>
  <c r="L12" i="7"/>
  <c r="W71" i="7"/>
  <c r="W72" i="7"/>
  <c r="F12" i="7"/>
  <c r="H13" i="7"/>
  <c r="P15" i="7"/>
  <c r="W125" i="7"/>
  <c r="J18" i="7"/>
  <c r="W143" i="7"/>
  <c r="P18" i="7"/>
  <c r="W158" i="7"/>
  <c r="W170" i="7"/>
  <c r="W176" i="7"/>
  <c r="W225" i="7"/>
  <c r="W231" i="7"/>
  <c r="W77" i="7"/>
  <c r="W83" i="7"/>
  <c r="W84" i="7"/>
  <c r="L13" i="7"/>
  <c r="W89" i="7"/>
  <c r="W95" i="7"/>
  <c r="W101" i="7"/>
  <c r="W102" i="7"/>
  <c r="N15" i="7"/>
  <c r="H16" i="7"/>
  <c r="N16" i="7"/>
  <c r="N18" i="7"/>
  <c r="J19" i="7"/>
  <c r="W166" i="7"/>
  <c r="L20" i="7"/>
  <c r="W172" i="7"/>
  <c r="L21" i="7"/>
  <c r="W180" i="7"/>
  <c r="W181" i="7"/>
  <c r="W188" i="7"/>
  <c r="W193" i="7"/>
  <c r="W194" i="7"/>
  <c r="L25" i="7"/>
  <c r="W227" i="7"/>
  <c r="W233" i="7"/>
  <c r="W239" i="7"/>
  <c r="J26" i="7"/>
  <c r="W252" i="7"/>
  <c r="W253" i="7"/>
  <c r="R21" i="7"/>
  <c r="W56" i="7"/>
  <c r="W57" i="7"/>
  <c r="W62" i="7"/>
  <c r="W64" i="7"/>
  <c r="D12" i="7"/>
  <c r="P12" i="7"/>
  <c r="W69" i="7"/>
  <c r="W70" i="7"/>
  <c r="W79" i="7"/>
  <c r="W85" i="7"/>
  <c r="W97" i="7"/>
  <c r="W108" i="7"/>
  <c r="W114" i="7"/>
  <c r="W115" i="7"/>
  <c r="L16" i="7"/>
  <c r="F16" i="7"/>
  <c r="W126" i="7"/>
  <c r="L17" i="7"/>
  <c r="W132" i="7"/>
  <c r="W133" i="7"/>
  <c r="W138" i="7"/>
  <c r="W144" i="7"/>
  <c r="W150" i="7"/>
  <c r="W151" i="7"/>
  <c r="L19" i="7"/>
  <c r="W156" i="7"/>
  <c r="P19" i="7"/>
  <c r="W159" i="7"/>
  <c r="R19" i="7"/>
  <c r="W198" i="7"/>
  <c r="W204" i="7"/>
  <c r="W210" i="7"/>
  <c r="W216" i="7"/>
  <c r="W222" i="7"/>
  <c r="H26" i="7"/>
  <c r="T26" i="7"/>
  <c r="F26" i="7"/>
  <c r="R26" i="7"/>
  <c r="W248" i="7"/>
  <c r="F27" i="7"/>
  <c r="R27" i="7"/>
  <c r="O69" i="8"/>
  <c r="O72" i="8"/>
  <c r="O76" i="8"/>
  <c r="J14" i="8"/>
  <c r="D15" i="8"/>
  <c r="O99" i="8"/>
  <c r="O117" i="8"/>
  <c r="F18" i="8"/>
  <c r="O134" i="8"/>
  <c r="O140" i="8"/>
  <c r="O146" i="8"/>
  <c r="D20" i="8"/>
  <c r="O158" i="8"/>
  <c r="O166" i="8"/>
  <c r="O172" i="8"/>
  <c r="O185" i="8"/>
  <c r="O191" i="8"/>
  <c r="O197" i="8"/>
  <c r="J24" i="8"/>
  <c r="O203" i="8"/>
  <c r="O228" i="8"/>
  <c r="O234" i="8"/>
  <c r="O240" i="8"/>
  <c r="F27" i="8"/>
  <c r="O253" i="8"/>
  <c r="O258" i="8"/>
  <c r="H14" i="8"/>
  <c r="O115" i="8"/>
  <c r="O189" i="8"/>
  <c r="O195" i="8"/>
  <c r="O238" i="8"/>
  <c r="O251" i="8"/>
  <c r="O256" i="8"/>
  <c r="F13" i="8"/>
  <c r="O59" i="8"/>
  <c r="O63" i="8"/>
  <c r="H13" i="8"/>
  <c r="O71" i="8"/>
  <c r="L25" i="8"/>
  <c r="O88" i="8"/>
  <c r="F15" i="8"/>
  <c r="O97" i="8"/>
  <c r="O102" i="8"/>
  <c r="O131" i="8"/>
  <c r="O137" i="8"/>
  <c r="J19" i="8"/>
  <c r="O143" i="8"/>
  <c r="O149" i="8"/>
  <c r="J20" i="8"/>
  <c r="O155" i="8"/>
  <c r="O161" i="8"/>
  <c r="F21" i="8"/>
  <c r="O169" i="8"/>
  <c r="O175" i="8"/>
  <c r="O182" i="8"/>
  <c r="O188" i="8"/>
  <c r="O194" i="8"/>
  <c r="H23" i="8"/>
  <c r="O200" i="8"/>
  <c r="O220" i="8"/>
  <c r="O231" i="8"/>
  <c r="O237" i="8"/>
  <c r="O249" i="8"/>
  <c r="O65" i="8"/>
  <c r="O103" i="8"/>
  <c r="O58" i="8"/>
  <c r="O67" i="8"/>
  <c r="J13" i="8"/>
  <c r="O70" i="8"/>
  <c r="F14" i="8"/>
  <c r="O87" i="8"/>
  <c r="O91" i="8"/>
  <c r="O96" i="8"/>
  <c r="O101" i="8"/>
  <c r="O130" i="8"/>
  <c r="O136" i="8"/>
  <c r="O142" i="8"/>
  <c r="O148" i="8"/>
  <c r="O154" i="8"/>
  <c r="O160" i="8"/>
  <c r="O168" i="8"/>
  <c r="O174" i="8"/>
  <c r="O187" i="8"/>
  <c r="O193" i="8"/>
  <c r="O199" i="8"/>
  <c r="G10" i="35"/>
  <c r="O219" i="8"/>
  <c r="H26" i="8"/>
  <c r="O230" i="8"/>
  <c r="O236" i="8"/>
  <c r="O248" i="8"/>
  <c r="O62" i="8"/>
  <c r="O68" i="8"/>
  <c r="O77" i="8"/>
  <c r="O86" i="8"/>
  <c r="O95" i="8"/>
  <c r="L15" i="8"/>
  <c r="O100" i="8"/>
  <c r="J16" i="8"/>
  <c r="D18" i="8"/>
  <c r="O135" i="8"/>
  <c r="O141" i="8"/>
  <c r="O147" i="8"/>
  <c r="O153" i="8"/>
  <c r="O159" i="8"/>
  <c r="O167" i="8"/>
  <c r="O173" i="8"/>
  <c r="L22" i="8"/>
  <c r="J22" i="8"/>
  <c r="O186" i="8"/>
  <c r="J23" i="8"/>
  <c r="O192" i="8"/>
  <c r="O198" i="8"/>
  <c r="O204" i="8"/>
  <c r="O229" i="8"/>
  <c r="O235" i="8"/>
  <c r="O241" i="8"/>
  <c r="O244" i="8"/>
  <c r="J28" i="8"/>
  <c r="O254" i="8"/>
  <c r="O259" i="8"/>
  <c r="E101" i="25"/>
  <c r="G101" i="25" s="1"/>
  <c r="E120" i="25"/>
  <c r="G120" i="25" s="1"/>
  <c r="E126" i="25"/>
  <c r="G126" i="25" s="1"/>
  <c r="F15" i="10"/>
  <c r="N114" i="10"/>
  <c r="AD114" i="10" s="1"/>
  <c r="R17" i="10"/>
  <c r="N56" i="10"/>
  <c r="N58" i="10"/>
  <c r="N61" i="10"/>
  <c r="L76" i="10"/>
  <c r="H18" i="10"/>
  <c r="V19" i="10"/>
  <c r="AB23" i="10"/>
  <c r="L79" i="10"/>
  <c r="X84" i="10"/>
  <c r="F18" i="10"/>
  <c r="L194" i="10"/>
  <c r="AD216" i="10"/>
  <c r="L9" i="10"/>
  <c r="O71" i="10"/>
  <c r="H11" i="10"/>
  <c r="D18" i="10"/>
  <c r="D10" i="10"/>
  <c r="N60" i="10"/>
  <c r="D11" i="10"/>
  <c r="F22" i="10"/>
  <c r="F12" i="10"/>
  <c r="P12" i="10"/>
  <c r="T12" i="10"/>
  <c r="H14" i="10"/>
  <c r="J16" i="10"/>
  <c r="H17" i="10"/>
  <c r="L153" i="10"/>
  <c r="C110" i="25"/>
  <c r="E110" i="25" s="1"/>
  <c r="F110" i="25" s="1"/>
  <c r="AD230" i="10"/>
  <c r="L8" i="10"/>
  <c r="H10" i="10"/>
  <c r="L57" i="10"/>
  <c r="L72" i="10"/>
  <c r="O73" i="10"/>
  <c r="V75" i="10"/>
  <c r="V11" i="10" s="1"/>
  <c r="R11" i="10"/>
  <c r="N80" i="10"/>
  <c r="AD80" i="10" s="1"/>
  <c r="U12" i="10"/>
  <c r="AB12" i="10"/>
  <c r="V88" i="10"/>
  <c r="V89" i="10"/>
  <c r="X92" i="10"/>
  <c r="N94" i="10"/>
  <c r="AD94" i="10" s="1"/>
  <c r="L97" i="10"/>
  <c r="X100" i="10"/>
  <c r="R15" i="10"/>
  <c r="X114" i="10"/>
  <c r="X124" i="10"/>
  <c r="N130" i="10"/>
  <c r="AD130" i="10" s="1"/>
  <c r="X154" i="10"/>
  <c r="F19" i="10"/>
  <c r="L204" i="10"/>
  <c r="J22" i="10"/>
  <c r="H24" i="10"/>
  <c r="D24" i="10"/>
  <c r="P24" i="10"/>
  <c r="C104" i="25"/>
  <c r="E104" i="25" s="1"/>
  <c r="F104" i="25" s="1"/>
  <c r="AD224" i="10"/>
  <c r="C107" i="25"/>
  <c r="E107" i="25" s="1"/>
  <c r="G107" i="25" s="1"/>
  <c r="AD227" i="10"/>
  <c r="C134" i="25"/>
  <c r="J10" i="10"/>
  <c r="J11" i="10"/>
  <c r="O69" i="10"/>
  <c r="J19" i="10"/>
  <c r="N82" i="10"/>
  <c r="AD82" i="10" s="1"/>
  <c r="N85" i="10"/>
  <c r="AD85" i="10" s="1"/>
  <c r="D15" i="10"/>
  <c r="N115" i="10"/>
  <c r="AD115" i="10" s="1"/>
  <c r="L23" i="10"/>
  <c r="N99" i="10"/>
  <c r="AD99" i="10" s="1"/>
  <c r="V100" i="10"/>
  <c r="N103" i="10"/>
  <c r="AD103" i="10" s="1"/>
  <c r="N105" i="10"/>
  <c r="AD105" i="10" s="1"/>
  <c r="U14" i="10"/>
  <c r="V106" i="10"/>
  <c r="X109" i="10"/>
  <c r="L111" i="10"/>
  <c r="P15" i="10"/>
  <c r="L116" i="10"/>
  <c r="X117" i="10"/>
  <c r="N119" i="10"/>
  <c r="AD119" i="10" s="1"/>
  <c r="V120" i="10"/>
  <c r="V122" i="10"/>
  <c r="L126" i="10"/>
  <c r="L127" i="10"/>
  <c r="L129" i="10"/>
  <c r="V130" i="10"/>
  <c r="T16" i="10"/>
  <c r="N136" i="10"/>
  <c r="AD136" i="10" s="1"/>
  <c r="N137" i="10"/>
  <c r="AD137" i="10" s="1"/>
  <c r="N141" i="10"/>
  <c r="C21" i="25" s="1"/>
  <c r="E21" i="25" s="1"/>
  <c r="G21" i="25" s="1"/>
  <c r="X142" i="10"/>
  <c r="N143" i="10"/>
  <c r="J6" i="30" s="1"/>
  <c r="L147" i="10"/>
  <c r="J18" i="10"/>
  <c r="X152" i="10"/>
  <c r="N154" i="10"/>
  <c r="J17" i="30" s="1"/>
  <c r="V156" i="10"/>
  <c r="L158" i="10"/>
  <c r="L164" i="10"/>
  <c r="V167" i="10"/>
  <c r="X172" i="10"/>
  <c r="N174" i="10"/>
  <c r="J37" i="30" s="1"/>
  <c r="N176" i="10"/>
  <c r="J39" i="30" s="1"/>
  <c r="X181" i="10"/>
  <c r="V186" i="10"/>
  <c r="N187" i="10"/>
  <c r="AD187" i="10" s="1"/>
  <c r="N190" i="10"/>
  <c r="AD190" i="10" s="1"/>
  <c r="V193" i="10"/>
  <c r="V195" i="10"/>
  <c r="L202" i="10"/>
  <c r="N205" i="10"/>
  <c r="J68" i="30" s="1"/>
  <c r="L68" i="30" s="1"/>
  <c r="V206" i="10"/>
  <c r="AD218" i="10"/>
  <c r="AD249" i="10"/>
  <c r="X120" i="10"/>
  <c r="V123" i="10"/>
  <c r="U16" i="10"/>
  <c r="L130" i="10"/>
  <c r="V143" i="10"/>
  <c r="P18" i="10"/>
  <c r="L161" i="10"/>
  <c r="L165" i="10"/>
  <c r="L167" i="10"/>
  <c r="N181" i="10"/>
  <c r="AD181" i="10" s="1"/>
  <c r="V184" i="10"/>
  <c r="H21" i="10"/>
  <c r="AB21" i="10"/>
  <c r="N195" i="10"/>
  <c r="C75" i="25" s="1"/>
  <c r="N200" i="10"/>
  <c r="AD200" i="10" s="1"/>
  <c r="V201" i="10"/>
  <c r="L205" i="10"/>
  <c r="AD215" i="10"/>
  <c r="AD239" i="10"/>
  <c r="AB298" i="10" s="1"/>
  <c r="AD246" i="10"/>
  <c r="AD252" i="10"/>
  <c r="N87" i="10"/>
  <c r="AD87" i="10" s="1"/>
  <c r="L90" i="10"/>
  <c r="X91" i="10"/>
  <c r="N93" i="10"/>
  <c r="AD93" i="10" s="1"/>
  <c r="V94" i="10"/>
  <c r="V96" i="10"/>
  <c r="X99" i="10"/>
  <c r="AD102" i="10"/>
  <c r="L104" i="10"/>
  <c r="V116" i="10"/>
  <c r="N125" i="10"/>
  <c r="AD125" i="10" s="1"/>
  <c r="D16" i="10"/>
  <c r="V126" i="10"/>
  <c r="V129" i="10"/>
  <c r="N135" i="10"/>
  <c r="AD135" i="10" s="1"/>
  <c r="X136" i="10"/>
  <c r="N140" i="10"/>
  <c r="AD140" i="10" s="1"/>
  <c r="X141" i="10"/>
  <c r="F17" i="10"/>
  <c r="X143" i="10"/>
  <c r="N145" i="10"/>
  <c r="C25" i="25" s="1"/>
  <c r="V147" i="10"/>
  <c r="L151" i="10"/>
  <c r="R18" i="10"/>
  <c r="N155" i="10"/>
  <c r="AD155" i="10" s="1"/>
  <c r="X157" i="10"/>
  <c r="V160" i="10"/>
  <c r="N161" i="10"/>
  <c r="J24" i="30" s="1"/>
  <c r="V164" i="10"/>
  <c r="V166" i="10"/>
  <c r="N171" i="10"/>
  <c r="C51" i="25" s="1"/>
  <c r="L180" i="10"/>
  <c r="V188" i="10"/>
  <c r="V196" i="10"/>
  <c r="X197" i="10"/>
  <c r="X199" i="10"/>
  <c r="N201" i="10"/>
  <c r="J64" i="30" s="1"/>
  <c r="X201" i="10"/>
  <c r="E124" i="25"/>
  <c r="F124" i="25" s="1"/>
  <c r="H13" i="10"/>
  <c r="X94" i="10"/>
  <c r="N96" i="10"/>
  <c r="AD96" i="10" s="1"/>
  <c r="V97" i="10"/>
  <c r="V99" i="10"/>
  <c r="T14" i="10"/>
  <c r="L108" i="10"/>
  <c r="V111" i="10"/>
  <c r="N113" i="10"/>
  <c r="AD113" i="10" s="1"/>
  <c r="AB15" i="10"/>
  <c r="N116" i="10"/>
  <c r="AD116" i="10" s="1"/>
  <c r="V117" i="10"/>
  <c r="V119" i="10"/>
  <c r="X122" i="10"/>
  <c r="N126" i="10"/>
  <c r="AD126" i="10" s="1"/>
  <c r="V127" i="10"/>
  <c r="X129" i="10"/>
  <c r="L133" i="10"/>
  <c r="L136" i="10"/>
  <c r="V137" i="10"/>
  <c r="L141" i="10"/>
  <c r="X147" i="10"/>
  <c r="P17" i="10"/>
  <c r="U18" i="10"/>
  <c r="N151" i="10"/>
  <c r="AD151" i="10" s="1"/>
  <c r="L152" i="10"/>
  <c r="L154" i="10"/>
  <c r="V158" i="10"/>
  <c r="X160" i="10"/>
  <c r="V161" i="10"/>
  <c r="X164" i="10"/>
  <c r="N166" i="10"/>
  <c r="AD166" i="10" s="1"/>
  <c r="E46" i="25" s="1"/>
  <c r="F46" i="25" s="1"/>
  <c r="V168" i="10"/>
  <c r="V172" i="10"/>
  <c r="L174" i="10"/>
  <c r="V174" i="10"/>
  <c r="L176" i="10"/>
  <c r="V176" i="10"/>
  <c r="N180" i="10"/>
  <c r="C60" i="25" s="1"/>
  <c r="N186" i="10"/>
  <c r="C66" i="25" s="1"/>
  <c r="E66" i="25" s="1"/>
  <c r="F66" i="25" s="1"/>
  <c r="L187" i="10"/>
  <c r="L188" i="10"/>
  <c r="N189" i="10"/>
  <c r="AD189" i="10" s="1"/>
  <c r="X190" i="10"/>
  <c r="X195" i="10"/>
  <c r="X200" i="10"/>
  <c r="V205" i="10"/>
  <c r="V209" i="10"/>
  <c r="AD221" i="10"/>
  <c r="R26" i="10"/>
  <c r="P26" i="10"/>
  <c r="O67" i="10"/>
  <c r="O68" i="10"/>
  <c r="F11" i="10"/>
  <c r="D63" i="25"/>
  <c r="D103" i="25"/>
  <c r="E103" i="25" s="1"/>
  <c r="AD223" i="10"/>
  <c r="F10" i="10"/>
  <c r="T11" i="10"/>
  <c r="T13" i="10"/>
  <c r="V63" i="10"/>
  <c r="V10" i="10" s="1"/>
  <c r="J12" i="10"/>
  <c r="D13" i="10"/>
  <c r="P13" i="10"/>
  <c r="AB13" i="10"/>
  <c r="H15" i="10"/>
  <c r="T15" i="10"/>
  <c r="J17" i="10"/>
  <c r="AB17" i="10"/>
  <c r="H19" i="10"/>
  <c r="H20" i="10"/>
  <c r="D21" i="10"/>
  <c r="AB22" i="10"/>
  <c r="N79" i="10"/>
  <c r="AD79" i="10" s="1"/>
  <c r="L114" i="10"/>
  <c r="V114" i="10"/>
  <c r="L160" i="10"/>
  <c r="N197" i="10"/>
  <c r="L199" i="10"/>
  <c r="D105" i="25"/>
  <c r="E105" i="25" s="1"/>
  <c r="G105" i="25" s="1"/>
  <c r="AD225" i="10"/>
  <c r="L25" i="10"/>
  <c r="C127" i="25"/>
  <c r="E127" i="25" s="1"/>
  <c r="F127" i="25" s="1"/>
  <c r="AD247" i="10"/>
  <c r="C117" i="25"/>
  <c r="E117" i="25" s="1"/>
  <c r="G117" i="25" s="1"/>
  <c r="AD237" i="10"/>
  <c r="C122" i="25"/>
  <c r="E122" i="25" s="1"/>
  <c r="G122" i="25" s="1"/>
  <c r="AD242" i="10"/>
  <c r="P14" i="10"/>
  <c r="H16" i="10"/>
  <c r="U17" i="10"/>
  <c r="T18" i="10"/>
  <c r="AB19" i="10"/>
  <c r="R21" i="10"/>
  <c r="D47" i="25"/>
  <c r="D100" i="25"/>
  <c r="E100" i="25" s="1"/>
  <c r="G100" i="25" s="1"/>
  <c r="AD220" i="10"/>
  <c r="C114" i="25"/>
  <c r="E114" i="25" s="1"/>
  <c r="F114" i="25" s="1"/>
  <c r="AD234" i="10"/>
  <c r="D14" i="10"/>
  <c r="F14" i="10"/>
  <c r="X85" i="10"/>
  <c r="L93" i="10"/>
  <c r="L103" i="10"/>
  <c r="V105" i="10"/>
  <c r="N128" i="10"/>
  <c r="AD128" i="10" s="1"/>
  <c r="X128" i="10"/>
  <c r="E11" i="25"/>
  <c r="G11" i="25" s="1"/>
  <c r="V132" i="10"/>
  <c r="L140" i="10"/>
  <c r="V148" i="10"/>
  <c r="N150" i="10"/>
  <c r="X150" i="10"/>
  <c r="V157" i="10"/>
  <c r="N165" i="10"/>
  <c r="AD165" i="10" s="1"/>
  <c r="E45" i="25" s="1"/>
  <c r="F45" i="25" s="1"/>
  <c r="N173" i="10"/>
  <c r="D60" i="25"/>
  <c r="D69" i="25"/>
  <c r="C94" i="25"/>
  <c r="J77" i="30"/>
  <c r="D97" i="25"/>
  <c r="E97" i="25" s="1"/>
  <c r="AD217" i="10"/>
  <c r="C111" i="25"/>
  <c r="E111" i="25" s="1"/>
  <c r="F111" i="25" s="1"/>
  <c r="AD231" i="10"/>
  <c r="R23" i="10"/>
  <c r="L55" i="10"/>
  <c r="N66" i="10"/>
  <c r="U13" i="10"/>
  <c r="U20" i="10"/>
  <c r="AB20" i="10"/>
  <c r="U21" i="10"/>
  <c r="R22" i="10"/>
  <c r="N23" i="10"/>
  <c r="AB24" i="10"/>
  <c r="V138" i="10"/>
  <c r="L148" i="10"/>
  <c r="L157" i="10"/>
  <c r="L163" i="10"/>
  <c r="N178" i="10"/>
  <c r="X193" i="10"/>
  <c r="N194" i="10"/>
  <c r="D76" i="25"/>
  <c r="V202" i="10"/>
  <c r="N204" i="10"/>
  <c r="C84" i="25" s="1"/>
  <c r="D94" i="25"/>
  <c r="AD214" i="10"/>
  <c r="C108" i="25"/>
  <c r="E108" i="25" s="1"/>
  <c r="F108" i="25" s="1"/>
  <c r="AD228" i="10"/>
  <c r="D72" i="25"/>
  <c r="D12" i="10"/>
  <c r="R14" i="10"/>
  <c r="F20" i="10"/>
  <c r="P20" i="10"/>
  <c r="L138" i="10"/>
  <c r="V145" i="10"/>
  <c r="V154" i="10"/>
  <c r="V163" i="10"/>
  <c r="D44" i="25"/>
  <c r="X168" i="10"/>
  <c r="D52" i="25"/>
  <c r="X178" i="10"/>
  <c r="L183" i="10"/>
  <c r="V189" i="10"/>
  <c r="L192" i="10"/>
  <c r="V192" i="10"/>
  <c r="N208" i="10"/>
  <c r="J71" i="30" s="1"/>
  <c r="K71" i="30" s="1"/>
  <c r="AD210" i="10"/>
  <c r="J25" i="10"/>
  <c r="U25" i="10"/>
  <c r="H26" i="10"/>
  <c r="C130" i="25"/>
  <c r="AD250" i="10"/>
  <c r="F26" i="10"/>
  <c r="O94" i="8"/>
  <c r="O116" i="8"/>
  <c r="O129" i="8"/>
  <c r="O152" i="8"/>
  <c r="O164" i="8"/>
  <c r="W67" i="7"/>
  <c r="W92" i="7"/>
  <c r="W162" i="7"/>
  <c r="W168" i="7"/>
  <c r="W174" i="7"/>
  <c r="H25" i="7"/>
  <c r="T25" i="7"/>
  <c r="W229" i="7"/>
  <c r="W235" i="7"/>
  <c r="W242" i="7"/>
  <c r="W255" i="7"/>
  <c r="X70" i="3"/>
  <c r="X76" i="3"/>
  <c r="X106" i="3"/>
  <c r="X112" i="3"/>
  <c r="X118" i="3"/>
  <c r="X124" i="3"/>
  <c r="X141" i="3"/>
  <c r="X142" i="3"/>
  <c r="D19" i="3"/>
  <c r="X143" i="3"/>
  <c r="H20" i="3"/>
  <c r="X153" i="3"/>
  <c r="X163" i="3"/>
  <c r="H28" i="8"/>
  <c r="W107" i="7"/>
  <c r="D15" i="7"/>
  <c r="W116" i="7"/>
  <c r="D16" i="7"/>
  <c r="W120" i="7"/>
  <c r="W129" i="7"/>
  <c r="X83" i="3"/>
  <c r="D14" i="3"/>
  <c r="X152" i="3"/>
  <c r="D20" i="3"/>
  <c r="J78" i="30"/>
  <c r="C95" i="25"/>
  <c r="E95" i="25" s="1"/>
  <c r="F95" i="25" s="1"/>
  <c r="D25" i="10"/>
  <c r="P25" i="10"/>
  <c r="D14" i="8"/>
  <c r="D13" i="7"/>
  <c r="F13" i="7"/>
  <c r="W80" i="7"/>
  <c r="W112" i="7"/>
  <c r="W121" i="7"/>
  <c r="J17" i="7"/>
  <c r="W130" i="7"/>
  <c r="W139" i="7"/>
  <c r="L18" i="7"/>
  <c r="W148" i="7"/>
  <c r="W182" i="7"/>
  <c r="R22" i="7"/>
  <c r="W191" i="7"/>
  <c r="X79" i="3"/>
  <c r="F15" i="3"/>
  <c r="R15" i="3"/>
  <c r="X97" i="3"/>
  <c r="X105" i="3"/>
  <c r="D16" i="3"/>
  <c r="X117" i="3"/>
  <c r="D17" i="3"/>
  <c r="X129" i="3"/>
  <c r="D18" i="3"/>
  <c r="E112" i="25"/>
  <c r="G112" i="25" s="1"/>
  <c r="L26" i="10"/>
  <c r="H25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N12" i="7"/>
  <c r="J13" i="7"/>
  <c r="W81" i="7"/>
  <c r="W90" i="7"/>
  <c r="L14" i="7"/>
  <c r="W99" i="7"/>
  <c r="W113" i="7"/>
  <c r="W122" i="7"/>
  <c r="W131" i="7"/>
  <c r="W140" i="7"/>
  <c r="D18" i="7"/>
  <c r="W149" i="7"/>
  <c r="F19" i="7"/>
  <c r="W153" i="7"/>
  <c r="W157" i="7"/>
  <c r="W163" i="7"/>
  <c r="W165" i="7"/>
  <c r="W169" i="7"/>
  <c r="W171" i="7"/>
  <c r="W175" i="7"/>
  <c r="W177" i="7"/>
  <c r="J21" i="7"/>
  <c r="W178" i="7"/>
  <c r="N21" i="7"/>
  <c r="W186" i="7"/>
  <c r="J22" i="7"/>
  <c r="W187" i="7"/>
  <c r="W224" i="7"/>
  <c r="W226" i="7"/>
  <c r="W230" i="7"/>
  <c r="W232" i="7"/>
  <c r="W236" i="7"/>
  <c r="W238" i="7"/>
  <c r="W243" i="7"/>
  <c r="W256" i="7"/>
  <c r="W258" i="7"/>
  <c r="X71" i="3"/>
  <c r="X73" i="3"/>
  <c r="X77" i="3"/>
  <c r="X80" i="3"/>
  <c r="N15" i="3"/>
  <c r="X101" i="3"/>
  <c r="X107" i="3"/>
  <c r="X109" i="3"/>
  <c r="X113" i="3"/>
  <c r="X115" i="3"/>
  <c r="X119" i="3"/>
  <c r="X121" i="3"/>
  <c r="X125" i="3"/>
  <c r="X127" i="3"/>
  <c r="N20" i="3"/>
  <c r="X162" i="3"/>
  <c r="X164" i="3"/>
  <c r="X238" i="3"/>
  <c r="J79" i="30"/>
  <c r="C96" i="25"/>
  <c r="E96" i="25" s="1"/>
  <c r="F96" i="25" s="1"/>
  <c r="J25" i="8"/>
  <c r="O243" i="8"/>
  <c r="W82" i="7"/>
  <c r="W91" i="7"/>
  <c r="D14" i="7"/>
  <c r="P14" i="7"/>
  <c r="W100" i="7"/>
  <c r="J15" i="7"/>
  <c r="W109" i="7"/>
  <c r="J16" i="7"/>
  <c r="W118" i="7"/>
  <c r="W127" i="7"/>
  <c r="W136" i="7"/>
  <c r="W145" i="7"/>
  <c r="P22" i="7"/>
  <c r="W201" i="7"/>
  <c r="D23" i="7"/>
  <c r="W213" i="7"/>
  <c r="D24" i="7"/>
  <c r="P24" i="7"/>
  <c r="X58" i="3"/>
  <c r="X65" i="3"/>
  <c r="H14" i="3"/>
  <c r="T14" i="3"/>
  <c r="X92" i="3"/>
  <c r="D15" i="3"/>
  <c r="J20" i="3"/>
  <c r="X156" i="3"/>
  <c r="H21" i="3"/>
  <c r="T21" i="3"/>
  <c r="J73" i="30"/>
  <c r="C90" i="25"/>
  <c r="E90" i="25" s="1"/>
  <c r="J74" i="30"/>
  <c r="C91" i="25"/>
  <c r="E91" i="25" s="1"/>
  <c r="G91" i="25" s="1"/>
  <c r="AD211" i="10"/>
  <c r="AD251" i="10"/>
  <c r="D22" i="7"/>
  <c r="W87" i="7"/>
  <c r="W96" i="7"/>
  <c r="F15" i="7"/>
  <c r="W105" i="7"/>
  <c r="W110" i="7"/>
  <c r="W119" i="7"/>
  <c r="W128" i="7"/>
  <c r="D17" i="7"/>
  <c r="P17" i="7"/>
  <c r="W137" i="7"/>
  <c r="W146" i="7"/>
  <c r="N19" i="7"/>
  <c r="W155" i="7"/>
  <c r="W164" i="7"/>
  <c r="D20" i="7"/>
  <c r="P20" i="7"/>
  <c r="W183" i="7"/>
  <c r="W192" i="7"/>
  <c r="W197" i="7"/>
  <c r="W199" i="7"/>
  <c r="L23" i="7"/>
  <c r="W203" i="7"/>
  <c r="W205" i="7"/>
  <c r="W209" i="7"/>
  <c r="W211" i="7"/>
  <c r="W215" i="7"/>
  <c r="W217" i="7"/>
  <c r="W221" i="7"/>
  <c r="W237" i="7"/>
  <c r="D26" i="7"/>
  <c r="P26" i="7"/>
  <c r="X56" i="3"/>
  <c r="X62" i="3"/>
  <c r="X82" i="3"/>
  <c r="X84" i="3"/>
  <c r="X88" i="3"/>
  <c r="X90" i="3"/>
  <c r="X98" i="3"/>
  <c r="J18" i="3"/>
  <c r="F20" i="3"/>
  <c r="X165" i="3"/>
  <c r="D21" i="3"/>
  <c r="X229" i="3"/>
  <c r="X145" i="3"/>
  <c r="X184" i="3"/>
  <c r="X193" i="3"/>
  <c r="X221" i="3"/>
  <c r="B40" i="26"/>
  <c r="B39" i="26"/>
  <c r="X139" i="3"/>
  <c r="X157" i="3"/>
  <c r="X172" i="3"/>
  <c r="X180" i="3"/>
  <c r="X181" i="3"/>
  <c r="X189" i="3"/>
  <c r="X190" i="3"/>
  <c r="X197" i="3"/>
  <c r="X203" i="3"/>
  <c r="X209" i="3"/>
  <c r="X213" i="3"/>
  <c r="X215" i="3"/>
  <c r="X136" i="3"/>
  <c r="X154" i="3"/>
  <c r="X174" i="3"/>
  <c r="X225" i="3"/>
  <c r="X234" i="3"/>
  <c r="X130" i="3"/>
  <c r="X148" i="3"/>
  <c r="X166" i="3"/>
  <c r="X168" i="3"/>
  <c r="X176" i="3"/>
  <c r="X200" i="3"/>
  <c r="X206" i="3"/>
  <c r="X212" i="3"/>
  <c r="X217" i="3"/>
  <c r="X230" i="3"/>
  <c r="X231" i="3"/>
  <c r="X239" i="3"/>
  <c r="X240" i="3"/>
  <c r="P28" i="3"/>
  <c r="X257" i="3"/>
  <c r="H18" i="24"/>
  <c r="F167" i="24"/>
  <c r="R28" i="3"/>
  <c r="F11" i="24"/>
  <c r="I64" i="21"/>
  <c r="X256" i="3"/>
  <c r="D8" i="24"/>
  <c r="I60" i="21"/>
  <c r="N28" i="3"/>
  <c r="I156" i="21"/>
  <c r="D7" i="43"/>
  <c r="D11" i="43"/>
  <c r="I128" i="44"/>
  <c r="G157" i="21"/>
  <c r="D7" i="32"/>
  <c r="H136" i="43"/>
  <c r="H16" i="43" s="1"/>
  <c r="I124" i="44"/>
  <c r="I153" i="44"/>
  <c r="F17" i="43"/>
  <c r="D8" i="32"/>
  <c r="H19" i="43"/>
  <c r="E11" i="44"/>
  <c r="E6" i="25"/>
  <c r="F6" i="25" s="1"/>
  <c r="E17" i="25"/>
  <c r="F17" i="25" s="1"/>
  <c r="G18" i="25"/>
  <c r="E83" i="30"/>
  <c r="E8" i="25"/>
  <c r="G8" i="25" s="1"/>
  <c r="F12" i="25"/>
  <c r="E19" i="25"/>
  <c r="F19" i="25" s="1"/>
  <c r="H82" i="31"/>
  <c r="N82" i="31"/>
  <c r="V26" i="10"/>
  <c r="O250" i="8"/>
  <c r="J27" i="7"/>
  <c r="L27" i="7"/>
  <c r="W259" i="7"/>
  <c r="W260" i="7"/>
  <c r="D17" i="43"/>
  <c r="D21" i="43"/>
  <c r="I138" i="44"/>
  <c r="I18" i="44" s="1"/>
  <c r="X24" i="10"/>
  <c r="F25" i="10"/>
  <c r="H25" i="10"/>
  <c r="P27" i="7"/>
  <c r="G21" i="44"/>
  <c r="X255" i="3"/>
  <c r="E18" i="44"/>
  <c r="R24" i="10"/>
  <c r="U26" i="10"/>
  <c r="O255" i="8"/>
  <c r="E116" i="25"/>
  <c r="F116" i="25" s="1"/>
  <c r="E119" i="25"/>
  <c r="F119" i="25" s="1"/>
  <c r="E118" i="25"/>
  <c r="G118" i="25" s="1"/>
  <c r="E121" i="25"/>
  <c r="G121" i="25" s="1"/>
  <c r="V25" i="10"/>
  <c r="X25" i="10"/>
  <c r="F28" i="8"/>
  <c r="W249" i="7"/>
  <c r="D16" i="43"/>
  <c r="O262" i="8"/>
  <c r="F16" i="43"/>
  <c r="H154" i="43"/>
  <c r="N25" i="10"/>
  <c r="D28" i="8"/>
  <c r="O261" i="8"/>
  <c r="X261" i="3"/>
  <c r="X262" i="3"/>
  <c r="F20" i="43"/>
  <c r="I21" i="44"/>
  <c r="X260" i="3"/>
  <c r="J26" i="10"/>
  <c r="X26" i="10"/>
  <c r="L28" i="8"/>
  <c r="O260" i="8"/>
  <c r="D28" i="3"/>
  <c r="G18" i="44"/>
  <c r="G19" i="44"/>
  <c r="C140" i="25"/>
  <c r="H27" i="7"/>
  <c r="T27" i="7"/>
  <c r="W254" i="7"/>
  <c r="N26" i="10"/>
  <c r="T26" i="10"/>
  <c r="AD248" i="10"/>
  <c r="F28" i="3"/>
  <c r="H28" i="3"/>
  <c r="T28" i="3"/>
  <c r="D140" i="25"/>
  <c r="X250" i="3"/>
  <c r="N27" i="7"/>
  <c r="I156" i="44"/>
  <c r="E128" i="25"/>
  <c r="F128" i="25" s="1"/>
  <c r="W261" i="7"/>
  <c r="C137" i="25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E125" i="25"/>
  <c r="F125" i="25" s="1"/>
  <c r="E115" i="25"/>
  <c r="G115" i="25" s="1"/>
  <c r="E106" i="25"/>
  <c r="G106" i="25" s="1"/>
  <c r="E113" i="25"/>
  <c r="G113" i="25" s="1"/>
  <c r="E109" i="25"/>
  <c r="G109" i="25" s="1"/>
  <c r="E98" i="25"/>
  <c r="F98" i="25" s="1"/>
  <c r="E102" i="25"/>
  <c r="F102" i="25" s="1"/>
  <c r="E99" i="25"/>
  <c r="G99" i="25" s="1"/>
  <c r="E123" i="25"/>
  <c r="G123" i="25" s="1"/>
  <c r="H10" i="24" l="1"/>
  <c r="H27" i="20"/>
  <c r="C14" i="50"/>
  <c r="C10" i="50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G14" i="25"/>
  <c r="I14" i="20"/>
  <c r="F9" i="25"/>
  <c r="I54" i="20"/>
  <c r="H9" i="24"/>
  <c r="I13" i="20"/>
  <c r="E134" i="25"/>
  <c r="F134" i="25" s="1"/>
  <c r="AD191" i="10"/>
  <c r="J54" i="30"/>
  <c r="L54" i="30" s="1"/>
  <c r="E138" i="25"/>
  <c r="G138" i="25" s="1"/>
  <c r="I19" i="44"/>
  <c r="B20" i="47"/>
  <c r="B21" i="47" s="1"/>
  <c r="B22" i="47" s="1"/>
  <c r="M20" i="4"/>
  <c r="M19" i="4"/>
  <c r="E135" i="25"/>
  <c r="G135" i="25" s="1"/>
  <c r="V17" i="10"/>
  <c r="F92" i="25"/>
  <c r="H46" i="20"/>
  <c r="G7" i="25"/>
  <c r="C22" i="25"/>
  <c r="E22" i="25" s="1"/>
  <c r="F22" i="25" s="1"/>
  <c r="H38" i="20"/>
  <c r="H35" i="20"/>
  <c r="K48" i="30"/>
  <c r="C40" i="25"/>
  <c r="E40" i="25" s="1"/>
  <c r="F40" i="25" s="1"/>
  <c r="AD198" i="10"/>
  <c r="AD185" i="10"/>
  <c r="J23" i="30"/>
  <c r="K23" i="30" s="1"/>
  <c r="O58" i="10"/>
  <c r="C78" i="25"/>
  <c r="E78" i="25" s="1"/>
  <c r="F78" i="25" s="1"/>
  <c r="C65" i="25"/>
  <c r="E65" i="25" s="1"/>
  <c r="F65" i="25" s="1"/>
  <c r="C36" i="25"/>
  <c r="E36" i="25" s="1"/>
  <c r="F36" i="25" s="1"/>
  <c r="X16" i="10"/>
  <c r="J19" i="30"/>
  <c r="K19" i="30" s="1"/>
  <c r="C42" i="25"/>
  <c r="G42" i="25" s="1"/>
  <c r="O76" i="10"/>
  <c r="E132" i="25"/>
  <c r="F132" i="25" s="1"/>
  <c r="R7" i="32"/>
  <c r="K76" i="30"/>
  <c r="X12" i="3"/>
  <c r="H13" i="43"/>
  <c r="H11" i="43"/>
  <c r="W11" i="7"/>
  <c r="C35" i="26"/>
  <c r="C20" i="26" s="1"/>
  <c r="O12" i="8"/>
  <c r="O59" i="10"/>
  <c r="J25" i="30"/>
  <c r="K25" i="30" s="1"/>
  <c r="AD163" i="10"/>
  <c r="E43" i="25" s="1"/>
  <c r="F43" i="25" s="1"/>
  <c r="O77" i="10"/>
  <c r="AD179" i="10"/>
  <c r="C62" i="25"/>
  <c r="E62" i="25" s="1"/>
  <c r="F62" i="25" s="1"/>
  <c r="J45" i="30"/>
  <c r="L45" i="30" s="1"/>
  <c r="C59" i="25"/>
  <c r="E59" i="25" s="1"/>
  <c r="F59" i="25" s="1"/>
  <c r="F126" i="25"/>
  <c r="AD141" i="10"/>
  <c r="J5" i="30"/>
  <c r="L5" i="30" s="1"/>
  <c r="AD149" i="10"/>
  <c r="C55" i="25"/>
  <c r="X15" i="10"/>
  <c r="J12" i="30"/>
  <c r="L12" i="30" s="1"/>
  <c r="AD175" i="10"/>
  <c r="E55" i="25" s="1"/>
  <c r="F55" i="25" s="1"/>
  <c r="C49" i="25"/>
  <c r="G49" i="25" s="1"/>
  <c r="C64" i="25"/>
  <c r="E64" i="25" s="1"/>
  <c r="F64" i="25" s="1"/>
  <c r="AD188" i="10"/>
  <c r="C52" i="25"/>
  <c r="AD172" i="10"/>
  <c r="E52" i="25" s="1"/>
  <c r="F52" i="25" s="1"/>
  <c r="K61" i="30"/>
  <c r="AD144" i="10"/>
  <c r="O75" i="10"/>
  <c r="J32" i="30"/>
  <c r="K32" i="30" s="1"/>
  <c r="C50" i="25"/>
  <c r="G50" i="25" s="1"/>
  <c r="J69" i="30"/>
  <c r="L69" i="30" s="1"/>
  <c r="C76" i="25"/>
  <c r="E76" i="25" s="1"/>
  <c r="F76" i="25" s="1"/>
  <c r="C47" i="25"/>
  <c r="G47" i="25" s="1"/>
  <c r="C34" i="25"/>
  <c r="E34" i="25" s="1"/>
  <c r="F34" i="25" s="1"/>
  <c r="AD161" i="10"/>
  <c r="J26" i="30"/>
  <c r="L26" i="30" s="1"/>
  <c r="O60" i="10"/>
  <c r="L46" i="30"/>
  <c r="AD195" i="10"/>
  <c r="N11" i="10"/>
  <c r="AD11" i="10" s="1"/>
  <c r="AD148" i="10"/>
  <c r="O61" i="10"/>
  <c r="O57" i="10"/>
  <c r="AD206" i="10"/>
  <c r="H17" i="43"/>
  <c r="D38" i="26"/>
  <c r="C87" i="25"/>
  <c r="E87" i="25" s="1"/>
  <c r="F87" i="25" s="1"/>
  <c r="C85" i="25"/>
  <c r="E85" i="25" s="1"/>
  <c r="F85" i="25" s="1"/>
  <c r="G114" i="25"/>
  <c r="J33" i="30"/>
  <c r="K33" i="30" s="1"/>
  <c r="L62" i="30"/>
  <c r="O72" i="10"/>
  <c r="L16" i="10"/>
  <c r="L19" i="10"/>
  <c r="C56" i="25"/>
  <c r="J29" i="30"/>
  <c r="L29" i="30" s="1"/>
  <c r="J27" i="30"/>
  <c r="K27" i="30" s="1"/>
  <c r="J10" i="30"/>
  <c r="L10" i="30" s="1"/>
  <c r="K64" i="30"/>
  <c r="R10" i="32"/>
  <c r="G96" i="25"/>
  <c r="C79" i="25"/>
  <c r="E79" i="25" s="1"/>
  <c r="F79" i="25" s="1"/>
  <c r="X12" i="10"/>
  <c r="I48" i="20"/>
  <c r="H14" i="43"/>
  <c r="G16" i="25"/>
  <c r="H17" i="24"/>
  <c r="H37" i="20"/>
  <c r="L70" i="30"/>
  <c r="K62" i="30"/>
  <c r="I39" i="20"/>
  <c r="C73" i="25"/>
  <c r="E73" i="25" s="1"/>
  <c r="F73" i="25" s="1"/>
  <c r="AD159" i="10"/>
  <c r="AD147" i="10"/>
  <c r="X14" i="10"/>
  <c r="AD199" i="10"/>
  <c r="F112" i="25"/>
  <c r="G17" i="25"/>
  <c r="AD164" i="10"/>
  <c r="E44" i="25" s="1"/>
  <c r="G44" i="25" s="1"/>
  <c r="AD176" i="10"/>
  <c r="E56" i="25" s="1"/>
  <c r="F56" i="25" s="1"/>
  <c r="O56" i="1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C41" i="25"/>
  <c r="E41" i="25" s="1"/>
  <c r="F41" i="25" s="1"/>
  <c r="H8" i="43"/>
  <c r="K75" i="30"/>
  <c r="AD157" i="10"/>
  <c r="R12" i="32"/>
  <c r="H8" i="24"/>
  <c r="J51" i="30"/>
  <c r="K51" i="30" s="1"/>
  <c r="AD192" i="10"/>
  <c r="J59" i="30"/>
  <c r="K59" i="30" s="1"/>
  <c r="L48" i="30"/>
  <c r="C24" i="25"/>
  <c r="E24" i="25" s="1"/>
  <c r="F24" i="25" s="1"/>
  <c r="L38" i="30"/>
  <c r="C37" i="25"/>
  <c r="E37" i="25" s="1"/>
  <c r="F37" i="25" s="1"/>
  <c r="AD152" i="10"/>
  <c r="R9" i="32"/>
  <c r="L21" i="30"/>
  <c r="H14" i="24"/>
  <c r="AD203" i="10"/>
  <c r="R97" i="32"/>
  <c r="L74" i="30"/>
  <c r="I32" i="20"/>
  <c r="AD180" i="10"/>
  <c r="J55" i="30"/>
  <c r="V18" i="10"/>
  <c r="C32" i="25"/>
  <c r="E32" i="25" s="1"/>
  <c r="F32" i="25" s="1"/>
  <c r="N15" i="10"/>
  <c r="AD15" i="10" s="1"/>
  <c r="K35" i="30"/>
  <c r="C61" i="25"/>
  <c r="E61" i="25" s="1"/>
  <c r="F61" i="25" s="1"/>
  <c r="J43" i="30"/>
  <c r="K43" i="30" s="1"/>
  <c r="K40" i="30"/>
  <c r="L40" i="30"/>
  <c r="L39" i="30"/>
  <c r="K39" i="30"/>
  <c r="K46" i="30"/>
  <c r="K38" i="30"/>
  <c r="K21" i="30"/>
  <c r="X20" i="10"/>
  <c r="AD177" i="10"/>
  <c r="J30" i="30"/>
  <c r="C28" i="25"/>
  <c r="E28" i="25" s="1"/>
  <c r="F28" i="25" s="1"/>
  <c r="L17" i="10"/>
  <c r="H12" i="43"/>
  <c r="H11" i="24"/>
  <c r="H34" i="20"/>
  <c r="C63" i="25"/>
  <c r="E63" i="25" s="1"/>
  <c r="G63" i="25" s="1"/>
  <c r="C57" i="25"/>
  <c r="E57" i="25" s="1"/>
  <c r="F57" i="25" s="1"/>
  <c r="AD168" i="10"/>
  <c r="E48" i="25" s="1"/>
  <c r="F48" i="25" s="1"/>
  <c r="C48" i="25"/>
  <c r="AD183" i="10"/>
  <c r="L22" i="30"/>
  <c r="L12" i="10"/>
  <c r="H9" i="43"/>
  <c r="O17" i="8"/>
  <c r="AD207" i="10"/>
  <c r="K70" i="30"/>
  <c r="H7" i="43"/>
  <c r="L73" i="30"/>
  <c r="J58" i="30"/>
  <c r="K58" i="30" s="1"/>
  <c r="AD153" i="10"/>
  <c r="C33" i="25"/>
  <c r="E33" i="25" s="1"/>
  <c r="F33" i="25" s="1"/>
  <c r="AD143" i="10"/>
  <c r="C26" i="25"/>
  <c r="E26" i="25" s="1"/>
  <c r="F26" i="25" s="1"/>
  <c r="AD158" i="10"/>
  <c r="K78" i="30"/>
  <c r="AD146" i="10"/>
  <c r="C23" i="25"/>
  <c r="E23" i="25" s="1"/>
  <c r="F23" i="25" s="1"/>
  <c r="X18" i="10"/>
  <c r="L64" i="30"/>
  <c r="H12" i="24"/>
  <c r="K24" i="30"/>
  <c r="L24" i="30"/>
  <c r="L65" i="30"/>
  <c r="C41" i="26"/>
  <c r="C26" i="26" s="1"/>
  <c r="J52" i="30"/>
  <c r="V12" i="10"/>
  <c r="F21" i="25"/>
  <c r="H13" i="24"/>
  <c r="I13" i="44"/>
  <c r="H10" i="43"/>
  <c r="C33" i="26"/>
  <c r="C18" i="26" s="1"/>
  <c r="B18" i="26" s="1"/>
  <c r="D34" i="26"/>
  <c r="D35" i="26"/>
  <c r="F120" i="25"/>
  <c r="F101" i="25"/>
  <c r="K73" i="30"/>
  <c r="J72" i="30"/>
  <c r="L72" i="30" s="1"/>
  <c r="J66" i="30"/>
  <c r="L66" i="30" s="1"/>
  <c r="AB297" i="10"/>
  <c r="O21" i="8"/>
  <c r="X21" i="10"/>
  <c r="L14" i="10"/>
  <c r="C54" i="25"/>
  <c r="C35" i="25"/>
  <c r="E35" i="25" s="1"/>
  <c r="F35" i="25" s="1"/>
  <c r="V16" i="10"/>
  <c r="L15" i="10"/>
  <c r="J18" i="30"/>
  <c r="N10" i="10"/>
  <c r="K22" i="30"/>
  <c r="O66" i="10"/>
  <c r="X17" i="10"/>
  <c r="AD186" i="10"/>
  <c r="N17" i="10"/>
  <c r="AD17" i="10" s="1"/>
  <c r="N16" i="10"/>
  <c r="AD16" i="10" s="1"/>
  <c r="I12" i="44"/>
  <c r="I16" i="44"/>
  <c r="I11" i="44"/>
  <c r="D37" i="26"/>
  <c r="D33" i="26"/>
  <c r="D42" i="26" s="1"/>
  <c r="O16" i="8"/>
  <c r="O22" i="8"/>
  <c r="O26" i="8"/>
  <c r="O27" i="8"/>
  <c r="G124" i="25"/>
  <c r="G108" i="25"/>
  <c r="K65" i="30"/>
  <c r="K74" i="30"/>
  <c r="AD202" i="10"/>
  <c r="AD209" i="10"/>
  <c r="K77" i="30"/>
  <c r="C82" i="25"/>
  <c r="E82" i="25" s="1"/>
  <c r="F82" i="25" s="1"/>
  <c r="G119" i="25"/>
  <c r="K16" i="30"/>
  <c r="X13" i="10"/>
  <c r="V20" i="10"/>
  <c r="G129" i="25"/>
  <c r="O9" i="10"/>
  <c r="L17" i="30"/>
  <c r="K17" i="30"/>
  <c r="G98" i="25"/>
  <c r="G6" i="25"/>
  <c r="F8" i="25"/>
  <c r="C40" i="26"/>
  <c r="C25" i="26" s="1"/>
  <c r="W18" i="7"/>
  <c r="C70" i="25"/>
  <c r="E70" i="25" s="1"/>
  <c r="F70" i="25" s="1"/>
  <c r="C69" i="25"/>
  <c r="E69" i="25" s="1"/>
  <c r="G69" i="25" s="1"/>
  <c r="AD154" i="10"/>
  <c r="AD145" i="10"/>
  <c r="J50" i="30"/>
  <c r="K50" i="30" s="1"/>
  <c r="V15" i="10"/>
  <c r="AD174" i="10"/>
  <c r="E54" i="25" s="1"/>
  <c r="F54" i="25" s="1"/>
  <c r="N14" i="10"/>
  <c r="AD14" i="1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V14" i="10"/>
  <c r="C31" i="25"/>
  <c r="E31" i="25" s="1"/>
  <c r="F31" i="25" s="1"/>
  <c r="V13" i="10"/>
  <c r="N18" i="10"/>
  <c r="AD18" i="10" s="1"/>
  <c r="N19" i="10"/>
  <c r="AD19" i="10" s="1"/>
  <c r="I28" i="20"/>
  <c r="H28" i="20"/>
  <c r="H42" i="20"/>
  <c r="I42" i="20"/>
  <c r="W19" i="7"/>
  <c r="F47" i="25"/>
  <c r="J14" i="30"/>
  <c r="L14" i="30" s="1"/>
  <c r="V21" i="10"/>
  <c r="L18" i="10"/>
  <c r="O14" i="8"/>
  <c r="O13" i="8"/>
  <c r="I25" i="20"/>
  <c r="H25" i="20"/>
  <c r="O15" i="8"/>
  <c r="O19" i="8"/>
  <c r="O20" i="8"/>
  <c r="I14" i="44"/>
  <c r="I22" i="20"/>
  <c r="H22" i="20"/>
  <c r="O63" i="10"/>
  <c r="C13" i="50"/>
  <c r="C11" i="50"/>
  <c r="C12" i="50"/>
  <c r="I17" i="44"/>
  <c r="I9" i="44"/>
  <c r="I10" i="44"/>
  <c r="H15" i="43"/>
  <c r="X27" i="3"/>
  <c r="X19" i="3"/>
  <c r="X24" i="3"/>
  <c r="X18" i="3"/>
  <c r="X22" i="3"/>
  <c r="X28" i="3"/>
  <c r="X23" i="3"/>
  <c r="X17" i="3"/>
  <c r="X25" i="3"/>
  <c r="C34" i="26"/>
  <c r="C19" i="26" s="1"/>
  <c r="C37" i="26"/>
  <c r="C22" i="26" s="1"/>
  <c r="D39" i="26"/>
  <c r="D40" i="26"/>
  <c r="D36" i="26"/>
  <c r="C39" i="26"/>
  <c r="C24" i="26" s="1"/>
  <c r="W20" i="7"/>
  <c r="W25" i="7"/>
  <c r="W26" i="7"/>
  <c r="C38" i="26"/>
  <c r="C23" i="26" s="1"/>
  <c r="W23" i="7"/>
  <c r="W12" i="7"/>
  <c r="W24" i="7"/>
  <c r="C36" i="26"/>
  <c r="C21" i="26" s="1"/>
  <c r="W13" i="7"/>
  <c r="O18" i="8"/>
  <c r="O23" i="8"/>
  <c r="O24" i="8"/>
  <c r="L79" i="30"/>
  <c r="G86" i="25"/>
  <c r="K68" i="30"/>
  <c r="L78" i="30"/>
  <c r="AD24" i="10"/>
  <c r="J63" i="30"/>
  <c r="K63" i="30" s="1"/>
  <c r="G116" i="25"/>
  <c r="F100" i="25"/>
  <c r="X22" i="10"/>
  <c r="AD205" i="10"/>
  <c r="C80" i="25"/>
  <c r="E80" i="25" s="1"/>
  <c r="AD25" i="10"/>
  <c r="L22" i="10"/>
  <c r="G103" i="25"/>
  <c r="F103" i="25"/>
  <c r="F90" i="25"/>
  <c r="G90" i="25"/>
  <c r="G97" i="25"/>
  <c r="F97" i="25"/>
  <c r="L71" i="30"/>
  <c r="F121" i="25"/>
  <c r="F118" i="25"/>
  <c r="L35" i="30"/>
  <c r="L20" i="10"/>
  <c r="L13" i="10"/>
  <c r="C67" i="25"/>
  <c r="E67" i="25" s="1"/>
  <c r="F67" i="25" s="1"/>
  <c r="J49" i="30"/>
  <c r="C46" i="25"/>
  <c r="G46" i="25" s="1"/>
  <c r="J34" i="30"/>
  <c r="K34" i="30" s="1"/>
  <c r="J44" i="30"/>
  <c r="V22" i="10"/>
  <c r="N20" i="10"/>
  <c r="L11" i="10"/>
  <c r="L21" i="10"/>
  <c r="AD171" i="10"/>
  <c r="E51" i="25" s="1"/>
  <c r="F51" i="25" s="1"/>
  <c r="C81" i="25"/>
  <c r="E81" i="25" s="1"/>
  <c r="F81" i="25" s="1"/>
  <c r="AD208" i="10"/>
  <c r="N22" i="10"/>
  <c r="G95" i="25"/>
  <c r="AD201" i="10"/>
  <c r="C88" i="25"/>
  <c r="E88" i="25" s="1"/>
  <c r="F88" i="25" s="1"/>
  <c r="N13" i="10"/>
  <c r="AD13" i="10" s="1"/>
  <c r="F91" i="25"/>
  <c r="K42" i="30"/>
  <c r="G19" i="25"/>
  <c r="X16" i="3"/>
  <c r="E130" i="25"/>
  <c r="F130" i="25" s="1"/>
  <c r="G68" i="25"/>
  <c r="O55" i="10"/>
  <c r="L10" i="10"/>
  <c r="E94" i="25"/>
  <c r="N12" i="10"/>
  <c r="AD12" i="10" s="1"/>
  <c r="L11" i="30"/>
  <c r="K11" i="30"/>
  <c r="F122" i="25"/>
  <c r="W17" i="7"/>
  <c r="X15" i="3"/>
  <c r="J67" i="30"/>
  <c r="AD204" i="10"/>
  <c r="J57" i="30"/>
  <c r="C74" i="25"/>
  <c r="AD194" i="10"/>
  <c r="G71" i="25"/>
  <c r="F11" i="25"/>
  <c r="C77" i="25"/>
  <c r="J60" i="30"/>
  <c r="AD197" i="10"/>
  <c r="N21" i="10"/>
  <c r="X21" i="3"/>
  <c r="J41" i="30"/>
  <c r="C58" i="25"/>
  <c r="E75" i="25"/>
  <c r="F75" i="25" s="1"/>
  <c r="C53" i="25"/>
  <c r="AD173" i="10"/>
  <c r="E53" i="25" s="1"/>
  <c r="F53" i="25" s="1"/>
  <c r="L9" i="30"/>
  <c r="K9" i="30"/>
  <c r="W27" i="7"/>
  <c r="X14" i="3"/>
  <c r="K7" i="30"/>
  <c r="L7" i="30"/>
  <c r="AD178" i="10"/>
  <c r="L37" i="30"/>
  <c r="K37" i="30"/>
  <c r="L6" i="30"/>
  <c r="K6" i="30"/>
  <c r="E25" i="25"/>
  <c r="F25" i="25" s="1"/>
  <c r="X26" i="3"/>
  <c r="O28" i="8"/>
  <c r="W14" i="7"/>
  <c r="G136" i="25"/>
  <c r="W22" i="7"/>
  <c r="G131" i="25"/>
  <c r="X20" i="3"/>
  <c r="W16" i="7"/>
  <c r="AD23" i="10"/>
  <c r="E72" i="25"/>
  <c r="F72" i="25" s="1"/>
  <c r="J28" i="30"/>
  <c r="C45" i="25"/>
  <c r="G45" i="25" s="1"/>
  <c r="J13" i="30"/>
  <c r="C30" i="25"/>
  <c r="AD150" i="10"/>
  <c r="G66" i="25"/>
  <c r="E27" i="25"/>
  <c r="F27" i="25" s="1"/>
  <c r="W15" i="7"/>
  <c r="W21" i="7"/>
  <c r="O25" i="8"/>
  <c r="E29" i="25"/>
  <c r="F29" i="25" s="1"/>
  <c r="E60" i="25"/>
  <c r="G60" i="25" s="1"/>
  <c r="K31" i="30"/>
  <c r="L31" i="30"/>
  <c r="G104" i="25"/>
  <c r="G110" i="25"/>
  <c r="G127" i="25"/>
  <c r="F106" i="25"/>
  <c r="F117" i="25"/>
  <c r="G128" i="25"/>
  <c r="G139" i="25"/>
  <c r="AD26" i="10"/>
  <c r="E140" i="25"/>
  <c r="F140" i="25" s="1"/>
  <c r="G133" i="25"/>
  <c r="E137" i="25"/>
  <c r="F137" i="25" s="1"/>
  <c r="F17" i="35"/>
  <c r="C17" i="35"/>
  <c r="G17" i="35"/>
  <c r="G16" i="35"/>
  <c r="E17" i="35"/>
  <c r="D17" i="35"/>
  <c r="G125" i="25"/>
  <c r="F105" i="25"/>
  <c r="F115" i="25"/>
  <c r="F113" i="25"/>
  <c r="F109" i="25"/>
  <c r="G111" i="25"/>
  <c r="F107" i="25"/>
  <c r="G102" i="25"/>
  <c r="F99" i="25"/>
  <c r="G89" i="25"/>
  <c r="G83" i="25"/>
  <c r="F123" i="25"/>
  <c r="E84" i="25"/>
  <c r="F84" i="25" s="1"/>
  <c r="G134" i="25" l="1"/>
  <c r="K54" i="30"/>
  <c r="F138" i="25"/>
  <c r="L23" i="30"/>
  <c r="F135" i="25"/>
  <c r="G132" i="25"/>
  <c r="G65" i="25"/>
  <c r="B23" i="47"/>
  <c r="B24" i="47" s="1"/>
  <c r="B25" i="47" s="1"/>
  <c r="B26" i="47" s="1"/>
  <c r="L19" i="30"/>
  <c r="K12" i="30"/>
  <c r="G43" i="25"/>
  <c r="C27" i="26"/>
  <c r="G52" i="25"/>
  <c r="K5" i="30"/>
  <c r="L25" i="30"/>
  <c r="G55" i="25"/>
  <c r="G59" i="25"/>
  <c r="K45" i="30"/>
  <c r="K69" i="30"/>
  <c r="L33" i="30"/>
  <c r="K29" i="30"/>
  <c r="L47" i="30"/>
  <c r="K10" i="30"/>
  <c r="G64" i="25"/>
  <c r="K8" i="30"/>
  <c r="F44" i="25"/>
  <c r="L32" i="30"/>
  <c r="K26" i="30"/>
  <c r="L27" i="30"/>
  <c r="L59" i="30"/>
  <c r="G56" i="25"/>
  <c r="G48" i="25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G73" i="25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AD20" i="10"/>
  <c r="G67" i="25"/>
  <c r="O10" i="10"/>
  <c r="G29" i="25"/>
  <c r="G70" i="25"/>
  <c r="AD21" i="10"/>
  <c r="G79" i="25"/>
  <c r="G76" i="25"/>
  <c r="L34" i="30"/>
  <c r="G62" i="25"/>
  <c r="K53" i="30"/>
  <c r="L53" i="30"/>
  <c r="G36" i="25"/>
  <c r="G57" i="25"/>
  <c r="G85" i="25"/>
  <c r="AD22" i="10"/>
  <c r="F80" i="25"/>
  <c r="G80" i="25"/>
  <c r="L63" i="30"/>
  <c r="G28" i="25"/>
  <c r="F60" i="25"/>
  <c r="L49" i="30"/>
  <c r="K49" i="30"/>
  <c r="G35" i="25"/>
  <c r="G34" i="25"/>
  <c r="F69" i="25"/>
  <c r="G37" i="25"/>
  <c r="G54" i="25"/>
  <c r="G75" i="25"/>
  <c r="G41" i="25"/>
  <c r="K44" i="30"/>
  <c r="L44" i="30"/>
  <c r="G51" i="25"/>
  <c r="G31" i="25"/>
  <c r="G130" i="25"/>
  <c r="G23" i="25"/>
  <c r="E77" i="25"/>
  <c r="F77" i="25" s="1"/>
  <c r="E30" i="25"/>
  <c r="F30" i="25" s="1"/>
  <c r="G25" i="25"/>
  <c r="G24" i="25"/>
  <c r="E58" i="25"/>
  <c r="F58" i="25" s="1"/>
  <c r="G40" i="25"/>
  <c r="G33" i="25"/>
  <c r="G72" i="25"/>
  <c r="K13" i="30"/>
  <c r="L13" i="30"/>
  <c r="K41" i="30"/>
  <c r="L41" i="30"/>
  <c r="E74" i="25"/>
  <c r="F74" i="25" s="1"/>
  <c r="G94" i="25"/>
  <c r="F94" i="25"/>
  <c r="L57" i="30"/>
  <c r="K57" i="30"/>
  <c r="G22" i="25"/>
  <c r="G27" i="25"/>
  <c r="K28" i="30"/>
  <c r="L28" i="30"/>
  <c r="G53" i="25"/>
  <c r="G61" i="25"/>
  <c r="G78" i="25"/>
  <c r="F63" i="25"/>
  <c r="G32" i="25"/>
  <c r="G26" i="25"/>
  <c r="L60" i="30"/>
  <c r="K60" i="30"/>
  <c r="L67" i="30"/>
  <c r="K67" i="30"/>
  <c r="G140" i="25"/>
  <c r="G137" i="25"/>
  <c r="G88" i="25"/>
  <c r="G82" i="25"/>
  <c r="G81" i="25"/>
  <c r="G87" i="25"/>
  <c r="G84" i="25"/>
  <c r="G30" i="25" l="1"/>
  <c r="G58" i="25"/>
  <c r="G74" i="25"/>
  <c r="G77" i="25"/>
  <c r="AD263" i="10" l="1"/>
  <c r="C143" i="25" l="1"/>
  <c r="E143" i="25" l="1"/>
  <c r="F143" i="25" s="1"/>
  <c r="G143" i="25" l="1"/>
  <c r="X265" i="3" l="1"/>
  <c r="O265" i="8" l="1"/>
  <c r="X264" i="3"/>
  <c r="W264" i="7"/>
  <c r="Z27" i="10" l="1"/>
  <c r="AD265" i="10"/>
  <c r="C145" i="25" l="1"/>
  <c r="E145" i="25" l="1"/>
  <c r="F145" i="25" s="1"/>
  <c r="G145" i="25" l="1"/>
  <c r="X270" i="3" l="1"/>
  <c r="L29" i="3" l="1"/>
  <c r="P29" i="3"/>
  <c r="F22" i="43"/>
  <c r="N29" i="3"/>
  <c r="R29" i="3"/>
  <c r="D22" i="43"/>
  <c r="G24" i="44"/>
  <c r="H29" i="3"/>
  <c r="E24" i="44"/>
  <c r="H29" i="8" l="1"/>
  <c r="U27" i="10"/>
  <c r="N28" i="7"/>
  <c r="T27" i="10"/>
  <c r="H28" i="7"/>
  <c r="J28" i="7"/>
  <c r="R27" i="10"/>
  <c r="P27" i="10"/>
  <c r="T29" i="3"/>
  <c r="I24" i="44"/>
  <c r="F29" i="3"/>
  <c r="D29" i="3"/>
  <c r="J29" i="3"/>
  <c r="F28" i="7" l="1"/>
  <c r="L29" i="8"/>
  <c r="F29" i="8"/>
  <c r="L28" i="7"/>
  <c r="X27" i="10"/>
  <c r="D29" i="8"/>
  <c r="P28" i="7"/>
  <c r="T28" i="7"/>
  <c r="R28" i="7"/>
  <c r="V27" i="10"/>
  <c r="J29" i="8"/>
  <c r="D28" i="7"/>
  <c r="O269" i="8"/>
  <c r="X269" i="3"/>
  <c r="X29" i="3" s="1"/>
  <c r="H22" i="43"/>
  <c r="W268" i="7"/>
  <c r="W28" i="7" l="1"/>
  <c r="O29" i="8"/>
  <c r="H27" i="10" l="1"/>
  <c r="F27" i="10"/>
  <c r="J27" i="10"/>
  <c r="D27" i="10"/>
  <c r="L27" i="10" l="1"/>
  <c r="AD267" i="10"/>
  <c r="N27" i="10"/>
  <c r="C147" i="25"/>
  <c r="E147" i="25" s="1"/>
  <c r="AD27" i="10" l="1"/>
  <c r="G147" i="25"/>
  <c r="F147" i="25"/>
  <c r="C9" i="51" l="1"/>
  <c r="U28" i="10" l="1"/>
  <c r="AD270" i="10"/>
  <c r="T28" i="10" l="1"/>
  <c r="AD271" i="10"/>
  <c r="G25" i="44"/>
  <c r="I241" i="44"/>
  <c r="C151" i="25"/>
  <c r="E151" i="25" s="1"/>
  <c r="F151" i="25" s="1"/>
  <c r="H239" i="43"/>
  <c r="X273" i="3"/>
  <c r="O273" i="8"/>
  <c r="O272" i="8"/>
  <c r="C150" i="25"/>
  <c r="W271" i="7"/>
  <c r="X272" i="3"/>
  <c r="G151" i="25" l="1"/>
  <c r="W272" i="7"/>
  <c r="E150" i="25"/>
  <c r="F150" i="25" s="1"/>
  <c r="G150" i="25" l="1"/>
  <c r="E25" i="44" l="1"/>
  <c r="F236" i="43"/>
  <c r="F292" i="10" l="1"/>
  <c r="F294" i="10"/>
  <c r="D294" i="10"/>
  <c r="D292" i="10"/>
  <c r="P28" i="10"/>
  <c r="P292" i="10"/>
  <c r="P294" i="10"/>
  <c r="R28" i="10"/>
  <c r="R294" i="10"/>
  <c r="R292" i="10"/>
  <c r="H28" i="10"/>
  <c r="J28" i="10"/>
  <c r="F23" i="43"/>
  <c r="F28" i="10"/>
  <c r="D28" i="10"/>
  <c r="D23" i="43"/>
  <c r="R291" i="7" l="1"/>
  <c r="P291" i="7"/>
  <c r="N291" i="7"/>
  <c r="J291" i="7"/>
  <c r="H291" i="7"/>
  <c r="J296" i="8" l="1"/>
  <c r="J293" i="8"/>
  <c r="T291" i="7"/>
  <c r="L291" i="7"/>
  <c r="I25" i="44"/>
  <c r="F291" i="7"/>
  <c r="D291" i="7"/>
  <c r="D296" i="8" l="1"/>
  <c r="D293" i="8"/>
  <c r="H293" i="8"/>
  <c r="H296" i="8"/>
  <c r="X28" i="10"/>
  <c r="X292" i="10"/>
  <c r="X294" i="10"/>
  <c r="V28" i="10"/>
  <c r="V294" i="10"/>
  <c r="V292" i="10"/>
  <c r="AD273" i="10"/>
  <c r="N294" i="10"/>
  <c r="N292" i="10"/>
  <c r="L292" i="10"/>
  <c r="L294" i="10"/>
  <c r="F293" i="8"/>
  <c r="F296" i="8"/>
  <c r="L296" i="8"/>
  <c r="L293" i="8"/>
  <c r="X275" i="3"/>
  <c r="C153" i="25"/>
  <c r="O275" i="8"/>
  <c r="W274" i="7"/>
  <c r="W291" i="7" s="1"/>
  <c r="O296" i="8" l="1"/>
  <c r="O293" i="8"/>
  <c r="AD292" i="10"/>
  <c r="AD294" i="10"/>
  <c r="E153" i="25"/>
  <c r="F153" i="25" s="1"/>
  <c r="G153" i="25" l="1"/>
  <c r="T30" i="3"/>
  <c r="R30" i="3"/>
  <c r="P30" i="3"/>
  <c r="N30" i="3"/>
  <c r="L30" i="3"/>
  <c r="J30" i="3"/>
  <c r="H30" i="3"/>
  <c r="F30" i="3"/>
  <c r="D30" i="3"/>
  <c r="H29" i="7" l="1"/>
  <c r="J30" i="8"/>
  <c r="D29" i="7"/>
  <c r="N29" i="7"/>
  <c r="P29" i="7"/>
  <c r="T29" i="7"/>
  <c r="L28" i="10"/>
  <c r="R29" i="7"/>
  <c r="AD272" i="10"/>
  <c r="N28" i="10"/>
  <c r="X274" i="3"/>
  <c r="X30" i="3" s="1"/>
  <c r="C152" i="25"/>
  <c r="E152" i="25" s="1"/>
  <c r="J29" i="7" l="1"/>
  <c r="L29" i="7"/>
  <c r="F30" i="8"/>
  <c r="L30" i="8"/>
  <c r="F29" i="7"/>
  <c r="AD28" i="10"/>
  <c r="D30" i="8"/>
  <c r="H30" i="8"/>
  <c r="G152" i="25"/>
  <c r="F152" i="25"/>
  <c r="O274" i="8"/>
  <c r="W273" i="7"/>
  <c r="W29" i="7" l="1"/>
  <c r="H23" i="43"/>
  <c r="O30" i="8"/>
  <c r="D236" i="43" l="1"/>
  <c r="F295" i="10"/>
  <c r="D295" i="10" l="1"/>
  <c r="D293" i="10"/>
  <c r="F293" i="10"/>
  <c r="E238" i="44"/>
  <c r="I238" i="44"/>
  <c r="T292" i="7"/>
  <c r="R292" i="7"/>
  <c r="P292" i="7"/>
  <c r="N292" i="7"/>
  <c r="L292" i="7"/>
  <c r="J292" i="7"/>
  <c r="H292" i="7"/>
  <c r="F292" i="7"/>
  <c r="C10" i="51"/>
  <c r="C8" i="51"/>
  <c r="L295" i="10"/>
  <c r="D237" i="43"/>
  <c r="X295" i="10" l="1"/>
  <c r="X293" i="10"/>
  <c r="L293" i="10"/>
  <c r="N293" i="10"/>
  <c r="N295" i="10"/>
  <c r="X286" i="3"/>
  <c r="W284" i="7"/>
  <c r="I239" i="44"/>
  <c r="E239" i="44"/>
  <c r="F297" i="8"/>
  <c r="AD284" i="10"/>
  <c r="C164" i="25"/>
  <c r="E164" i="25" s="1"/>
  <c r="D297" i="8"/>
  <c r="D292" i="7"/>
  <c r="X285" i="3" l="1"/>
  <c r="V293" i="10"/>
  <c r="V295" i="10"/>
  <c r="L294" i="8"/>
  <c r="L297" i="8"/>
  <c r="F294" i="8"/>
  <c r="D294" i="8"/>
  <c r="J297" i="8"/>
  <c r="J294" i="8"/>
  <c r="AD295" i="10"/>
  <c r="AD293" i="10"/>
  <c r="H297" i="8"/>
  <c r="H294" i="8"/>
  <c r="O285" i="8"/>
  <c r="B16" i="51"/>
  <c r="C6" i="51"/>
  <c r="B18" i="51"/>
  <c r="C7" i="51"/>
  <c r="H314" i="10"/>
  <c r="J313" i="10" s="1"/>
  <c r="O286" i="8"/>
  <c r="C5" i="51"/>
  <c r="B17" i="51"/>
  <c r="B11" i="51"/>
  <c r="B14" i="51"/>
  <c r="C3" i="51"/>
  <c r="G164" i="25"/>
  <c r="F164" i="25"/>
  <c r="W285" i="7"/>
  <c r="W292" i="7" s="1"/>
  <c r="D93" i="25"/>
  <c r="B15" i="51"/>
  <c r="C4" i="51"/>
  <c r="H236" i="43"/>
  <c r="H237" i="43"/>
  <c r="O297" i="8" l="1"/>
  <c r="O294" i="8"/>
  <c r="J312" i="10"/>
  <c r="B19" i="51"/>
  <c r="C14" i="51" s="1"/>
  <c r="C163" i="25"/>
  <c r="AD283" i="10"/>
  <c r="E93" i="25"/>
  <c r="G93" i="25" s="1"/>
  <c r="H310" i="7"/>
  <c r="J301" i="7" s="1"/>
  <c r="F310" i="8"/>
  <c r="H305" i="8" s="1"/>
  <c r="X284" i="3"/>
  <c r="W283" i="7"/>
  <c r="O284" i="8" l="1"/>
  <c r="C16" i="51"/>
  <c r="C15" i="51"/>
  <c r="C17" i="51"/>
  <c r="H309" i="8"/>
  <c r="H308" i="8"/>
  <c r="H307" i="8"/>
  <c r="F93" i="25"/>
  <c r="C18" i="51"/>
  <c r="E163" i="25"/>
  <c r="F163" i="25" s="1"/>
  <c r="G163" i="25"/>
  <c r="J304" i="7"/>
  <c r="J302" i="7"/>
  <c r="J307" i="7"/>
  <c r="J308" i="7"/>
  <c r="J309" i="7"/>
  <c r="J303" i="7"/>
  <c r="J306" i="7"/>
  <c r="J305" i="7"/>
  <c r="AD282" i="10"/>
  <c r="C162" i="25"/>
  <c r="H306" i="8"/>
  <c r="C19" i="51" l="1"/>
  <c r="E162" i="25"/>
  <c r="F162" i="25" s="1"/>
  <c r="G162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  <author>smento</author>
    <author>Aspinold Melsul Amos</author>
    <author>Susie Mento</author>
  </authors>
  <commentList>
    <comment ref="D10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rkuautonga:
23/03/11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N10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21/03/11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Severe Tropical Cyclone Yasi crossed the Queensland coast about midnight Wednesday 2 February 2011.
Significant flooding occurred in many areas of Queensland which caused significant damage to areas in the storm's pathr. Three quarters of the state declared a disaster zone </t>
        </r>
        <r>
          <rPr>
            <b/>
            <sz val="8"/>
            <color indexed="81"/>
            <rFont val="Tahoma"/>
            <family val="2"/>
          </rPr>
          <t>- Cancellation of Virgin Blue flights from Brisbane to Port Vila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6.3-magnitude earthquake struck Christchurch in New Zealand's South Island on Tuesday 22 Feb 2011.</t>
        </r>
      </text>
    </comment>
    <comment ref="AB11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07/03/12:
16 Cruiseship, most carried large number of passengers!.
First time visit to Vanuatu with the highest number of passengers(Radiang)</t>
        </r>
      </text>
    </comment>
    <comment ref="P12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 : input when sept'12 data entry completed</t>
        </r>
      </text>
    </comment>
    <comment ref="R12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6/11/12: inputed when sept'12 data entry completed</t>
        </r>
      </text>
    </comment>
    <comment ref="C179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dept figures on 18/6/18</t>
        </r>
      </text>
    </comment>
    <comment ref="P179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R179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</t>
        </r>
      </text>
    </comment>
    <comment ref="C180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departure figures on 13th June 2018</t>
        </r>
      </text>
    </comment>
    <comment ref="P180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R180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P181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  <comment ref="R181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about midnight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21/03/11
A 6.3-magnitude earthquake struck Christchurch in New Zealand's South Island on Tuesday 22 Feb 2011.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23/03/11</t>
        </r>
        <r>
          <rPr>
            <sz val="8"/>
            <color indexed="81"/>
            <rFont val="Tahoma"/>
            <family val="2"/>
          </rPr>
          <t xml:space="preserve">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F10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on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<sst xmlns="http://schemas.openxmlformats.org/spreadsheetml/2006/main" count="11651" uniqueCount="1137">
  <si>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</si>
  <si>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</si>
  <si>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</si>
  <si>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</si>
  <si>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</si>
  <si>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</si>
  <si>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</si>
  <si>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</si>
  <si>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</si>
  <si>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</si>
  <si>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</si>
  <si>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</si>
  <si>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</si>
  <si>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</si>
  <si>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</si>
  <si>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</si>
  <si>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</si>
  <si>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</si>
  <si>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</si>
  <si>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</si>
  <si>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</si>
  <si>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</si>
  <si>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</si>
  <si>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</si>
  <si>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</si>
  <si>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</si>
  <si>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</si>
  <si>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</si>
  <si>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</si>
  <si>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</si>
  <si>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</si>
  <si>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</si>
  <si>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</si>
  <si>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</si>
  <si>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</si>
  <si>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</si>
  <si>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</si>
  <si>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</si>
  <si>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</si>
  <si>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</si>
  <si>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</si>
  <si>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</si>
  <si>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</si>
  <si>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</si>
  <si>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</si>
  <si>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</si>
  <si>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</si>
  <si>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</si>
  <si>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</si>
  <si>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</si>
  <si>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</si>
  <si>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</si>
  <si>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</si>
  <si>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</si>
  <si>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</si>
  <si>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</si>
  <si>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</si>
  <si>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</si>
  <si>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</si>
  <si>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</si>
  <si>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</si>
  <si>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</si>
  <si>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</si>
  <si>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</si>
  <si>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</si>
  <si>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</si>
  <si>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</si>
  <si>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</si>
  <si>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</si>
  <si>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Mar     </t>
  </si>
  <si>
    <t xml:space="preserve"> Not</t>
  </si>
  <si>
    <t xml:space="preserve">Mar  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</si>
  <si>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</si>
  <si>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</si>
  <si>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</si>
  <si>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</si>
  <si>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</si>
  <si>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</si>
  <si>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</si>
  <si>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</si>
  <si>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</si>
  <si>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</si>
  <si>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</si>
  <si>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</si>
  <si>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</si>
  <si>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</si>
  <si>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</si>
  <si>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</si>
  <si>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</si>
  <si>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</si>
  <si>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</si>
  <si>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</si>
  <si>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</si>
  <si>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</si>
  <si>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</si>
  <si>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</si>
  <si>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</si>
  <si>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</si>
  <si>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</si>
  <si>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</si>
  <si>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</si>
  <si>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</si>
  <si>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</si>
  <si>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</si>
  <si>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</si>
  <si>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</si>
  <si>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</si>
  <si>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</si>
  <si>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</si>
  <si>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</si>
  <si>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</si>
  <si>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</si>
  <si>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 xml:space="preserve">May      </t>
  </si>
  <si>
    <t>Escale</t>
  </si>
  <si>
    <t>non</t>
  </si>
  <si>
    <t>Croisiéristes</t>
  </si>
  <si>
    <t>Tableau 4 : Arrivées des résidents par nationalité</t>
  </si>
  <si>
    <t>Néo-</t>
  </si>
  <si>
    <t xml:space="preserve">Apr        </t>
  </si>
  <si>
    <r>
      <t xml:space="preserve">Sep  </t>
    </r>
    <r>
      <rPr>
        <b/>
        <sz val="10"/>
        <rFont val="Times New Roman"/>
        <family val="1"/>
      </rPr>
      <t xml:space="preserve">   </t>
    </r>
  </si>
  <si>
    <t>Month</t>
  </si>
  <si>
    <t>Mois</t>
  </si>
  <si>
    <t>r</t>
  </si>
  <si>
    <t>n.a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</si>
  <si>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</si>
  <si>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</si>
  <si>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</si>
  <si>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</si>
  <si>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</si>
  <si>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</si>
  <si>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</si>
  <si>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July</t>
  </si>
  <si>
    <r>
      <t xml:space="preserve">July  </t>
    </r>
    <r>
      <rPr>
        <b/>
        <sz val="10"/>
        <rFont val="Times New Roman"/>
        <family val="1"/>
      </rPr>
      <t xml:space="preserve">  </t>
    </r>
  </si>
  <si>
    <r>
      <t xml:space="preserve">July   </t>
    </r>
    <r>
      <rPr>
        <b/>
        <sz val="10"/>
        <rFont val="Times New Roman"/>
        <family val="1"/>
      </rPr>
      <t xml:space="preserve"> </t>
    </r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</si>
  <si>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</si>
  <si>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</si>
  <si>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</si>
  <si>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</si>
  <si>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</si>
  <si>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</si>
  <si>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</si>
  <si>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</si>
  <si>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</si>
  <si>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</si>
  <si>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</si>
  <si>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</si>
  <si>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</si>
  <si>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</si>
  <si>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</si>
  <si>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</si>
  <si>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</si>
  <si>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</si>
  <si>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</si>
  <si>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</si>
  <si>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</si>
  <si>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</si>
  <si>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</si>
  <si>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</si>
  <si>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</si>
  <si>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</si>
  <si>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</si>
  <si>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</si>
  <si>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</si>
  <si>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</si>
  <si>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</si>
  <si>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</si>
  <si>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</si>
  <si>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</si>
  <si>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</si>
  <si>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</si>
  <si>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</si>
  <si>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</si>
  <si>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</si>
  <si>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</si>
  <si>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</si>
  <si>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</si>
  <si>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</si>
  <si>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</si>
  <si>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</si>
  <si>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</si>
  <si>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</si>
  <si>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</si>
  <si>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</si>
  <si>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</si>
  <si>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</si>
  <si>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</si>
  <si>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</si>
  <si>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</si>
  <si>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</si>
  <si>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</si>
  <si>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</si>
  <si>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</si>
  <si>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</si>
  <si>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</si>
  <si>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</si>
  <si>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</si>
  <si>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</si>
  <si>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</si>
  <si>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Revised on 10/12/13</t>
  </si>
  <si>
    <t>Revised on 10/12/13(still pending revisions to dept. figures)</t>
  </si>
  <si>
    <t>diff over pre yr</t>
  </si>
  <si>
    <t>diff over pre mth</t>
  </si>
  <si>
    <t>% share of air visitors</t>
  </si>
  <si>
    <t>% share of cruise visitors</t>
  </si>
  <si>
    <t>% share of COU</t>
  </si>
  <si>
    <t>SUMMARY TABLES</t>
  </si>
  <si>
    <t>MONTH</t>
  </si>
  <si>
    <t>Visitor Arrivals by Air</t>
  </si>
  <si>
    <t>Cruiseship Arrivals</t>
  </si>
  <si>
    <t>Visiteurs par avion</t>
  </si>
  <si>
    <t>Sea %</t>
  </si>
  <si>
    <t>Air %</t>
  </si>
  <si>
    <t>English</t>
  </si>
  <si>
    <t>Value</t>
  </si>
  <si>
    <t>Change</t>
  </si>
  <si>
    <t>form: b17-c18 = 41.28650249</t>
  </si>
  <si>
    <t xml:space="preserve">         b18-c19=26.87390661 etc</t>
  </si>
  <si>
    <t>form: b32/4867*100</t>
  </si>
  <si>
    <t>% ∆ over prev yr</t>
  </si>
  <si>
    <t>% ∆ over prev mth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</si>
  <si>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</si>
  <si>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</si>
  <si>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</si>
  <si>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</si>
  <si>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</si>
  <si>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</si>
  <si>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Air visitors</t>
  </si>
  <si>
    <t>Day visitors</t>
  </si>
  <si>
    <t>Total # of cruiseships</t>
  </si>
  <si>
    <t>% share by POV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</si>
  <si>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</si>
  <si>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</si>
  <si>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</si>
  <si>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</si>
  <si>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</si>
  <si>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</si>
  <si>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</si>
  <si>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</si>
  <si>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</si>
  <si>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</si>
  <si>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</si>
  <si>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</si>
  <si>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</si>
  <si>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 xml:space="preserve">                                                                         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</si>
  <si>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</si>
  <si>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</si>
  <si>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</si>
  <si>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</si>
  <si>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</si>
  <si>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</si>
  <si>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</si>
  <si>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</si>
  <si>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</si>
  <si>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</si>
  <si>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</si>
  <si>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</si>
  <si>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</si>
  <si>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</si>
  <si>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</si>
  <si>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</si>
  <si>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</si>
  <si>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</si>
  <si>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</si>
  <si>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</si>
  <si>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</si>
  <si>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  </t>
  </si>
  <si>
    <t xml:space="preserve">Jul </t>
  </si>
  <si>
    <t>Share</t>
  </si>
  <si>
    <t>Other countries</t>
  </si>
  <si>
    <t>PREVIOUS MONTH NUMBER OF CRUISE SHIP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</si>
  <si>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</si>
  <si>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</si>
  <si>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</si>
  <si>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</si>
  <si>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</si>
  <si>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</si>
  <si>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</si>
  <si>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</si>
  <si>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</si>
  <si>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</si>
  <si>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</si>
  <si>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</si>
  <si>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</si>
  <si>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</si>
  <si>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</si>
  <si>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</si>
  <si>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</si>
  <si>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</si>
  <si>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</si>
  <si>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</si>
  <si>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</si>
  <si>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</si>
  <si>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</si>
  <si>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</si>
  <si>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</si>
  <si>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</si>
  <si>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</si>
  <si>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</si>
  <si>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</si>
  <si>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</si>
  <si>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</si>
  <si>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</si>
  <si>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</si>
  <si>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</si>
  <si>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</si>
  <si>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</si>
  <si>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</si>
  <si>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</si>
  <si>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</si>
  <si>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</si>
  <si>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</si>
  <si>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</si>
  <si>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</si>
  <si>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</si>
  <si>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</si>
  <si>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</si>
  <si>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corresponding month in prev yr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</si>
  <si>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</si>
  <si>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</si>
  <si>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</si>
  <si>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</si>
  <si>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</si>
  <si>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</si>
  <si>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</si>
  <si>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</si>
  <si>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</si>
  <si>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</si>
  <si>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</si>
  <si>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</si>
  <si>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</si>
  <si>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</si>
  <si>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</si>
  <si>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</si>
  <si>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</si>
  <si>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</si>
  <si>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</si>
  <si>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</si>
  <si>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</si>
  <si>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</si>
  <si>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</si>
  <si>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</si>
  <si>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</si>
  <si>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</si>
  <si>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</si>
  <si>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</si>
  <si>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</si>
  <si>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</si>
  <si>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</si>
  <si>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</si>
  <si>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</si>
  <si>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</si>
  <si>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</si>
  <si>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</si>
  <si>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</si>
  <si>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</si>
  <si>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</si>
  <si>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</si>
  <si>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</si>
  <si>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</si>
  <si>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</si>
  <si>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</si>
  <si>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</si>
  <si>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</si>
  <si>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</si>
  <si>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 xml:space="preserve">Japan </t>
  </si>
  <si>
    <t>My age  by gategory</t>
  </si>
  <si>
    <t>0 to 14 years</t>
  </si>
  <si>
    <t>15 to 29 years</t>
  </si>
  <si>
    <t>30 to 49 years</t>
  </si>
  <si>
    <t>50+ years</t>
  </si>
  <si>
    <t>share</t>
  </si>
  <si>
    <t>Age</t>
  </si>
  <si>
    <t>Sum of Visitor</t>
  </si>
  <si>
    <t>Purpose of visit</t>
  </si>
  <si>
    <t xml:space="preserve">Share </t>
  </si>
  <si>
    <t>Group</t>
  </si>
  <si>
    <t>Average of AvgOfMy LOS</t>
  </si>
  <si>
    <t xml:space="preserve">Share Visitors </t>
  </si>
  <si>
    <t>Share residents</t>
  </si>
  <si>
    <t>Air</t>
  </si>
  <si>
    <t xml:space="preserve">share </t>
  </si>
  <si>
    <t>Voilier</t>
  </si>
  <si>
    <t>Yacht</t>
  </si>
  <si>
    <t xml:space="preserve">Total Arr </t>
  </si>
  <si>
    <t xml:space="preserve">Share Resident </t>
  </si>
  <si>
    <t>Share Visitors</t>
  </si>
  <si>
    <t>Business/Official</t>
  </si>
  <si>
    <t>Others</t>
  </si>
  <si>
    <t>Education</t>
  </si>
  <si>
    <t>Sports</t>
  </si>
  <si>
    <t>Conference</t>
  </si>
  <si>
    <t>na</t>
  </si>
  <si>
    <t>air Visitors</t>
  </si>
  <si>
    <t>Sea visitors</t>
  </si>
  <si>
    <t>Air and Sea</t>
  </si>
  <si>
    <t>Other,Education, Sports</t>
  </si>
  <si>
    <t>Business Meetings/Official/Conference</t>
  </si>
  <si>
    <t>Overview</t>
  </si>
  <si>
    <t>Percentage share (%)</t>
  </si>
  <si>
    <t>International visitor by Air</t>
  </si>
  <si>
    <t>International visitors by sea</t>
  </si>
  <si>
    <t>Total international arrivals to Vanuatu</t>
  </si>
  <si>
    <t>Main Purpose of Visit</t>
  </si>
  <si>
    <t>Others, Education, Sports</t>
  </si>
  <si>
    <t>Business or Conference</t>
  </si>
  <si>
    <t>Stop-over</t>
  </si>
  <si>
    <t>Country of usual residence (Visitors arriving by air)</t>
  </si>
  <si>
    <t>Other Pacific Island Countries</t>
  </si>
  <si>
    <t xml:space="preserve">New Caledonia </t>
  </si>
  <si>
    <t xml:space="preserve">Other Pacific Countries </t>
  </si>
  <si>
    <t>Arrivals</t>
  </si>
  <si>
    <t>Port Vila &amp; Luganville</t>
  </si>
  <si>
    <t>PV &amp; LUG</t>
  </si>
  <si>
    <t>LUG</t>
  </si>
  <si>
    <t>QRYTbl5</t>
  </si>
  <si>
    <t>Combined</t>
  </si>
  <si>
    <t>Share of cruise ship</t>
  </si>
  <si>
    <t>Share by Mode of transport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</si>
  <si>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</si>
  <si>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</si>
  <si>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</si>
  <si>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sep</t>
  </si>
  <si>
    <t>Share in charts</t>
  </si>
  <si>
    <t>na.:data not available</t>
  </si>
  <si>
    <t xml:space="preserve">Other pacific counties </t>
  </si>
  <si>
    <t>Office Code</t>
  </si>
  <si>
    <t>Rotarion Number</t>
  </si>
  <si>
    <t>Agent Code</t>
  </si>
  <si>
    <t>Agent Name</t>
  </si>
  <si>
    <t>Vessel Name</t>
  </si>
  <si>
    <t>Vessel Type</t>
  </si>
  <si>
    <t>Application Date</t>
  </si>
  <si>
    <t>Declaration Type</t>
  </si>
  <si>
    <t>Previous Port</t>
  </si>
  <si>
    <t>Next Port</t>
  </si>
  <si>
    <t>Estimated Date</t>
  </si>
  <si>
    <t>Estimated Time</t>
  </si>
  <si>
    <t>Status</t>
  </si>
  <si>
    <t>106944</t>
  </si>
  <si>
    <t>SMALL CRAFT</t>
  </si>
  <si>
    <t>Outbound</t>
  </si>
  <si>
    <t>NOUMEA</t>
  </si>
  <si>
    <t>Finalized</t>
  </si>
  <si>
    <t>SINGAPORE</t>
  </si>
  <si>
    <t>CARGO VESSEL</t>
  </si>
  <si>
    <t>Inbound</t>
  </si>
  <si>
    <t>SUVA</t>
  </si>
  <si>
    <t>HONIARA</t>
  </si>
  <si>
    <t>101499</t>
  </si>
  <si>
    <t>HONG KONG</t>
  </si>
  <si>
    <t>709684</t>
  </si>
  <si>
    <t>TOKYO, TOKYO</t>
  </si>
  <si>
    <t>ESPIRITU SANTO</t>
  </si>
  <si>
    <t>BRISBANE</t>
  </si>
  <si>
    <t>310817</t>
  </si>
  <si>
    <t>PANAMA CITY</t>
  </si>
  <si>
    <t>NASSAU, NEW PROVIDENCE ISLAND</t>
  </si>
  <si>
    <t>CRUISE SHIP</t>
  </si>
  <si>
    <t>CAIRNS</t>
  </si>
  <si>
    <t>VSEA</t>
  </si>
  <si>
    <t>LIFOU</t>
  </si>
  <si>
    <t>MYSTERY ISLAND</t>
  </si>
  <si>
    <t>SYDNEY</t>
  </si>
  <si>
    <t>TAKUTAI CHIEF</t>
  </si>
  <si>
    <t>403730</t>
  </si>
  <si>
    <t>LAUTOKA</t>
  </si>
  <si>
    <t>NADI</t>
  </si>
  <si>
    <t>PORT MORESBY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</si>
  <si>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</si>
  <si>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</si>
  <si>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</si>
  <si>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</si>
  <si>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Port Of Registry</t>
  </si>
  <si>
    <t>Certificate No</t>
  </si>
  <si>
    <t>No Of Passengers</t>
  </si>
  <si>
    <t>No Of Crews</t>
  </si>
  <si>
    <t>SAIR</t>
  </si>
  <si>
    <t>2026</t>
  </si>
  <si>
    <t>101262</t>
  </si>
  <si>
    <t>AIR VANUATU
PO BOX 148
PORT VILA
VANUATU</t>
  </si>
  <si>
    <t>SOLOMON AIRLINES</t>
  </si>
  <si>
    <t>AIRBUS AIRCRAFT</t>
  </si>
  <si>
    <t>H4-SIB</t>
  </si>
  <si>
    <t>02:15 AM</t>
  </si>
  <si>
    <t>H4-SAL</t>
  </si>
  <si>
    <t>12:50 AM</t>
  </si>
  <si>
    <t>PACIFIC SHIPPING AGENCIES
P.O BOX 1146
PORT VILA
VANUATU</t>
  </si>
  <si>
    <t>12:00 AM</t>
  </si>
  <si>
    <t>TROPICAL AGENCY LIMITED
P.0. BOX 84
PORT VILA
VANUATU</t>
  </si>
  <si>
    <t>03:30 AM</t>
  </si>
  <si>
    <t>05:00 PM</t>
  </si>
  <si>
    <t>SOUTH PACIFIC SHIPPING
PORT VILA
VANUATU</t>
  </si>
  <si>
    <t>06:00 PM</t>
  </si>
  <si>
    <t>VOYAGER OF THE SEAS</t>
  </si>
  <si>
    <t>8000402</t>
  </si>
  <si>
    <t>03:00 AM</t>
  </si>
  <si>
    <t>04:00 AM</t>
  </si>
  <si>
    <t>DEPT. OF CUSTOMS &amp; INLAND REVENUE
P. M. BAG 9012
PORT VILA
VANUATU</t>
  </si>
  <si>
    <t>07:00 PM</t>
  </si>
  <si>
    <t>VAIR</t>
  </si>
  <si>
    <t>161398</t>
  </si>
  <si>
    <t>VANUATU TERMINAL SERVICES
P. O. BOX 45
PORT VILA
VANUATU</t>
  </si>
  <si>
    <t>AIR NIUGINI</t>
  </si>
  <si>
    <t>BOEING AIRCRAFT</t>
  </si>
  <si>
    <t>07:30 PM</t>
  </si>
  <si>
    <t>QANTAS</t>
  </si>
  <si>
    <t>12:30 AM</t>
  </si>
  <si>
    <t>FIJI LINK</t>
  </si>
  <si>
    <t>ATR AIRCRAFT</t>
  </si>
  <si>
    <t>DQ-FLD</t>
  </si>
  <si>
    <t>03:05 AM</t>
  </si>
  <si>
    <t>VIRGIN AUSTRALIA</t>
  </si>
  <si>
    <t>03:50 AM</t>
  </si>
  <si>
    <t>AUCKLAND</t>
  </si>
  <si>
    <t>VH-8IH</t>
  </si>
  <si>
    <t>12:45 AM</t>
  </si>
  <si>
    <t>01:45 AM</t>
  </si>
  <si>
    <t>JETSTAR</t>
  </si>
  <si>
    <t>MELBOURNE</t>
  </si>
  <si>
    <t>02:40 AM</t>
  </si>
  <si>
    <t>AIR CALEDONIE</t>
  </si>
  <si>
    <t>02:00 AM</t>
  </si>
  <si>
    <t>FIJI AIRWAYS</t>
  </si>
  <si>
    <t>DQ-FLC</t>
  </si>
  <si>
    <t>09:30 PM</t>
  </si>
  <si>
    <t>10:45 PM</t>
  </si>
  <si>
    <t>12:40 AM</t>
  </si>
  <si>
    <t>01:40 AM</t>
  </si>
  <si>
    <t>11:45 PM</t>
  </si>
  <si>
    <t>F-OZKN</t>
  </si>
  <si>
    <t>PRIVATE JET</t>
  </si>
  <si>
    <t>VH-8IB</t>
  </si>
  <si>
    <t>DQ-FAE</t>
  </si>
  <si>
    <t>DQ-FLB</t>
  </si>
  <si>
    <t>DQ-FAB</t>
  </si>
  <si>
    <t>08:00 AM</t>
  </si>
  <si>
    <t>08:30 PM</t>
  </si>
  <si>
    <t>02:30 AM</t>
  </si>
  <si>
    <t>12:15 AM</t>
  </si>
  <si>
    <t>F-OZLI</t>
  </si>
  <si>
    <t>DQ-FAH</t>
  </si>
  <si>
    <t>01:00 AM</t>
  </si>
  <si>
    <t>05:05 AM</t>
  </si>
  <si>
    <t>05:20 AM</t>
  </si>
  <si>
    <t>08:00 PM</t>
  </si>
  <si>
    <t>VH-8IG</t>
  </si>
  <si>
    <t>02:10 AM</t>
  </si>
  <si>
    <t>02:45 AM</t>
  </si>
  <si>
    <t>VH-8ID</t>
  </si>
  <si>
    <t>MILITARY AIRCRAFT</t>
  </si>
  <si>
    <t>NUKU'ALOFA</t>
  </si>
  <si>
    <t>09:00 PM</t>
  </si>
  <si>
    <t>10:00 PM</t>
  </si>
  <si>
    <t>CARNIVAL ADVENTURE</t>
  </si>
  <si>
    <t>731308</t>
  </si>
  <si>
    <t>307532</t>
  </si>
  <si>
    <t>MRBQ SHIPPING
RUE DE STADE
PORT VILA
VANUATU</t>
  </si>
  <si>
    <t>TANKER VESSEL</t>
  </si>
  <si>
    <t>05:00 AM</t>
  </si>
  <si>
    <t>HAMILTON</t>
  </si>
  <si>
    <t>MEDIVAC AIRCRAFT</t>
  </si>
  <si>
    <t>04:20 AM</t>
  </si>
  <si>
    <t>JETSTAR AIRWAYS</t>
  </si>
  <si>
    <t>VH-YIJ</t>
  </si>
  <si>
    <t>04:40 AM</t>
  </si>
  <si>
    <t>ROYAL AUSTRALIAN AIR FORCE</t>
  </si>
  <si>
    <t>AVCAIR PTY LTD</t>
  </si>
  <si>
    <t>VH-AVL</t>
  </si>
  <si>
    <t>VH-8IE</t>
  </si>
  <si>
    <t>10:50 PM</t>
  </si>
  <si>
    <t>VH-A5D</t>
  </si>
  <si>
    <t>04:15 AM</t>
  </si>
  <si>
    <t>02:20 AM</t>
  </si>
  <si>
    <t>03:20 AM</t>
  </si>
  <si>
    <t>COOLANGATTA</t>
  </si>
  <si>
    <t>05:10 AM</t>
  </si>
  <si>
    <t>VH-8II</t>
  </si>
  <si>
    <t>12:25 AM</t>
  </si>
  <si>
    <t>AIR ALIZE</t>
  </si>
  <si>
    <t>F-HLON</t>
  </si>
  <si>
    <t>09:50 PM</t>
  </si>
  <si>
    <t>EMBRAER JET</t>
  </si>
  <si>
    <t>VH-UZQ</t>
  </si>
  <si>
    <t>01:10 AM</t>
  </si>
  <si>
    <t>06:05 AM</t>
  </si>
  <si>
    <t>09:45 PM</t>
  </si>
  <si>
    <t>01:15 AM</t>
  </si>
  <si>
    <t>2026-03-31</t>
  </si>
  <si>
    <t>VH-UZD</t>
  </si>
  <si>
    <t>06:20 AM</t>
  </si>
  <si>
    <t>ANTHEM OF THE SEAS</t>
  </si>
  <si>
    <t>9656101</t>
  </si>
  <si>
    <t>MAJURO</t>
  </si>
  <si>
    <t>CARNIVAL SPLENDOR</t>
  </si>
  <si>
    <t>9333163</t>
  </si>
  <si>
    <t>05:30 PM</t>
  </si>
  <si>
    <t>PAPUAN CHIEF</t>
  </si>
  <si>
    <t>9689964</t>
  </si>
  <si>
    <t>AULA</t>
  </si>
  <si>
    <t>GDANSK</t>
  </si>
  <si>
    <t>POL001BG4</t>
  </si>
  <si>
    <t>Apr[p]</t>
  </si>
  <si>
    <t>Avr[p]</t>
  </si>
  <si>
    <t>Pie chart</t>
  </si>
  <si>
    <t>SAIR/2026/30</t>
  </si>
  <si>
    <t>2026-04-02</t>
  </si>
  <si>
    <t>12:09 AM</t>
  </si>
  <si>
    <t>SAIR/2026/31</t>
  </si>
  <si>
    <t>01:29 AM</t>
  </si>
  <si>
    <t>SAIR/2026/32</t>
  </si>
  <si>
    <t>2026-04-04</t>
  </si>
  <si>
    <t>11:40 PM</t>
  </si>
  <si>
    <t>SAIR/2026/33</t>
  </si>
  <si>
    <t>SAIR/2026/34</t>
  </si>
  <si>
    <t>2026-04-09</t>
  </si>
  <si>
    <t>11:30 PM</t>
  </si>
  <si>
    <t>SAIR/2026/35</t>
  </si>
  <si>
    <t>SAIR/2026/36</t>
  </si>
  <si>
    <t>2026-04-11</t>
  </si>
  <si>
    <t>SAIR/2026/37</t>
  </si>
  <si>
    <t>01:11 AM</t>
  </si>
  <si>
    <t>SAIR/2026/38</t>
  </si>
  <si>
    <t>2026-04-16</t>
  </si>
  <si>
    <t>11:50 PM</t>
  </si>
  <si>
    <t>SAIR/2026/39</t>
  </si>
  <si>
    <t>03:40 AM</t>
  </si>
  <si>
    <t>SAIR/2026/40</t>
  </si>
  <si>
    <t>2026-04-18</t>
  </si>
  <si>
    <t>SAIR/2026/41</t>
  </si>
  <si>
    <t>SAIR/2026/42</t>
  </si>
  <si>
    <t>2026-04-23</t>
  </si>
  <si>
    <t>SAIR/2026/43</t>
  </si>
  <si>
    <t>SAIR/2026/44</t>
  </si>
  <si>
    <t>2026-04-25</t>
  </si>
  <si>
    <t>SAIR/2026/45</t>
  </si>
  <si>
    <t>SAIR/2026/46</t>
  </si>
  <si>
    <t>N 909AD</t>
  </si>
  <si>
    <t>SARATOGA SPRINGS</t>
  </si>
  <si>
    <t>2026-04-26</t>
  </si>
  <si>
    <t>N909AD</t>
  </si>
  <si>
    <t>KAILUA KONA (HAWAII)</t>
  </si>
  <si>
    <t>08:10 PM</t>
  </si>
  <si>
    <t>SAIR/2026/47</t>
  </si>
  <si>
    <t>2026-04-27</t>
  </si>
  <si>
    <t>SAIR/2026/48</t>
  </si>
  <si>
    <t>2026-04-30</t>
  </si>
  <si>
    <t>09:29 PM</t>
  </si>
  <si>
    <t>SAIR/2026/49</t>
  </si>
  <si>
    <t>01:21 AM</t>
  </si>
  <si>
    <t>SAIR/2026/50</t>
  </si>
  <si>
    <t>MAGENTA</t>
  </si>
  <si>
    <t>SAIR/2026/51</t>
  </si>
  <si>
    <t>SAIR/2026/52</t>
  </si>
  <si>
    <t>VAIR/2026/1000</t>
  </si>
  <si>
    <t>2026-04-28</t>
  </si>
  <si>
    <t>VAIR/2026/1001</t>
  </si>
  <si>
    <t>VAIR/2026/1002</t>
  </si>
  <si>
    <t>2026-04-29</t>
  </si>
  <si>
    <t>VH-YIQ</t>
  </si>
  <si>
    <t>VAIR/2026/1003</t>
  </si>
  <si>
    <t>VAIR/2026/1004</t>
  </si>
  <si>
    <t>VAIR/2026/1005</t>
  </si>
  <si>
    <t>VAIR/2026/1006</t>
  </si>
  <si>
    <t>03:15 AM</t>
  </si>
  <si>
    <t>VAIR/2026/1007</t>
  </si>
  <si>
    <t>VAIR/2026/1008</t>
  </si>
  <si>
    <t>VAIR/2026/1009</t>
  </si>
  <si>
    <t>VAIR/2026/1010</t>
  </si>
  <si>
    <t>VAIR/2026/1011</t>
  </si>
  <si>
    <t>VAIR/2026/1012</t>
  </si>
  <si>
    <t>VH-VFJ</t>
  </si>
  <si>
    <t>VAIR/2026/1013</t>
  </si>
  <si>
    <t>VAIR/2026/1014</t>
  </si>
  <si>
    <t>VAIR/2026/1015</t>
  </si>
  <si>
    <t>VAIR/2026/1016</t>
  </si>
  <si>
    <t>VAIR/2026/1017</t>
  </si>
  <si>
    <t>VAIR/2026/715</t>
  </si>
  <si>
    <t>2026-04-01</t>
  </si>
  <si>
    <t>VAIR/2026/716</t>
  </si>
  <si>
    <t>VAIR/2026/717</t>
  </si>
  <si>
    <t>VH-YIM</t>
  </si>
  <si>
    <t>VAIR/2026/718</t>
  </si>
  <si>
    <t>VAIR/2026/719</t>
  </si>
  <si>
    <t>VAIR/2026/720</t>
  </si>
  <si>
    <t>VAIR/2026/721</t>
  </si>
  <si>
    <t>VAIR/2026/722</t>
  </si>
  <si>
    <t>VAIR/2026/723</t>
  </si>
  <si>
    <t>GULFSTREAM AEROSPACE</t>
  </si>
  <si>
    <t>CHICAGO</t>
  </si>
  <si>
    <t>N848JA</t>
  </si>
  <si>
    <t>KAHULUI</t>
  </si>
  <si>
    <t>VAIR/2026/724</t>
  </si>
  <si>
    <t>VAIR/2026/725</t>
  </si>
  <si>
    <t>VAIR/2026/726</t>
  </si>
  <si>
    <t>VH-UZF</t>
  </si>
  <si>
    <t>01:35 AM</t>
  </si>
  <si>
    <t>VAIR/2026/727</t>
  </si>
  <si>
    <t>VAIR/2026/728</t>
  </si>
  <si>
    <t>VAIR/2026/729</t>
  </si>
  <si>
    <t>VH-VFP</t>
  </si>
  <si>
    <t>VAIR/2026/730</t>
  </si>
  <si>
    <t>VAIR/2026/731</t>
  </si>
  <si>
    <t>VAIR/2026/732</t>
  </si>
  <si>
    <t>MACHJET PTY LTD</t>
  </si>
  <si>
    <t>GOLD COAST</t>
  </si>
  <si>
    <t>VH-PIY</t>
  </si>
  <si>
    <t>MAROOCHYDORE</t>
  </si>
  <si>
    <t>VAIR/2026/733</t>
  </si>
  <si>
    <t>VAIR/2026/734</t>
  </si>
  <si>
    <t>VAIR/2026/735</t>
  </si>
  <si>
    <t>VAIR/2026/736</t>
  </si>
  <si>
    <t>VAIR/2026/737</t>
  </si>
  <si>
    <t>09:15 AM</t>
  </si>
  <si>
    <t>VAIR/2026/738</t>
  </si>
  <si>
    <t>2026-04-03</t>
  </si>
  <si>
    <t>DQ-FJN</t>
  </si>
  <si>
    <t>VAIR/2026/739</t>
  </si>
  <si>
    <t>VAIR/2026/740</t>
  </si>
  <si>
    <t>VAIR/2026/741</t>
  </si>
  <si>
    <t>VAIR/2026/742</t>
  </si>
  <si>
    <t>VAIR/2026/743</t>
  </si>
  <si>
    <t>VAIR/2026/744</t>
  </si>
  <si>
    <t>A97-465</t>
  </si>
  <si>
    <t>CANBERRA</t>
  </si>
  <si>
    <t>VAIR/2026/745</t>
  </si>
  <si>
    <t>VAIR/2026/746</t>
  </si>
  <si>
    <t>VAIR/2026/747</t>
  </si>
  <si>
    <t>VAIR/2026/748</t>
  </si>
  <si>
    <t>VAIR/2026/749</t>
  </si>
  <si>
    <t>VH-VGU</t>
  </si>
  <si>
    <t>VAIR/2026/750</t>
  </si>
  <si>
    <t>VAIR/2026/751</t>
  </si>
  <si>
    <t>VAIR/2026/752</t>
  </si>
  <si>
    <t>VAIR/2026/753</t>
  </si>
  <si>
    <t>VAIR/2026/754</t>
  </si>
  <si>
    <t>VAIR/2026/755</t>
  </si>
  <si>
    <t>KINGAIR 350</t>
  </si>
  <si>
    <t>F-OZEN</t>
  </si>
  <si>
    <t>VAIR/2026/756</t>
  </si>
  <si>
    <t>VAIR/2026/757</t>
  </si>
  <si>
    <t>VAIR/2026/758</t>
  </si>
  <si>
    <t>02:50 AM</t>
  </si>
  <si>
    <t>VAIR/2026/759</t>
  </si>
  <si>
    <t>VAIR/2026/760</t>
  </si>
  <si>
    <t>P2-PXB</t>
  </si>
  <si>
    <t>VAIR/2026/761</t>
  </si>
  <si>
    <t>AIR TAHITI</t>
  </si>
  <si>
    <t>PAPEETE</t>
  </si>
  <si>
    <t>F-ORVC</t>
  </si>
  <si>
    <t>05:30 AM</t>
  </si>
  <si>
    <t>VAIR/2026/762</t>
  </si>
  <si>
    <t>2026-04-05</t>
  </si>
  <si>
    <t>PAGO PAGO</t>
  </si>
  <si>
    <t>VAIR/2026/763</t>
  </si>
  <si>
    <t>07:35 PM</t>
  </si>
  <si>
    <t>VAIR/2026/764</t>
  </si>
  <si>
    <t>VAIR/2026/765</t>
  </si>
  <si>
    <t>11:35 PM</t>
  </si>
  <si>
    <t>VAIR/2026/766</t>
  </si>
  <si>
    <t>01:30 AM</t>
  </si>
  <si>
    <t>VAIR/2026/767</t>
  </si>
  <si>
    <t>VAIR/2026/768</t>
  </si>
  <si>
    <t>VAIR/2026/769</t>
  </si>
  <si>
    <t>VAIR/2026/770</t>
  </si>
  <si>
    <t>VAIR/2026/771</t>
  </si>
  <si>
    <t>VAIR/2026/772</t>
  </si>
  <si>
    <t>VAIR/2026/773</t>
  </si>
  <si>
    <t>2026-04-06</t>
  </si>
  <si>
    <t>VAIR/2026/774</t>
  </si>
  <si>
    <t>VAIR/2026/775</t>
  </si>
  <si>
    <t>01:05 AM</t>
  </si>
  <si>
    <t>VAIR/2026/776</t>
  </si>
  <si>
    <t>VAIR/2026/777</t>
  </si>
  <si>
    <t>VAIR/2026/778</t>
  </si>
  <si>
    <t>VAIR/2026/779</t>
  </si>
  <si>
    <t>VAIR/2026/780</t>
  </si>
  <si>
    <t>VH-VQG</t>
  </si>
  <si>
    <t>VAIR/2026/781</t>
  </si>
  <si>
    <t>VAIR/2026/782</t>
  </si>
  <si>
    <t>VAIR/2026/783</t>
  </si>
  <si>
    <t>VAIR/2026/784</t>
  </si>
  <si>
    <t>06:00 AM</t>
  </si>
  <si>
    <t>VAIR/2026/785</t>
  </si>
  <si>
    <t>2026-04-07</t>
  </si>
  <si>
    <t>10:15 PM</t>
  </si>
  <si>
    <t>VAIR/2026/786</t>
  </si>
  <si>
    <t>11:15 PM</t>
  </si>
  <si>
    <t>VAIR/2026/787</t>
  </si>
  <si>
    <t>VAIR/2026/788</t>
  </si>
  <si>
    <t>VAIR/2026/789</t>
  </si>
  <si>
    <t>VAIR/2026/790</t>
  </si>
  <si>
    <t>VAIR/2026/791</t>
  </si>
  <si>
    <t>VAIR/2026/792</t>
  </si>
  <si>
    <t>06:30 AM</t>
  </si>
  <si>
    <t>VAIR/2026/793</t>
  </si>
  <si>
    <t>2026-04-08</t>
  </si>
  <si>
    <t>VH-UZK</t>
  </si>
  <si>
    <t>VAIR/2026/794</t>
  </si>
  <si>
    <t>VAIR/2026/795</t>
  </si>
  <si>
    <t>VAIR/2026/796</t>
  </si>
  <si>
    <t>VH-YIU</t>
  </si>
  <si>
    <t>VAIR/2026/797</t>
  </si>
  <si>
    <t>VAIR/2026/798</t>
  </si>
  <si>
    <t>VAIR/2026/799</t>
  </si>
  <si>
    <t>VH-VFH</t>
  </si>
  <si>
    <t>VAIR/2026/800</t>
  </si>
  <si>
    <t>VAIR/2026/801</t>
  </si>
  <si>
    <t>VAIR/2026/802</t>
  </si>
  <si>
    <t>VAIR/2026/803</t>
  </si>
  <si>
    <t>06:45 AM</t>
  </si>
  <si>
    <t>VAIR/2026/804</t>
  </si>
  <si>
    <t>08:20 AM</t>
  </si>
  <si>
    <t>VAIR/2026/805</t>
  </si>
  <si>
    <t>VAIR/2026/806</t>
  </si>
  <si>
    <t>VAIR/2026/807</t>
  </si>
  <si>
    <t>VAIR/2026/808</t>
  </si>
  <si>
    <t>VAIR/2026/809</t>
  </si>
  <si>
    <t>VAIR/2026/810</t>
  </si>
  <si>
    <t>VAIR/2026/811</t>
  </si>
  <si>
    <t>VAIR/2026/812</t>
  </si>
  <si>
    <t>VAIR/2026/813</t>
  </si>
  <si>
    <t>VAIR/2026/814</t>
  </si>
  <si>
    <t>VAIR/2026/815</t>
  </si>
  <si>
    <t>VAIR/2026/816</t>
  </si>
  <si>
    <t>VAIR/2026/817</t>
  </si>
  <si>
    <t>2026-04-10</t>
  </si>
  <si>
    <t>VAIR/2026/818</t>
  </si>
  <si>
    <t>VAIR/2026/819</t>
  </si>
  <si>
    <t>VAIR/2026/820</t>
  </si>
  <si>
    <t>VAIR/2026/821</t>
  </si>
  <si>
    <t>VAIR/2026/822</t>
  </si>
  <si>
    <t>VAIR/2026/823</t>
  </si>
  <si>
    <t>VAIR/2026/824</t>
  </si>
  <si>
    <t>VAIR/2026/825</t>
  </si>
  <si>
    <t>AIR CALIN</t>
  </si>
  <si>
    <t>F-ONEA</t>
  </si>
  <si>
    <t>VAIR/2026/826</t>
  </si>
  <si>
    <t>08:55 PM</t>
  </si>
  <si>
    <t>VAIR/2026/827</t>
  </si>
  <si>
    <t>VAIR/2026/828</t>
  </si>
  <si>
    <t>VAIR/2026/829</t>
  </si>
  <si>
    <t>VAIR/2026/830</t>
  </si>
  <si>
    <t>VAIR/2026/831</t>
  </si>
  <si>
    <t>VAIR/2026/832</t>
  </si>
  <si>
    <t>VAIR/2026/833</t>
  </si>
  <si>
    <t>VAIR/2026/834</t>
  </si>
  <si>
    <t>VAIR/2026/835</t>
  </si>
  <si>
    <t>VAIR/2026/836</t>
  </si>
  <si>
    <t>2026-04-12</t>
  </si>
  <si>
    <t>VAIR/2026/837</t>
  </si>
  <si>
    <t>TECHNOLOGY SERVICE CORPORATION</t>
  </si>
  <si>
    <t>ARLINGTON</t>
  </si>
  <si>
    <t>N625BW</t>
  </si>
  <si>
    <t>11:55 PM</t>
  </si>
  <si>
    <t>VAIR/2026/838</t>
  </si>
  <si>
    <t>VAIR/2026/839</t>
  </si>
  <si>
    <t>VAIR/2026/840</t>
  </si>
  <si>
    <t>VAIR/2026/841</t>
  </si>
  <si>
    <t>VAIR/2026/842</t>
  </si>
  <si>
    <t>VAIR/2026/843</t>
  </si>
  <si>
    <t>VAIR/2026/844</t>
  </si>
  <si>
    <t>VAIR/2026/846</t>
  </si>
  <si>
    <t>VH-OFB</t>
  </si>
  <si>
    <t>2026-04-13</t>
  </si>
  <si>
    <t>VAIR/2026/847</t>
  </si>
  <si>
    <t>VAIR/2026/848</t>
  </si>
  <si>
    <t>VAIR/2026/849</t>
  </si>
  <si>
    <t>VAIR/2026/850</t>
  </si>
  <si>
    <t>VAIR/2026/851</t>
  </si>
  <si>
    <t>VAIR/2026/852</t>
  </si>
  <si>
    <t>VAIR/2026/853</t>
  </si>
  <si>
    <t>VAIR/2026/854</t>
  </si>
  <si>
    <t>VAIR/2026/855</t>
  </si>
  <si>
    <t>VAIR/2026/856</t>
  </si>
  <si>
    <t>VAIR/2026/857</t>
  </si>
  <si>
    <t>VAIR/2026/858</t>
  </si>
  <si>
    <t>VAIR/2026/859</t>
  </si>
  <si>
    <t>VAIR/2026/860</t>
  </si>
  <si>
    <t>AVALON CAPITAL GROUP II LLC</t>
  </si>
  <si>
    <t>SIOUX CITY</t>
  </si>
  <si>
    <t>DIPLOMATIC AIRCRAFT</t>
  </si>
  <si>
    <t>N444WT</t>
  </si>
  <si>
    <t>LOS ANGELES/BURBANK APT</t>
  </si>
  <si>
    <t>VAIR/2026/861</t>
  </si>
  <si>
    <t>2026-04-14</t>
  </si>
  <si>
    <t>VAIR/2026/862</t>
  </si>
  <si>
    <t>DQ-FAD</t>
  </si>
  <si>
    <t>VAIR/2026/863</t>
  </si>
  <si>
    <t>VAIR/2026/864</t>
  </si>
  <si>
    <t>VAIR/2026/865</t>
  </si>
  <si>
    <t>VAIR/2026/866</t>
  </si>
  <si>
    <t>VAIR/2026/867</t>
  </si>
  <si>
    <t>VAIR/2026/868</t>
  </si>
  <si>
    <t>ASIAN CORPORATE AVIATION MANAGEMENT</t>
  </si>
  <si>
    <t>VH-OFJ</t>
  </si>
  <si>
    <t>VAIR/2026/869</t>
  </si>
  <si>
    <t>VAIR/2026/870</t>
  </si>
  <si>
    <t>07:40 AM</t>
  </si>
  <si>
    <t>VAIR/2026/871</t>
  </si>
  <si>
    <t>2026-04-15</t>
  </si>
  <si>
    <t>VAIR/2026/872</t>
  </si>
  <si>
    <t>VAIR/2026/873</t>
  </si>
  <si>
    <t>VAIR/2026/874</t>
  </si>
  <si>
    <t>VH-VQK</t>
  </si>
  <si>
    <t>VAIR/2026/875</t>
  </si>
  <si>
    <t>VAIR/2026/876</t>
  </si>
  <si>
    <t>VAIR/2026/877</t>
  </si>
  <si>
    <t>VAIR/2026/878</t>
  </si>
  <si>
    <t>VAIR/2026/879</t>
  </si>
  <si>
    <t>VAIR/2026/880</t>
  </si>
  <si>
    <t>VAIR/2026/881</t>
  </si>
  <si>
    <t>VAIR/2026/882</t>
  </si>
  <si>
    <t>VH-8IA</t>
  </si>
  <si>
    <t>VAIR/2026/883</t>
  </si>
  <si>
    <t>VAIR/2026/884</t>
  </si>
  <si>
    <t>VAIR/2026/885</t>
  </si>
  <si>
    <t>VAIR/2026/886</t>
  </si>
  <si>
    <t>VAIR/2026/887</t>
  </si>
  <si>
    <t>VAIR/2026/888</t>
  </si>
  <si>
    <t>VAIR/2026/889</t>
  </si>
  <si>
    <t>VAIR/2026/890</t>
  </si>
  <si>
    <t>VAIR/2026/891</t>
  </si>
  <si>
    <t>VAIR/2026/892</t>
  </si>
  <si>
    <t>FLIGHT OPTIONS (AUSTRALIA) PTY LTD</t>
  </si>
  <si>
    <t>VH-VDF</t>
  </si>
  <si>
    <t>VAIR/2026/894</t>
  </si>
  <si>
    <t>2026-04-17</t>
  </si>
  <si>
    <t>VAIR/2026/895</t>
  </si>
  <si>
    <t>VAIR/2026/896</t>
  </si>
  <si>
    <t>VAIR/2026/897</t>
  </si>
  <si>
    <t>VAIR/2026/898</t>
  </si>
  <si>
    <t>VAIR/2026/899</t>
  </si>
  <si>
    <t>VAIR/2026/900</t>
  </si>
  <si>
    <t>F-ORVU</t>
  </si>
  <si>
    <t>03:48 AM</t>
  </si>
  <si>
    <t>VAIR/2026/901</t>
  </si>
  <si>
    <t>VAIR/2026/902</t>
  </si>
  <si>
    <t>VAIR/2026/903</t>
  </si>
  <si>
    <t>VAIR/2026/904</t>
  </si>
  <si>
    <t>VH-YIH</t>
  </si>
  <si>
    <t>VAIR/2026/905</t>
  </si>
  <si>
    <t>VAIR/2026/906</t>
  </si>
  <si>
    <t>VH-VGH</t>
  </si>
  <si>
    <t>VAIR/2026/907</t>
  </si>
  <si>
    <t>VAIR/2026/908</t>
  </si>
  <si>
    <t>VAIR/2026/909</t>
  </si>
  <si>
    <t>VAIR/2026/910</t>
  </si>
  <si>
    <t>VAIR/2026/911</t>
  </si>
  <si>
    <t>VAIR/2026/912</t>
  </si>
  <si>
    <t>VAIR/2026/913</t>
  </si>
  <si>
    <t>2026-04-19</t>
  </si>
  <si>
    <t>VAIR/2026/914</t>
  </si>
  <si>
    <t>VAIR/2026/915</t>
  </si>
  <si>
    <t>VAIR/2026/916</t>
  </si>
  <si>
    <t>04:05 AM</t>
  </si>
  <si>
    <t>VAIR/2026/917</t>
  </si>
  <si>
    <t>VAIR/2026/918</t>
  </si>
  <si>
    <t>QANTAS LINK (ALLIANCE AIRLINES)</t>
  </si>
  <si>
    <t>VH-UZH</t>
  </si>
  <si>
    <t>VAIR/2026/919</t>
  </si>
  <si>
    <t>VAIR/2026/920</t>
  </si>
  <si>
    <t>2026-04-20</t>
  </si>
  <si>
    <t>VAIR/2026/921</t>
  </si>
  <si>
    <t>VAIR/2026/922</t>
  </si>
  <si>
    <t>VAIR/2026/923</t>
  </si>
  <si>
    <t>VAIR/2026/924</t>
  </si>
  <si>
    <t>VAIR/2026/925</t>
  </si>
  <si>
    <t>VAIR/2026/926</t>
  </si>
  <si>
    <t>VAIR/2026/927</t>
  </si>
  <si>
    <t>VAIR/2026/928</t>
  </si>
  <si>
    <t>VAIR/2026/929</t>
  </si>
  <si>
    <t>VH-VFY</t>
  </si>
  <si>
    <t>VAIR/2026/930</t>
  </si>
  <si>
    <t>VAIR/2026/931</t>
  </si>
  <si>
    <t>VAIR/2026/932</t>
  </si>
  <si>
    <t>2026-04-21</t>
  </si>
  <si>
    <t>VAIR/2026/933</t>
  </si>
  <si>
    <t>VH-8IF</t>
  </si>
  <si>
    <t>VAIR/2026/934</t>
  </si>
  <si>
    <t>VAIR/2026/935</t>
  </si>
  <si>
    <t>VAIR/2026/936</t>
  </si>
  <si>
    <t>2026-04-22</t>
  </si>
  <si>
    <t>VAIR/2026/937</t>
  </si>
  <si>
    <t>VAIR/2026/938</t>
  </si>
  <si>
    <t>VAIR/2026/939</t>
  </si>
  <si>
    <t>VAIR/2026/940</t>
  </si>
  <si>
    <t>VH-VFT</t>
  </si>
  <si>
    <t>VAIR/2026/941</t>
  </si>
  <si>
    <t>VAIR/2026/942</t>
  </si>
  <si>
    <t>VAIR/2026/943</t>
  </si>
  <si>
    <t>VAIR/2026/944</t>
  </si>
  <si>
    <t>VAIR/2026/945</t>
  </si>
  <si>
    <t>VAIR/2026/946</t>
  </si>
  <si>
    <t>VH-8IJ</t>
  </si>
  <si>
    <t>VAIR/2026/947</t>
  </si>
  <si>
    <t>VAIR/2026/948</t>
  </si>
  <si>
    <t>VAIR/2026/949</t>
  </si>
  <si>
    <t>VAIR/2026/950</t>
  </si>
  <si>
    <t>VAIR/2026/951</t>
  </si>
  <si>
    <t>VAIR/2026/952</t>
  </si>
  <si>
    <t>VAIR/2026/953</t>
  </si>
  <si>
    <t>VAIR/2026/954</t>
  </si>
  <si>
    <t>VAIR/2026/955</t>
  </si>
  <si>
    <t>VAIR/2026/956</t>
  </si>
  <si>
    <t>2026-04-24</t>
  </si>
  <si>
    <t>VAIR/2026/957</t>
  </si>
  <si>
    <t>10:30 PM</t>
  </si>
  <si>
    <t>VAIR/2026/958</t>
  </si>
  <si>
    <t>VAIR/2026/959</t>
  </si>
  <si>
    <t>VAIR/2026/960</t>
  </si>
  <si>
    <t>VAIR/2026/961</t>
  </si>
  <si>
    <t>VAIR/2026/962</t>
  </si>
  <si>
    <t>VAIR/2026/963</t>
  </si>
  <si>
    <t>VAIR/2026/964</t>
  </si>
  <si>
    <t>VAIR/2026/965</t>
  </si>
  <si>
    <t>VAIR/2026/966</t>
  </si>
  <si>
    <t>VAIR/2026/967</t>
  </si>
  <si>
    <t>VH-YIT</t>
  </si>
  <si>
    <t>VAIR/2026/968</t>
  </si>
  <si>
    <t>VAIR/2026/969</t>
  </si>
  <si>
    <t>VAIR/2026/970</t>
  </si>
  <si>
    <t>VAIR/2026/971</t>
  </si>
  <si>
    <t>VAIR/2026/972</t>
  </si>
  <si>
    <t>VAIR/2026/973</t>
  </si>
  <si>
    <t>VAIR/2026/974</t>
  </si>
  <si>
    <t>VAIR/2026/975</t>
  </si>
  <si>
    <t>VAIR/2026/976</t>
  </si>
  <si>
    <t>AIR MOANA</t>
  </si>
  <si>
    <t>F-ORMU</t>
  </si>
  <si>
    <t>VAIR/2026/977</t>
  </si>
  <si>
    <t>VAIR/2026/978</t>
  </si>
  <si>
    <t>VAIR/2026/979</t>
  </si>
  <si>
    <t>VAIR/2026/981</t>
  </si>
  <si>
    <t>VAIR/2026/982</t>
  </si>
  <si>
    <t>VAIR/2026/983</t>
  </si>
  <si>
    <t>VH-YIY</t>
  </si>
  <si>
    <t>VAIR/2026/984</t>
  </si>
  <si>
    <t>VAIR/2026/985</t>
  </si>
  <si>
    <t>VAIR/2026/986</t>
  </si>
  <si>
    <t>VAIR/2026/987</t>
  </si>
  <si>
    <t>VAIR/2026/988</t>
  </si>
  <si>
    <t>VAIR/2026/989</t>
  </si>
  <si>
    <t>VAIR/2026/990</t>
  </si>
  <si>
    <t>VAIR/2026/991</t>
  </si>
  <si>
    <t>VAIR/2026/992</t>
  </si>
  <si>
    <t>VAIR/2026/993</t>
  </si>
  <si>
    <t>VAIR/2026/994</t>
  </si>
  <si>
    <t>VAIR/2026/995</t>
  </si>
  <si>
    <t>VAIR/2026/996</t>
  </si>
  <si>
    <t>VAIR/2026/997</t>
  </si>
  <si>
    <t>VAIR/2026/998</t>
  </si>
  <si>
    <t>VSEA/2026/141</t>
  </si>
  <si>
    <t>HANSEATIC INSPIRATION</t>
  </si>
  <si>
    <t>VALLETTA</t>
  </si>
  <si>
    <t>1160693</t>
  </si>
  <si>
    <t>LELEUVIA</t>
  </si>
  <si>
    <t>VSEA/2026/142</t>
  </si>
  <si>
    <t>VSEA/2026/143</t>
  </si>
  <si>
    <t>VSEA/2026/144</t>
  </si>
  <si>
    <t>06:42 PM</t>
  </si>
  <si>
    <t>VSEA/2026/145</t>
  </si>
  <si>
    <t>VSEA/2026/146</t>
  </si>
  <si>
    <t>VSEA/2026/147</t>
  </si>
  <si>
    <t>TELEOST</t>
  </si>
  <si>
    <t>GEORGETOWN</t>
  </si>
  <si>
    <t>PLEASURE YACHT</t>
  </si>
  <si>
    <t>731955</t>
  </si>
  <si>
    <t>10:30 AM</t>
  </si>
  <si>
    <t>VSEA/2026/148</t>
  </si>
  <si>
    <t>253310</t>
  </si>
  <si>
    <t>TRANSAM SHIPPING LIMITED
P.O. BOX 429
PORT VILA
VANUATU</t>
  </si>
  <si>
    <t>CAPITAINE WALLIS</t>
  </si>
  <si>
    <t>393622</t>
  </si>
  <si>
    <t>VSEA/2026/149</t>
  </si>
  <si>
    <t>LENAKEL</t>
  </si>
  <si>
    <t>VSEA/2026/150</t>
  </si>
  <si>
    <t>VISTA</t>
  </si>
  <si>
    <t>9876957</t>
  </si>
  <si>
    <t>VSEA/2026/151</t>
  </si>
  <si>
    <t>VSEA/2026/152</t>
  </si>
  <si>
    <t>VSEA/2026/153</t>
  </si>
  <si>
    <t>CELEBRITY EDGE</t>
  </si>
  <si>
    <t>248325000</t>
  </si>
  <si>
    <t>VSEA/2026/154</t>
  </si>
  <si>
    <t>VSEA/2026/155</t>
  </si>
  <si>
    <t>VSEA/2026/156</t>
  </si>
  <si>
    <t>VSEA/2026/159</t>
  </si>
  <si>
    <t>12:00 PM</t>
  </si>
  <si>
    <t>VSEA/2026/160</t>
  </si>
  <si>
    <t>VSEA/2026/162</t>
  </si>
  <si>
    <t>VSEA/2026/163</t>
  </si>
  <si>
    <t>715807</t>
  </si>
  <si>
    <t>CMA CGM VANUATU LIMITED
P.O.BOX 1276
PORT VILA
VANUATU</t>
  </si>
  <si>
    <t>BALDUR</t>
  </si>
  <si>
    <t>FUNCHAL, MADEIRA</t>
  </si>
  <si>
    <t>TEMP777M</t>
  </si>
  <si>
    <t>TAURANGA</t>
  </si>
  <si>
    <t>VSEA/2026/164</t>
  </si>
  <si>
    <t>VSEA/2026/165</t>
  </si>
  <si>
    <t>VSEA/2026/166</t>
  </si>
  <si>
    <t>VSEA/2026/167</t>
  </si>
  <si>
    <t>VSEA/2026/170</t>
  </si>
  <si>
    <t>NOUMEA CHIEF</t>
  </si>
  <si>
    <t>397502</t>
  </si>
  <si>
    <t>BUSAN</t>
  </si>
  <si>
    <t>VSEA/2026/171</t>
  </si>
  <si>
    <t>MAERSK CORSICA</t>
  </si>
  <si>
    <t>404814</t>
  </si>
  <si>
    <t>VSEA/2026/172</t>
  </si>
  <si>
    <t>VSEA/2026/174</t>
  </si>
  <si>
    <t>NPDL TAHITI</t>
  </si>
  <si>
    <t>403468</t>
  </si>
  <si>
    <t>VSEA/2026/175</t>
  </si>
  <si>
    <t>VSEA/2026/176</t>
  </si>
  <si>
    <t>VSEA/2026/177</t>
  </si>
  <si>
    <t>KANUMERA</t>
  </si>
  <si>
    <t>NC22136</t>
  </si>
  <si>
    <t>VSEA/2026/178</t>
  </si>
  <si>
    <t>ISLAND PRINCESS</t>
  </si>
  <si>
    <t>733727</t>
  </si>
  <si>
    <t>VSEA/2026/180</t>
  </si>
  <si>
    <t>FIDELIS</t>
  </si>
  <si>
    <t>VIAREGGIO</t>
  </si>
  <si>
    <t>742830</t>
  </si>
  <si>
    <t>NORO, NEW GEORGIA</t>
  </si>
  <si>
    <t>VSEA/2026/183</t>
  </si>
  <si>
    <t>NORWEGIAN SPIRIT</t>
  </si>
  <si>
    <t>8000814</t>
  </si>
  <si>
    <t>VSEA/2026/190</t>
  </si>
  <si>
    <t>ZHONGSHUI810</t>
  </si>
  <si>
    <t>YANTAI</t>
  </si>
  <si>
    <t>FISHING VESSEL</t>
  </si>
  <si>
    <t>8629058</t>
  </si>
  <si>
    <t>VSEA/2026/191</t>
  </si>
  <si>
    <t>CROWN PRINCESS</t>
  </si>
  <si>
    <t>733770</t>
  </si>
  <si>
    <t>Figure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</si>
</sst>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\ _€_-;\-* #,##0\ _€_-;_-* &quot;-&quot;??\ _€_-;_-@_-"/>
    <numFmt numFmtId="173" formatCode="_-* #,##0_-;\-* #,##0_-;_-* &quot;-&quot;??_-;_-@_-"/>
    <numFmt numFmtId="174" formatCode="0.0%"/>
    <numFmt numFmtId="175" formatCode="0.00000000"/>
    <numFmt numFmtId="176" formatCode="\-"/>
    <numFmt numFmtId="177" formatCode="_-&quot;$&quot;* #,##0.0_-;\-&quot;$&quot;* #,##0.0_-;_-&quot;$&quot;* &quot;-&quot;??_-;_-@_-"/>
  </numFmts>
  <fonts count="13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 Narrow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i/>
      <sz val="10"/>
      <name val="Arial Narrow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FF0000"/>
      <name val="Times New Roman"/>
      <family val="1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i/>
      <sz val="8"/>
      <color rgb="FFFF0000"/>
      <name val="Arial Narrow"/>
      <family val="2"/>
    </font>
    <font>
      <sz val="10"/>
      <color theme="1" tint="4.9989318521683403E-2"/>
      <name val="Times New Roman"/>
      <family val="1"/>
    </font>
    <font>
      <b/>
      <i/>
      <sz val="8"/>
      <color theme="1" tint="4.9989318521683403E-2"/>
      <name val="Arial Narrow"/>
      <family val="2"/>
    </font>
    <font>
      <sz val="10"/>
      <color theme="1" tint="4.9989318521683403E-2"/>
      <name val="Arial Narrow"/>
      <family val="2"/>
    </font>
    <font>
      <sz val="10"/>
      <color rgb="FFC00000"/>
      <name val="Arial"/>
      <family val="2"/>
    </font>
    <font>
      <sz val="10"/>
      <color theme="3" tint="-0.499984740745262"/>
      <name val="Times New Roman"/>
      <family val="1"/>
    </font>
    <font>
      <b/>
      <sz val="14"/>
      <color rgb="FF0000FF"/>
      <name val="Times New Roman"/>
      <family val="1"/>
    </font>
    <font>
      <b/>
      <i/>
      <sz val="10"/>
      <color rgb="FFFF0000"/>
      <name val="Arial"/>
      <family val="2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10"/>
      <color theme="1" tint="4.9989318521683403E-2"/>
      <name val="Times New Roman"/>
      <family val="1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9"/>
      <color indexed="8"/>
      <name val="Times New Roman"/>
      <family val="1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b/>
      <sz val="8"/>
      <name val="Arial"/>
      <family val="2"/>
    </font>
    <font>
      <i/>
      <sz val="8"/>
      <color indexed="10"/>
      <name val="Times New Roman"/>
      <family val="1"/>
    </font>
    <font>
      <sz val="8"/>
      <color rgb="FF0000FF"/>
      <name val="Arial Narrow"/>
      <family val="2"/>
    </font>
    <font>
      <sz val="8"/>
      <color rgb="FF0000FF"/>
      <name val="Times New Roman"/>
      <family val="1"/>
    </font>
    <font>
      <sz val="9"/>
      <color rgb="FFFF0000"/>
      <name val="Arial Narrow"/>
      <family val="2"/>
    </font>
    <font>
      <sz val="9"/>
      <name val="Cambria"/>
      <family val="1"/>
      <scheme val="major"/>
    </font>
    <font>
      <sz val="8"/>
      <name val="Arial"/>
      <family val="2"/>
    </font>
    <font>
      <sz val="10"/>
      <name val="Arial"/>
      <family val="2"/>
    </font>
    <font>
      <sz val="10"/>
      <name val="Cambria"/>
      <family val="1"/>
      <scheme val="major"/>
    </font>
    <font>
      <sz val="11"/>
      <name val="Calibri"/>
      <family val="2"/>
    </font>
    <font>
      <b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4495E"/>
      </patternFill>
    </fill>
    <fill>
      <patternFill patternType="solid">
        <fgColor rgb="FFF5F5F5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8" fillId="0" borderId="0"/>
    <xf numFmtId="0" fontId="27" fillId="0" borderId="0"/>
    <xf numFmtId="0" fontId="27" fillId="0" borderId="0"/>
    <xf numFmtId="9" fontId="10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10" fillId="0" borderId="0"/>
    <xf numFmtId="0" fontId="9" fillId="0" borderId="0"/>
    <xf numFmtId="165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6" fillId="0" borderId="0"/>
    <xf numFmtId="0" fontId="82" fillId="0" borderId="0"/>
    <xf numFmtId="0" fontId="27" fillId="0" borderId="0"/>
    <xf numFmtId="0" fontId="4" fillId="0" borderId="0"/>
    <xf numFmtId="165" fontId="4" fillId="0" borderId="0" applyFont="0" applyFill="0" applyBorder="0" applyAlignment="0" applyProtection="0"/>
    <xf numFmtId="44" fontId="127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33">
    <xf numFmtId="0" fontId="0" fillId="0" borderId="0" xfId="0"/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169" fontId="15" fillId="0" borderId="0" xfId="1" applyNumberFormat="1" applyFont="1" applyBorder="1" applyAlignment="1">
      <alignment horizontal="right"/>
    </xf>
    <xf numFmtId="0" fontId="16" fillId="0" borderId="0" xfId="0" applyFont="1"/>
    <xf numFmtId="0" fontId="18" fillId="0" borderId="1" xfId="0" applyFont="1" applyBorder="1" applyAlignment="1">
      <alignment horizontal="center"/>
    </xf>
    <xf numFmtId="0" fontId="18" fillId="0" borderId="2" xfId="0" applyFont="1" applyBorder="1"/>
    <xf numFmtId="169" fontId="17" fillId="0" borderId="3" xfId="1" applyNumberFormat="1" applyFont="1" applyBorder="1" applyAlignment="1">
      <alignment horizontal="right"/>
    </xf>
    <xf numFmtId="0" fontId="14" fillId="0" borderId="0" xfId="0" applyFont="1" applyAlignment="1">
      <alignment horizontal="center"/>
    </xf>
    <xf numFmtId="0" fontId="19" fillId="0" borderId="0" xfId="0" applyFont="1"/>
    <xf numFmtId="0" fontId="18" fillId="0" borderId="4" xfId="0" applyFont="1" applyBorder="1"/>
    <xf numFmtId="0" fontId="18" fillId="0" borderId="0" xfId="0" applyFont="1"/>
    <xf numFmtId="0" fontId="18" fillId="0" borderId="5" xfId="0" applyFont="1" applyBorder="1"/>
    <xf numFmtId="0" fontId="17" fillId="0" borderId="0" xfId="0" applyFont="1"/>
    <xf numFmtId="0" fontId="18" fillId="0" borderId="6" xfId="0" applyFont="1" applyBorder="1"/>
    <xf numFmtId="0" fontId="17" fillId="0" borderId="7" xfId="0" applyFont="1" applyBorder="1"/>
    <xf numFmtId="0" fontId="17" fillId="0" borderId="3" xfId="0" applyFont="1" applyBorder="1"/>
    <xf numFmtId="169" fontId="17" fillId="0" borderId="4" xfId="1" applyNumberFormat="1" applyFont="1" applyBorder="1"/>
    <xf numFmtId="169" fontId="17" fillId="0" borderId="0" xfId="1" applyNumberFormat="1" applyFont="1" applyBorder="1"/>
    <xf numFmtId="0" fontId="19" fillId="0" borderId="4" xfId="0" applyFont="1" applyBorder="1"/>
    <xf numFmtId="169" fontId="17" fillId="0" borderId="3" xfId="1" applyNumberFormat="1" applyFont="1" applyBorder="1"/>
    <xf numFmtId="169" fontId="17" fillId="0" borderId="2" xfId="1" applyNumberFormat="1" applyFont="1" applyBorder="1"/>
    <xf numFmtId="0" fontId="18" fillId="0" borderId="6" xfId="0" applyFont="1" applyBorder="1" applyAlignment="1">
      <alignment horizontal="center"/>
    </xf>
    <xf numFmtId="169" fontId="17" fillId="0" borderId="8" xfId="1" applyNumberFormat="1" applyFont="1" applyBorder="1"/>
    <xf numFmtId="0" fontId="11" fillId="0" borderId="6" xfId="0" applyFont="1" applyBorder="1"/>
    <xf numFmtId="0" fontId="11" fillId="0" borderId="5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1" fillId="0" borderId="7" xfId="0" applyFont="1" applyBorder="1"/>
    <xf numFmtId="0" fontId="11" fillId="0" borderId="4" xfId="0" applyFont="1" applyBorder="1"/>
    <xf numFmtId="0" fontId="11" fillId="0" borderId="8" xfId="0" applyFont="1" applyBorder="1"/>
    <xf numFmtId="0" fontId="11" fillId="0" borderId="3" xfId="0" applyFont="1" applyBorder="1"/>
    <xf numFmtId="0" fontId="11" fillId="0" borderId="2" xfId="0" applyFont="1" applyBorder="1"/>
    <xf numFmtId="0" fontId="11" fillId="0" borderId="3" xfId="0" applyFont="1" applyBorder="1" applyAlignment="1">
      <alignment horizontal="center"/>
    </xf>
    <xf numFmtId="0" fontId="15" fillId="0" borderId="0" xfId="0" applyFont="1"/>
    <xf numFmtId="0" fontId="11" fillId="0" borderId="1" xfId="0" applyFont="1" applyBorder="1"/>
    <xf numFmtId="0" fontId="11" fillId="0" borderId="5" xfId="0" applyFont="1" applyBorder="1" applyAlignment="1">
      <alignment horizontal="center"/>
    </xf>
    <xf numFmtId="0" fontId="15" fillId="0" borderId="4" xfId="0" applyFont="1" applyBorder="1"/>
    <xf numFmtId="0" fontId="15" fillId="0" borderId="7" xfId="0" applyFont="1" applyBorder="1"/>
    <xf numFmtId="169" fontId="15" fillId="0" borderId="7" xfId="1" applyNumberFormat="1" applyFont="1" applyBorder="1"/>
    <xf numFmtId="169" fontId="15" fillId="0" borderId="4" xfId="1" applyNumberFormat="1" applyFont="1" applyBorder="1"/>
    <xf numFmtId="169" fontId="15" fillId="0" borderId="0" xfId="1" applyNumberFormat="1" applyFont="1" applyBorder="1"/>
    <xf numFmtId="0" fontId="15" fillId="0" borderId="0" xfId="1" applyNumberFormat="1" applyFont="1" applyBorder="1" applyAlignment="1">
      <alignment horizontal="right"/>
    </xf>
    <xf numFmtId="0" fontId="15" fillId="0" borderId="0" xfId="1" applyNumberFormat="1" applyFont="1" applyBorder="1"/>
    <xf numFmtId="0" fontId="15" fillId="0" borderId="3" xfId="0" applyFont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169" fontId="11" fillId="0" borderId="0" xfId="0" applyNumberFormat="1" applyFont="1"/>
    <xf numFmtId="0" fontId="24" fillId="0" borderId="0" xfId="0" applyFont="1"/>
    <xf numFmtId="0" fontId="15" fillId="0" borderId="8" xfId="0" applyFont="1" applyBorder="1"/>
    <xf numFmtId="0" fontId="25" fillId="0" borderId="0" xfId="0" applyFont="1"/>
    <xf numFmtId="0" fontId="14" fillId="0" borderId="0" xfId="0" applyFont="1"/>
    <xf numFmtId="169" fontId="15" fillId="0" borderId="0" xfId="0" applyNumberFormat="1" applyFont="1"/>
    <xf numFmtId="0" fontId="24" fillId="0" borderId="0" xfId="0" applyFont="1" applyAlignment="1">
      <alignment horizontal="left"/>
    </xf>
    <xf numFmtId="169" fontId="26" fillId="0" borderId="0" xfId="1" applyNumberFormat="1" applyFont="1" applyBorder="1" applyAlignment="1">
      <alignment horizontal="center"/>
    </xf>
    <xf numFmtId="169" fontId="15" fillId="0" borderId="4" xfId="0" applyNumberFormat="1" applyFont="1" applyBorder="1"/>
    <xf numFmtId="0" fontId="20" fillId="0" borderId="0" xfId="0" applyFont="1"/>
    <xf numFmtId="0" fontId="27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29" fillId="0" borderId="4" xfId="0" applyFont="1" applyBorder="1"/>
    <xf numFmtId="0" fontId="29" fillId="0" borderId="0" xfId="0" applyFont="1"/>
    <xf numFmtId="169" fontId="29" fillId="0" borderId="7" xfId="1" applyNumberFormat="1" applyFont="1" applyBorder="1"/>
    <xf numFmtId="0" fontId="14" fillId="0" borderId="0" xfId="0" applyFont="1" applyAlignment="1">
      <alignment horizontal="left"/>
    </xf>
    <xf numFmtId="0" fontId="27" fillId="0" borderId="0" xfId="3" applyFont="1" applyAlignment="1">
      <alignment horizontal="right" wrapText="1"/>
    </xf>
    <xf numFmtId="0" fontId="18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7" xfId="0" applyFont="1" applyBorder="1"/>
    <xf numFmtId="169" fontId="17" fillId="0" borderId="0" xfId="1" applyNumberFormat="1" applyFont="1" applyFill="1" applyBorder="1" applyAlignment="1">
      <alignment horizontal="right"/>
    </xf>
    <xf numFmtId="0" fontId="34" fillId="0" borderId="0" xfId="0" applyFont="1"/>
    <xf numFmtId="169" fontId="17" fillId="0" borderId="4" xfId="1" applyNumberFormat="1" applyFont="1" applyFill="1" applyBorder="1"/>
    <xf numFmtId="169" fontId="17" fillId="0" borderId="0" xfId="1" applyNumberFormat="1" applyFont="1" applyFill="1" applyBorder="1"/>
    <xf numFmtId="0" fontId="18" fillId="0" borderId="0" xfId="0" applyFont="1" applyAlignment="1">
      <alignment horizontal="center"/>
    </xf>
    <xf numFmtId="169" fontId="17" fillId="0" borderId="0" xfId="1" applyNumberFormat="1" applyFont="1"/>
    <xf numFmtId="3" fontId="17" fillId="0" borderId="0" xfId="0" applyNumberFormat="1" applyFont="1" applyAlignment="1">
      <alignment horizontal="right"/>
    </xf>
    <xf numFmtId="0" fontId="37" fillId="0" borderId="0" xfId="0" applyFont="1"/>
    <xf numFmtId="0" fontId="38" fillId="0" borderId="0" xfId="0" applyFont="1"/>
    <xf numFmtId="0" fontId="32" fillId="0" borderId="0" xfId="0" applyFont="1"/>
    <xf numFmtId="169" fontId="17" fillId="0" borderId="0" xfId="1" applyNumberFormat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168" fontId="15" fillId="0" borderId="0" xfId="0" applyNumberFormat="1" applyFont="1"/>
    <xf numFmtId="3" fontId="17" fillId="0" borderId="4" xfId="0" applyNumberFormat="1" applyFont="1" applyBorder="1" applyAlignment="1">
      <alignment horizontal="right"/>
    </xf>
    <xf numFmtId="167" fontId="41" fillId="0" borderId="0" xfId="0" applyNumberFormat="1" applyFont="1"/>
    <xf numFmtId="3" fontId="19" fillId="0" borderId="0" xfId="0" applyNumberFormat="1" applyFont="1"/>
    <xf numFmtId="164" fontId="17" fillId="0" borderId="0" xfId="2" applyFont="1" applyBorder="1"/>
    <xf numFmtId="3" fontId="18" fillId="0" borderId="0" xfId="0" applyNumberFormat="1" applyFont="1" applyAlignment="1">
      <alignment horizontal="right"/>
    </xf>
    <xf numFmtId="164" fontId="17" fillId="0" borderId="0" xfId="2" applyFont="1" applyFill="1" applyBorder="1"/>
    <xf numFmtId="169" fontId="17" fillId="0" borderId="0" xfId="1" applyNumberFormat="1" applyFont="1" applyBorder="1" applyAlignment="1">
      <alignment horizontal="center"/>
    </xf>
    <xf numFmtId="169" fontId="42" fillId="0" borderId="0" xfId="4" applyNumberFormat="1" applyFont="1" applyAlignment="1">
      <alignment horizontal="right" wrapText="1"/>
    </xf>
    <xf numFmtId="169" fontId="18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18" fillId="0" borderId="0" xfId="0" applyNumberFormat="1" applyFont="1"/>
    <xf numFmtId="169" fontId="18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center"/>
    </xf>
    <xf numFmtId="169" fontId="18" fillId="0" borderId="2" xfId="0" applyNumberFormat="1" applyFont="1" applyBorder="1"/>
    <xf numFmtId="0" fontId="18" fillId="0" borderId="8" xfId="0" applyFont="1" applyBorder="1"/>
    <xf numFmtId="0" fontId="18" fillId="0" borderId="3" xfId="0" applyFont="1" applyBorder="1" applyAlignment="1">
      <alignment horizontal="right"/>
    </xf>
    <xf numFmtId="0" fontId="18" fillId="0" borderId="3" xfId="0" applyFont="1" applyBorder="1" applyAlignment="1">
      <alignment horizontal="right" vertical="top"/>
    </xf>
    <xf numFmtId="0" fontId="18" fillId="0" borderId="3" xfId="0" applyFont="1" applyBorder="1"/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7" xfId="0" applyFont="1" applyBorder="1" applyAlignment="1">
      <alignment horizontal="right"/>
    </xf>
    <xf numFmtId="0" fontId="18" fillId="0" borderId="7" xfId="0" applyFont="1" applyBorder="1" applyAlignment="1">
      <alignment horizontal="left"/>
    </xf>
    <xf numFmtId="0" fontId="18" fillId="0" borderId="8" xfId="0" applyFont="1" applyBorder="1" applyAlignment="1">
      <alignment horizontal="right"/>
    </xf>
    <xf numFmtId="0" fontId="18" fillId="0" borderId="3" xfId="0" applyFont="1" applyBorder="1" applyAlignment="1">
      <alignment horizontal="center" vertical="top"/>
    </xf>
    <xf numFmtId="0" fontId="18" fillId="0" borderId="2" xfId="0" applyFont="1" applyBorder="1" applyAlignment="1">
      <alignment horizontal="center"/>
    </xf>
    <xf numFmtId="0" fontId="0" fillId="2" borderId="0" xfId="0" applyFill="1"/>
    <xf numFmtId="9" fontId="0" fillId="0" borderId="0" xfId="6" applyFont="1"/>
    <xf numFmtId="1" fontId="18" fillId="0" borderId="0" xfId="0" applyNumberFormat="1" applyFont="1"/>
    <xf numFmtId="165" fontId="15" fillId="0" borderId="0" xfId="0" applyNumberFormat="1" applyFont="1"/>
    <xf numFmtId="169" fontId="24" fillId="0" borderId="0" xfId="1" applyNumberFormat="1" applyFont="1" applyBorder="1" applyAlignment="1">
      <alignment horizontal="right"/>
    </xf>
    <xf numFmtId="169" fontId="14" fillId="0" borderId="0" xfId="0" applyNumberFormat="1" applyFont="1" applyAlignment="1">
      <alignment horizontal="left"/>
    </xf>
    <xf numFmtId="169" fontId="29" fillId="0" borderId="0" xfId="0" applyNumberFormat="1" applyFont="1" applyAlignment="1">
      <alignment horizontal="left"/>
    </xf>
    <xf numFmtId="169" fontId="15" fillId="0" borderId="0" xfId="0" applyNumberFormat="1" applyFont="1" applyAlignment="1">
      <alignment horizontal="left"/>
    </xf>
    <xf numFmtId="169" fontId="29" fillId="0" borderId="0" xfId="0" applyNumberFormat="1" applyFont="1"/>
    <xf numFmtId="0" fontId="18" fillId="0" borderId="4" xfId="2" applyNumberFormat="1" applyFont="1" applyFill="1" applyBorder="1" applyAlignment="1">
      <alignment horizontal="center"/>
    </xf>
    <xf numFmtId="0" fontId="18" fillId="0" borderId="0" xfId="2" applyNumberFormat="1" applyFont="1" applyFill="1" applyBorder="1" applyAlignment="1">
      <alignment horizontal="center"/>
    </xf>
    <xf numFmtId="169" fontId="20" fillId="0" borderId="0" xfId="0" applyNumberFormat="1" applyFont="1" applyAlignment="1">
      <alignment horizontal="left"/>
    </xf>
    <xf numFmtId="169" fontId="20" fillId="0" borderId="0" xfId="0" applyNumberFormat="1" applyFont="1"/>
    <xf numFmtId="169" fontId="21" fillId="0" borderId="0" xfId="0" applyNumberFormat="1" applyFont="1"/>
    <xf numFmtId="169" fontId="24" fillId="0" borderId="0" xfId="0" applyNumberFormat="1" applyFont="1" applyAlignment="1">
      <alignment horizontal="left"/>
    </xf>
    <xf numFmtId="169" fontId="24" fillId="0" borderId="0" xfId="1" applyNumberFormat="1" applyFont="1" applyFill="1" applyBorder="1" applyAlignment="1">
      <alignment horizontal="center"/>
    </xf>
    <xf numFmtId="169" fontId="26" fillId="0" borderId="0" xfId="0" applyNumberFormat="1" applyFont="1"/>
    <xf numFmtId="169" fontId="18" fillId="0" borderId="7" xfId="0" applyNumberFormat="1" applyFont="1" applyBorder="1" applyAlignment="1">
      <alignment horizontal="left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7" fillId="0" borderId="0" xfId="3" applyFont="1" applyAlignment="1">
      <alignment horizontal="center" wrapText="1"/>
    </xf>
    <xf numFmtId="169" fontId="15" fillId="0" borderId="0" xfId="0" applyNumberFormat="1" applyFont="1" applyAlignment="1">
      <alignment horizontal="center"/>
    </xf>
    <xf numFmtId="169" fontId="18" fillId="0" borderId="3" xfId="1" applyNumberFormat="1" applyFont="1" applyFill="1" applyBorder="1" applyAlignment="1"/>
    <xf numFmtId="0" fontId="17" fillId="3" borderId="0" xfId="0" applyFont="1" applyFill="1"/>
    <xf numFmtId="169" fontId="17" fillId="3" borderId="0" xfId="1" applyNumberFormat="1" applyFont="1" applyFill="1"/>
    <xf numFmtId="0" fontId="47" fillId="0" borderId="0" xfId="0" applyFont="1"/>
    <xf numFmtId="9" fontId="26" fillId="0" borderId="0" xfId="6" applyFont="1" applyFill="1" applyAlignment="1"/>
    <xf numFmtId="9" fontId="15" fillId="0" borderId="0" xfId="6" applyFont="1" applyFill="1" applyAlignment="1"/>
    <xf numFmtId="10" fontId="15" fillId="0" borderId="0" xfId="0" applyNumberFormat="1" applyFont="1"/>
    <xf numFmtId="9" fontId="15" fillId="0" borderId="0" xfId="6" applyFont="1" applyFill="1" applyBorder="1" applyAlignment="1"/>
    <xf numFmtId="1" fontId="11" fillId="0" borderId="0" xfId="0" applyNumberFormat="1" applyFont="1"/>
    <xf numFmtId="168" fontId="14" fillId="0" borderId="0" xfId="0" applyNumberFormat="1" applyFont="1" applyAlignment="1">
      <alignment horizontal="left"/>
    </xf>
    <xf numFmtId="168" fontId="29" fillId="0" borderId="0" xfId="0" applyNumberFormat="1" applyFont="1" applyAlignment="1">
      <alignment horizontal="left"/>
    </xf>
    <xf numFmtId="168" fontId="29" fillId="0" borderId="3" xfId="0" applyNumberFormat="1" applyFont="1" applyBorder="1"/>
    <xf numFmtId="168" fontId="29" fillId="0" borderId="0" xfId="0" applyNumberFormat="1" applyFont="1"/>
    <xf numFmtId="168" fontId="21" fillId="0" borderId="0" xfId="0" applyNumberFormat="1" applyFont="1"/>
    <xf numFmtId="168" fontId="15" fillId="0" borderId="0" xfId="2" applyNumberFormat="1" applyFont="1" applyFill="1" applyAlignment="1"/>
    <xf numFmtId="168" fontId="18" fillId="0" borderId="0" xfId="0" applyNumberFormat="1" applyFont="1"/>
    <xf numFmtId="0" fontId="50" fillId="0" borderId="0" xfId="0" quotePrefix="1" applyFont="1"/>
    <xf numFmtId="167" fontId="51" fillId="0" borderId="0" xfId="0" applyNumberFormat="1" applyFont="1"/>
    <xf numFmtId="167" fontId="24" fillId="0" borderId="0" xfId="0" applyNumberFormat="1" applyFont="1"/>
    <xf numFmtId="168" fontId="21" fillId="0" borderId="0" xfId="0" applyNumberFormat="1" applyFont="1" applyAlignment="1">
      <alignment horizontal="right"/>
    </xf>
    <xf numFmtId="168" fontId="26" fillId="0" borderId="0" xfId="0" applyNumberFormat="1" applyFont="1" applyAlignment="1">
      <alignment horizontal="right"/>
    </xf>
    <xf numFmtId="0" fontId="18" fillId="0" borderId="14" xfId="0" applyFont="1" applyBorder="1" applyAlignment="1">
      <alignment horizontal="center"/>
    </xf>
    <xf numFmtId="168" fontId="18" fillId="0" borderId="0" xfId="1" applyNumberFormat="1" applyFont="1" applyFill="1" applyBorder="1" applyAlignment="1"/>
    <xf numFmtId="168" fontId="18" fillId="0" borderId="0" xfId="1" applyNumberFormat="1" applyFont="1" applyFill="1" applyBorder="1" applyAlignment="1">
      <alignment horizontal="right"/>
    </xf>
    <xf numFmtId="169" fontId="18" fillId="0" borderId="4" xfId="1" applyNumberFormat="1" applyFont="1" applyFill="1" applyBorder="1" applyAlignment="1">
      <alignment horizontal="right"/>
    </xf>
    <xf numFmtId="168" fontId="18" fillId="0" borderId="4" xfId="1" applyNumberFormat="1" applyFont="1" applyFill="1" applyBorder="1" applyAlignment="1"/>
    <xf numFmtId="168" fontId="18" fillId="0" borderId="8" xfId="1" applyNumberFormat="1" applyFont="1" applyFill="1" applyBorder="1" applyAlignment="1"/>
    <xf numFmtId="168" fontId="18" fillId="0" borderId="3" xfId="1" applyNumberFormat="1" applyFont="1" applyFill="1" applyBorder="1" applyAlignment="1"/>
    <xf numFmtId="165" fontId="18" fillId="0" borderId="0" xfId="0" applyNumberFormat="1" applyFont="1"/>
    <xf numFmtId="0" fontId="52" fillId="2" borderId="4" xfId="0" applyFont="1" applyFill="1" applyBorder="1"/>
    <xf numFmtId="9" fontId="18" fillId="0" borderId="0" xfId="6" applyFont="1" applyFill="1" applyBorder="1" applyAlignment="1"/>
    <xf numFmtId="12" fontId="18" fillId="0" borderId="0" xfId="6" applyNumberFormat="1" applyFont="1" applyFill="1" applyBorder="1" applyAlignment="1"/>
    <xf numFmtId="169" fontId="18" fillId="0" borderId="0" xfId="6" applyNumberFormat="1" applyFont="1" applyFill="1" applyBorder="1" applyAlignment="1"/>
    <xf numFmtId="169" fontId="18" fillId="0" borderId="4" xfId="0" applyNumberFormat="1" applyFont="1" applyBorder="1"/>
    <xf numFmtId="12" fontId="18" fillId="0" borderId="0" xfId="0" applyNumberFormat="1" applyFont="1"/>
    <xf numFmtId="9" fontId="18" fillId="0" borderId="0" xfId="0" applyNumberFormat="1" applyFont="1"/>
    <xf numFmtId="169" fontId="18" fillId="0" borderId="8" xfId="0" applyNumberFormat="1" applyFont="1" applyBorder="1"/>
    <xf numFmtId="169" fontId="53" fillId="0" borderId="3" xfId="0" applyNumberFormat="1" applyFont="1" applyBorder="1"/>
    <xf numFmtId="169" fontId="54" fillId="0" borderId="8" xfId="1" applyNumberFormat="1" applyFont="1" applyFill="1" applyBorder="1" applyAlignment="1"/>
    <xf numFmtId="169" fontId="53" fillId="0" borderId="2" xfId="0" applyNumberFormat="1" applyFont="1" applyBorder="1"/>
    <xf numFmtId="168" fontId="18" fillId="0" borderId="8" xfId="0" applyNumberFormat="1" applyFont="1" applyBorder="1" applyAlignment="1">
      <alignment horizontal="right" vertical="center"/>
    </xf>
    <xf numFmtId="168" fontId="18" fillId="0" borderId="3" xfId="0" applyNumberFormat="1" applyFont="1" applyBorder="1" applyAlignment="1">
      <alignment horizontal="right" vertical="center"/>
    </xf>
    <xf numFmtId="169" fontId="18" fillId="0" borderId="14" xfId="0" applyNumberFormat="1" applyFont="1" applyBorder="1" applyAlignment="1">
      <alignment horizontal="right" vertical="center"/>
    </xf>
    <xf numFmtId="169" fontId="18" fillId="0" borderId="15" xfId="0" applyNumberFormat="1" applyFont="1" applyBorder="1" applyAlignment="1">
      <alignment horizontal="right" vertical="center"/>
    </xf>
    <xf numFmtId="168" fontId="14" fillId="3" borderId="0" xfId="0" applyNumberFormat="1" applyFont="1" applyFill="1" applyAlignment="1">
      <alignment horizontal="left"/>
    </xf>
    <xf numFmtId="168" fontId="29" fillId="3" borderId="0" xfId="0" applyNumberFormat="1" applyFont="1" applyFill="1" applyAlignment="1">
      <alignment horizontal="left"/>
    </xf>
    <xf numFmtId="0" fontId="18" fillId="0" borderId="8" xfId="0" applyFont="1" applyBorder="1" applyAlignment="1">
      <alignment horizontal="center" vertical="center"/>
    </xf>
    <xf numFmtId="169" fontId="18" fillId="0" borderId="14" xfId="0" applyNumberFormat="1" applyFont="1" applyBorder="1" applyAlignment="1">
      <alignment horizontal="center" vertical="center"/>
    </xf>
    <xf numFmtId="169" fontId="18" fillId="0" borderId="4" xfId="0" applyNumberFormat="1" applyFont="1" applyBorder="1" applyAlignment="1">
      <alignment horizontal="center" vertical="center"/>
    </xf>
    <xf numFmtId="169" fontId="10" fillId="0" borderId="0" xfId="0" applyNumberFormat="1" applyFont="1"/>
    <xf numFmtId="0" fontId="10" fillId="0" borderId="4" xfId="2" applyNumberFormat="1" applyFont="1" applyFill="1" applyBorder="1" applyAlignment="1">
      <alignment horizontal="center"/>
    </xf>
    <xf numFmtId="169" fontId="10" fillId="0" borderId="7" xfId="0" applyNumberFormat="1" applyFont="1" applyBorder="1"/>
    <xf numFmtId="168" fontId="10" fillId="0" borderId="0" xfId="1" applyNumberFormat="1" applyFont="1" applyFill="1" applyBorder="1" applyAlignment="1"/>
    <xf numFmtId="168" fontId="10" fillId="0" borderId="0" xfId="1" applyNumberFormat="1" applyFont="1" applyFill="1" applyBorder="1" applyAlignment="1">
      <alignment horizontal="right"/>
    </xf>
    <xf numFmtId="0" fontId="10" fillId="0" borderId="14" xfId="0" applyFont="1" applyBorder="1" applyAlignment="1">
      <alignment horizontal="center"/>
    </xf>
    <xf numFmtId="165" fontId="10" fillId="0" borderId="0" xfId="0" applyNumberFormat="1" applyFont="1"/>
    <xf numFmtId="169" fontId="10" fillId="0" borderId="4" xfId="1" applyNumberFormat="1" applyFont="1" applyFill="1" applyBorder="1" applyAlignment="1">
      <alignment horizontal="right"/>
    </xf>
    <xf numFmtId="169" fontId="10" fillId="0" borderId="0" xfId="1" applyNumberFormat="1" applyFont="1" applyFill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55" fillId="2" borderId="4" xfId="0" applyFont="1" applyFill="1" applyBorder="1"/>
    <xf numFmtId="0" fontId="17" fillId="0" borderId="4" xfId="2" applyNumberFormat="1" applyFont="1" applyFill="1" applyBorder="1" applyAlignment="1">
      <alignment horizontal="center"/>
    </xf>
    <xf numFmtId="169" fontId="17" fillId="0" borderId="7" xfId="0" applyNumberFormat="1" applyFont="1" applyBorder="1"/>
    <xf numFmtId="168" fontId="17" fillId="0" borderId="0" xfId="1" applyNumberFormat="1" applyFont="1" applyFill="1" applyBorder="1" applyAlignment="1"/>
    <xf numFmtId="168" fontId="17" fillId="0" borderId="0" xfId="1" applyNumberFormat="1" applyFont="1" applyFill="1" applyBorder="1" applyAlignment="1">
      <alignment horizontal="right"/>
    </xf>
    <xf numFmtId="0" fontId="17" fillId="0" borderId="4" xfId="0" applyFont="1" applyBorder="1" applyAlignment="1">
      <alignment horizontal="center"/>
    </xf>
    <xf numFmtId="169" fontId="17" fillId="0" borderId="0" xfId="0" applyNumberFormat="1" applyFont="1"/>
    <xf numFmtId="165" fontId="17" fillId="0" borderId="0" xfId="0" applyNumberFormat="1" applyFont="1"/>
    <xf numFmtId="9" fontId="17" fillId="0" borderId="0" xfId="6" applyFont="1" applyFill="1" applyBorder="1" applyAlignment="1"/>
    <xf numFmtId="12" fontId="17" fillId="0" borderId="0" xfId="6" applyNumberFormat="1" applyFont="1" applyFill="1" applyBorder="1" applyAlignment="1"/>
    <xf numFmtId="169" fontId="17" fillId="0" borderId="0" xfId="6" applyNumberFormat="1" applyFont="1" applyFill="1" applyBorder="1" applyAlignment="1"/>
    <xf numFmtId="169" fontId="17" fillId="0" borderId="4" xfId="0" applyNumberFormat="1" applyFont="1" applyBorder="1"/>
    <xf numFmtId="12" fontId="17" fillId="0" borderId="0" xfId="0" applyNumberFormat="1" applyFont="1"/>
    <xf numFmtId="169" fontId="17" fillId="0" borderId="7" xfId="0" applyNumberFormat="1" applyFont="1" applyBorder="1" applyAlignment="1">
      <alignment horizontal="left"/>
    </xf>
    <xf numFmtId="9" fontId="17" fillId="0" borderId="0" xfId="0" applyNumberFormat="1" applyFont="1"/>
    <xf numFmtId="168" fontId="17" fillId="0" borderId="4" xfId="1" applyNumberFormat="1" applyFont="1" applyFill="1" applyBorder="1" applyAlignment="1"/>
    <xf numFmtId="169" fontId="17" fillId="0" borderId="8" xfId="0" applyNumberFormat="1" applyFont="1" applyBorder="1"/>
    <xf numFmtId="169" fontId="56" fillId="0" borderId="3" xfId="0" applyNumberFormat="1" applyFont="1" applyBorder="1"/>
    <xf numFmtId="168" fontId="17" fillId="0" borderId="8" xfId="1" applyNumberFormat="1" applyFont="1" applyFill="1" applyBorder="1" applyAlignment="1"/>
    <xf numFmtId="168" fontId="17" fillId="0" borderId="3" xfId="1" applyNumberFormat="1" applyFont="1" applyFill="1" applyBorder="1" applyAlignment="1"/>
    <xf numFmtId="169" fontId="57" fillId="0" borderId="8" xfId="1" applyNumberFormat="1" applyFont="1" applyFill="1" applyBorder="1" applyAlignment="1"/>
    <xf numFmtId="0" fontId="17" fillId="0" borderId="8" xfId="0" applyFont="1" applyBorder="1" applyAlignment="1">
      <alignment horizontal="center"/>
    </xf>
    <xf numFmtId="169" fontId="56" fillId="0" borderId="2" xfId="0" applyNumberFormat="1" applyFont="1" applyBorder="1"/>
    <xf numFmtId="3" fontId="15" fillId="0" borderId="0" xfId="0" applyNumberFormat="1" applyFont="1"/>
    <xf numFmtId="0" fontId="17" fillId="0" borderId="0" xfId="0" applyFont="1" applyAlignment="1">
      <alignment horizontal="center"/>
    </xf>
    <xf numFmtId="169" fontId="18" fillId="0" borderId="3" xfId="0" applyNumberFormat="1" applyFont="1" applyBorder="1" applyAlignment="1">
      <alignment horizontal="right" vertical="center"/>
    </xf>
    <xf numFmtId="9" fontId="17" fillId="0" borderId="7" xfId="6" applyFont="1" applyFill="1" applyBorder="1" applyAlignment="1">
      <alignment horizontal="right"/>
    </xf>
    <xf numFmtId="0" fontId="59" fillId="0" borderId="4" xfId="0" applyFont="1" applyBorder="1"/>
    <xf numFmtId="0" fontId="58" fillId="0" borderId="4" xfId="0" applyFont="1" applyBorder="1"/>
    <xf numFmtId="9" fontId="17" fillId="0" borderId="2" xfId="6" applyFont="1" applyFill="1" applyBorder="1" applyAlignment="1">
      <alignment horizontal="right"/>
    </xf>
    <xf numFmtId="0" fontId="60" fillId="0" borderId="0" xfId="0" quotePrefix="1" applyFont="1"/>
    <xf numFmtId="168" fontId="61" fillId="0" borderId="0" xfId="0" applyNumberFormat="1" applyFont="1"/>
    <xf numFmtId="168" fontId="62" fillId="0" borderId="0" xfId="0" applyNumberFormat="1" applyFont="1"/>
    <xf numFmtId="169" fontId="61" fillId="0" borderId="0" xfId="0" applyNumberFormat="1" applyFont="1" applyAlignment="1">
      <alignment horizontal="left"/>
    </xf>
    <xf numFmtId="169" fontId="62" fillId="0" borderId="0" xfId="0" applyNumberFormat="1" applyFont="1"/>
    <xf numFmtId="9" fontId="62" fillId="0" borderId="0" xfId="6" applyFont="1" applyFill="1" applyAlignment="1"/>
    <xf numFmtId="167" fontId="63" fillId="0" borderId="0" xfId="0" applyNumberFormat="1" applyFont="1" applyAlignment="1">
      <alignment horizontal="left"/>
    </xf>
    <xf numFmtId="168" fontId="61" fillId="0" borderId="0" xfId="0" applyNumberFormat="1" applyFont="1" applyAlignment="1">
      <alignment horizontal="right"/>
    </xf>
    <xf numFmtId="169" fontId="64" fillId="0" borderId="0" xfId="0" applyNumberFormat="1" applyFont="1"/>
    <xf numFmtId="168" fontId="64" fillId="0" borderId="0" xfId="0" applyNumberFormat="1" applyFont="1" applyAlignment="1">
      <alignment horizontal="right"/>
    </xf>
    <xf numFmtId="9" fontId="64" fillId="0" borderId="0" xfId="6" applyFont="1" applyFill="1" applyAlignment="1"/>
    <xf numFmtId="2" fontId="64" fillId="0" borderId="0" xfId="0" applyNumberFormat="1" applyFont="1" applyAlignment="1">
      <alignment horizontal="left"/>
    </xf>
    <xf numFmtId="2" fontId="63" fillId="0" borderId="0" xfId="0" applyNumberFormat="1" applyFont="1" applyAlignment="1">
      <alignment horizontal="left"/>
    </xf>
    <xf numFmtId="169" fontId="65" fillId="0" borderId="0" xfId="0" applyNumberFormat="1" applyFont="1" applyAlignment="1">
      <alignment horizontal="left"/>
    </xf>
    <xf numFmtId="169" fontId="62" fillId="0" borderId="0" xfId="0" applyNumberFormat="1" applyFont="1" applyAlignment="1">
      <alignment horizontal="center"/>
    </xf>
    <xf numFmtId="2" fontId="65" fillId="0" borderId="0" xfId="0" applyNumberFormat="1" applyFont="1"/>
    <xf numFmtId="2" fontId="65" fillId="0" borderId="0" xfId="0" quotePrefix="1" applyNumberFormat="1" applyFont="1" applyAlignment="1">
      <alignment vertical="top"/>
    </xf>
    <xf numFmtId="2" fontId="65" fillId="0" borderId="0" xfId="0" quotePrefix="1" applyNumberFormat="1" applyFont="1"/>
    <xf numFmtId="169" fontId="18" fillId="0" borderId="13" xfId="0" applyNumberFormat="1" applyFont="1" applyBorder="1" applyAlignment="1">
      <alignment horizontal="right" vertical="center"/>
    </xf>
    <xf numFmtId="169" fontId="18" fillId="0" borderId="9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9" fontId="0" fillId="0" borderId="0" xfId="0" applyNumberFormat="1"/>
    <xf numFmtId="169" fontId="18" fillId="0" borderId="4" xfId="1" applyNumberFormat="1" applyFont="1" applyFill="1" applyBorder="1"/>
    <xf numFmtId="164" fontId="18" fillId="0" borderId="0" xfId="2" applyFont="1" applyBorder="1"/>
    <xf numFmtId="169" fontId="18" fillId="0" borderId="0" xfId="1" applyNumberFormat="1" applyFont="1" applyFill="1" applyBorder="1"/>
    <xf numFmtId="169" fontId="18" fillId="0" borderId="0" xfId="1" applyNumberFormat="1" applyFont="1" applyBorder="1" applyAlignment="1">
      <alignment horizontal="center"/>
    </xf>
    <xf numFmtId="164" fontId="18" fillId="0" borderId="0" xfId="2" applyFont="1" applyFill="1" applyBorder="1"/>
    <xf numFmtId="169" fontId="18" fillId="0" borderId="0" xfId="1" applyNumberFormat="1" applyFont="1" applyFill="1" applyBorder="1" applyAlignment="1">
      <alignment horizontal="center"/>
    </xf>
    <xf numFmtId="169" fontId="18" fillId="0" borderId="0" xfId="1" applyNumberFormat="1" applyFont="1" applyBorder="1"/>
    <xf numFmtId="169" fontId="18" fillId="0" borderId="0" xfId="1" applyNumberFormat="1" applyFont="1" applyFill="1" applyBorder="1" applyAlignment="1">
      <alignment horizontal="right"/>
    </xf>
    <xf numFmtId="169" fontId="18" fillId="0" borderId="4" xfId="1" applyNumberFormat="1" applyFont="1" applyBorder="1"/>
    <xf numFmtId="169" fontId="18" fillId="0" borderId="0" xfId="1" applyNumberFormat="1" applyFont="1" applyFill="1" applyBorder="1" applyAlignment="1"/>
    <xf numFmtId="3" fontId="18" fillId="0" borderId="0" xfId="0" applyNumberFormat="1" applyFont="1" applyAlignment="1">
      <alignment horizontal="left"/>
    </xf>
    <xf numFmtId="169" fontId="18" fillId="0" borderId="3" xfId="0" applyNumberFormat="1" applyFont="1" applyBorder="1" applyAlignment="1">
      <alignment horizontal="left" vertical="center"/>
    </xf>
    <xf numFmtId="0" fontId="18" fillId="0" borderId="3" xfId="2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8" fontId="18" fillId="0" borderId="7" xfId="1" applyNumberFormat="1" applyFont="1" applyFill="1" applyBorder="1" applyAlignment="1"/>
    <xf numFmtId="170" fontId="18" fillId="0" borderId="0" xfId="1" applyNumberFormat="1" applyFont="1" applyFill="1" applyBorder="1" applyAlignment="1"/>
    <xf numFmtId="0" fontId="18" fillId="2" borderId="0" xfId="0" applyFont="1" applyFill="1"/>
    <xf numFmtId="0" fontId="18" fillId="2" borderId="3" xfId="0" applyFont="1" applyFill="1" applyBorder="1"/>
    <xf numFmtId="170" fontId="18" fillId="0" borderId="7" xfId="1" applyNumberFormat="1" applyFont="1" applyFill="1" applyBorder="1" applyAlignment="1"/>
    <xf numFmtId="3" fontId="13" fillId="0" borderId="0" xfId="0" applyNumberFormat="1" applyFont="1"/>
    <xf numFmtId="0" fontId="24" fillId="0" borderId="0" xfId="0" applyFont="1" applyAlignment="1">
      <alignment horizontal="right"/>
    </xf>
    <xf numFmtId="3" fontId="24" fillId="0" borderId="0" xfId="0" applyNumberFormat="1" applyFont="1" applyAlignment="1">
      <alignment horizontal="right"/>
    </xf>
    <xf numFmtId="169" fontId="24" fillId="0" borderId="0" xfId="1" applyNumberFormat="1" applyFont="1" applyFill="1" applyBorder="1"/>
    <xf numFmtId="0" fontId="55" fillId="2" borderId="0" xfId="0" applyFont="1" applyFill="1"/>
    <xf numFmtId="0" fontId="58" fillId="0" borderId="0" xfId="0" applyFont="1"/>
    <xf numFmtId="168" fontId="10" fillId="0" borderId="7" xfId="1" applyNumberFormat="1" applyFont="1" applyFill="1" applyBorder="1" applyAlignment="1">
      <alignment horizontal="right"/>
    </xf>
    <xf numFmtId="168" fontId="17" fillId="0" borderId="7" xfId="1" applyNumberFormat="1" applyFont="1" applyFill="1" applyBorder="1" applyAlignment="1">
      <alignment horizontal="right"/>
    </xf>
    <xf numFmtId="168" fontId="18" fillId="0" borderId="7" xfId="1" applyNumberFormat="1" applyFont="1" applyFill="1" applyBorder="1" applyAlignment="1">
      <alignment horizontal="right"/>
    </xf>
    <xf numFmtId="169" fontId="18" fillId="0" borderId="12" xfId="0" applyNumberFormat="1" applyFont="1" applyBorder="1" applyAlignment="1">
      <alignment horizontal="right" vertical="center"/>
    </xf>
    <xf numFmtId="168" fontId="34" fillId="0" borderId="0" xfId="1" applyNumberFormat="1" applyFont="1" applyFill="1" applyBorder="1" applyAlignment="1"/>
    <xf numFmtId="170" fontId="34" fillId="0" borderId="7" xfId="1" applyNumberFormat="1" applyFont="1" applyFill="1" applyBorder="1" applyAlignment="1"/>
    <xf numFmtId="169" fontId="18" fillId="0" borderId="3" xfId="0" applyNumberFormat="1" applyFont="1" applyBorder="1" applyAlignment="1">
      <alignment horizontal="right" vertical="top"/>
    </xf>
    <xf numFmtId="169" fontId="18" fillId="0" borderId="0" xfId="0" applyNumberFormat="1" applyFont="1" applyAlignment="1">
      <alignment horizontal="right" vertical="center"/>
    </xf>
    <xf numFmtId="169" fontId="18" fillId="0" borderId="7" xfId="0" applyNumberFormat="1" applyFont="1" applyBorder="1" applyAlignment="1">
      <alignment horizontal="right" vertical="center"/>
    </xf>
    <xf numFmtId="169" fontId="18" fillId="0" borderId="0" xfId="0" applyNumberFormat="1" applyFont="1" applyAlignment="1">
      <alignment horizontal="center" vertical="center" wrapText="1"/>
    </xf>
    <xf numFmtId="168" fontId="18" fillId="0" borderId="0" xfId="0" applyNumberFormat="1" applyFont="1" applyAlignment="1">
      <alignment horizontal="right" vertical="center"/>
    </xf>
    <xf numFmtId="1" fontId="18" fillId="0" borderId="0" xfId="0" applyNumberFormat="1" applyFont="1" applyAlignment="1">
      <alignment horizontal="right"/>
    </xf>
    <xf numFmtId="3" fontId="18" fillId="0" borderId="4" xfId="0" applyNumberFormat="1" applyFont="1" applyBorder="1" applyAlignment="1">
      <alignment horizontal="right"/>
    </xf>
    <xf numFmtId="169" fontId="67" fillId="0" borderId="0" xfId="0" applyNumberFormat="1" applyFont="1"/>
    <xf numFmtId="169" fontId="68" fillId="0" borderId="0" xfId="0" applyNumberFormat="1" applyFont="1"/>
    <xf numFmtId="169" fontId="18" fillId="0" borderId="3" xfId="0" applyNumberFormat="1" applyFont="1" applyBorder="1" applyAlignment="1">
      <alignment horizontal="center" vertical="top"/>
    </xf>
    <xf numFmtId="0" fontId="10" fillId="5" borderId="0" xfId="8" applyFill="1"/>
    <xf numFmtId="0" fontId="31" fillId="5" borderId="0" xfId="8" applyFont="1" applyFill="1"/>
    <xf numFmtId="168" fontId="11" fillId="0" borderId="0" xfId="0" applyNumberFormat="1" applyFont="1"/>
    <xf numFmtId="169" fontId="11" fillId="0" borderId="0" xfId="0" applyNumberFormat="1" applyFont="1" applyAlignment="1">
      <alignment horizontal="right"/>
    </xf>
    <xf numFmtId="0" fontId="69" fillId="0" borderId="0" xfId="0" applyFont="1"/>
    <xf numFmtId="0" fontId="20" fillId="4" borderId="0" xfId="0" applyFont="1" applyFill="1"/>
    <xf numFmtId="169" fontId="17" fillId="0" borderId="0" xfId="1" applyNumberFormat="1" applyFont="1" applyFill="1"/>
    <xf numFmtId="169" fontId="18" fillId="0" borderId="0" xfId="11" applyNumberFormat="1" applyFont="1" applyFill="1" applyBorder="1"/>
    <xf numFmtId="0" fontId="8" fillId="0" borderId="0" xfId="12"/>
    <xf numFmtId="0" fontId="78" fillId="0" borderId="0" xfId="14" applyFont="1"/>
    <xf numFmtId="0" fontId="79" fillId="0" borderId="0" xfId="14" applyFont="1"/>
    <xf numFmtId="0" fontId="71" fillId="0" borderId="14" xfId="14" applyFont="1" applyBorder="1"/>
    <xf numFmtId="0" fontId="71" fillId="0" borderId="16" xfId="14" applyFont="1" applyBorder="1"/>
    <xf numFmtId="169" fontId="71" fillId="0" borderId="0" xfId="1" applyNumberFormat="1" applyFont="1" applyFill="1" applyBorder="1" applyAlignment="1">
      <alignment horizontal="right"/>
    </xf>
    <xf numFmtId="0" fontId="72" fillId="0" borderId="0" xfId="14" applyFont="1"/>
    <xf numFmtId="0" fontId="71" fillId="0" borderId="0" xfId="14" applyFont="1"/>
    <xf numFmtId="0" fontId="71" fillId="0" borderId="0" xfId="14" applyFont="1" applyAlignment="1">
      <alignment horizontal="right"/>
    </xf>
    <xf numFmtId="10" fontId="79" fillId="0" borderId="0" xfId="14" applyNumberFormat="1" applyFont="1"/>
    <xf numFmtId="0" fontId="77" fillId="0" borderId="0" xfId="14" applyFont="1"/>
    <xf numFmtId="0" fontId="77" fillId="5" borderId="0" xfId="14" applyFont="1" applyFill="1"/>
    <xf numFmtId="3" fontId="18" fillId="0" borderId="3" xfId="0" applyNumberFormat="1" applyFont="1" applyBorder="1" applyAlignment="1">
      <alignment horizontal="right"/>
    </xf>
    <xf numFmtId="0" fontId="76" fillId="0" borderId="0" xfId="12" applyFont="1"/>
    <xf numFmtId="172" fontId="10" fillId="8" borderId="0" xfId="1" applyNumberFormat="1" applyFont="1" applyFill="1" applyAlignment="1">
      <alignment horizontal="right"/>
    </xf>
    <xf numFmtId="0" fontId="17" fillId="8" borderId="0" xfId="0" applyFont="1" applyFill="1"/>
    <xf numFmtId="169" fontId="71" fillId="0" borderId="0" xfId="1" applyNumberFormat="1" applyFont="1" applyFill="1" applyBorder="1"/>
    <xf numFmtId="169" fontId="25" fillId="0" borderId="0" xfId="0" applyNumberFormat="1" applyFont="1"/>
    <xf numFmtId="9" fontId="25" fillId="0" borderId="0" xfId="6" applyFont="1" applyFill="1" applyBorder="1"/>
    <xf numFmtId="172" fontId="80" fillId="8" borderId="0" xfId="1" applyNumberFormat="1" applyFont="1" applyFill="1" applyBorder="1" applyAlignment="1">
      <alignment horizontal="right"/>
    </xf>
    <xf numFmtId="0" fontId="79" fillId="8" borderId="0" xfId="14" applyFont="1" applyFill="1"/>
    <xf numFmtId="1" fontId="18" fillId="0" borderId="0" xfId="1" applyNumberFormat="1" applyFont="1" applyFill="1" applyBorder="1"/>
    <xf numFmtId="0" fontId="81" fillId="0" borderId="0" xfId="15" applyFont="1" applyAlignment="1">
      <alignment wrapText="1"/>
    </xf>
    <xf numFmtId="0" fontId="81" fillId="0" borderId="0" xfId="15" applyFont="1" applyAlignment="1">
      <alignment horizontal="right" wrapText="1"/>
    </xf>
    <xf numFmtId="169" fontId="83" fillId="0" borderId="0" xfId="0" applyNumberFormat="1" applyFont="1" applyAlignment="1">
      <alignment horizontal="left"/>
    </xf>
    <xf numFmtId="0" fontId="10" fillId="0" borderId="0" xfId="0" applyFont="1"/>
    <xf numFmtId="0" fontId="75" fillId="0" borderId="0" xfId="0" applyFont="1"/>
    <xf numFmtId="169" fontId="75" fillId="0" borderId="0" xfId="0" applyNumberFormat="1" applyFont="1" applyAlignment="1">
      <alignment horizontal="left"/>
    </xf>
    <xf numFmtId="169" fontId="31" fillId="0" borderId="0" xfId="0" applyNumberFormat="1" applyFont="1" applyAlignment="1">
      <alignment horizontal="left"/>
    </xf>
    <xf numFmtId="170" fontId="18" fillId="0" borderId="3" xfId="1" applyNumberFormat="1" applyFont="1" applyFill="1" applyBorder="1" applyAlignment="1"/>
    <xf numFmtId="170" fontId="73" fillId="0" borderId="0" xfId="13" applyNumberFormat="1" applyFont="1" applyBorder="1" applyAlignment="1">
      <alignment horizontal="right" vertical="center"/>
    </xf>
    <xf numFmtId="170" fontId="73" fillId="0" borderId="0" xfId="13" applyNumberFormat="1" applyFont="1" applyFill="1" applyBorder="1" applyAlignment="1">
      <alignment horizontal="right" vertical="center"/>
    </xf>
    <xf numFmtId="167" fontId="18" fillId="0" borderId="0" xfId="0" applyNumberFormat="1" applyFont="1" applyAlignment="1">
      <alignment horizontal="right"/>
    </xf>
    <xf numFmtId="167" fontId="18" fillId="0" borderId="0" xfId="0" applyNumberFormat="1" applyFont="1"/>
    <xf numFmtId="171" fontId="18" fillId="0" borderId="0" xfId="0" applyNumberFormat="1" applyFont="1"/>
    <xf numFmtId="0" fontId="8" fillId="0" borderId="4" xfId="12" applyBorder="1"/>
    <xf numFmtId="0" fontId="71" fillId="0" borderId="4" xfId="12" applyFont="1" applyBorder="1" applyAlignment="1">
      <alignment horizontal="center"/>
    </xf>
    <xf numFmtId="0" fontId="73" fillId="0" borderId="4" xfId="12" applyFont="1" applyBorder="1" applyAlignment="1">
      <alignment horizontal="center" vertical="center"/>
    </xf>
    <xf numFmtId="170" fontId="73" fillId="0" borderId="4" xfId="13" applyNumberFormat="1" applyFont="1" applyBorder="1" applyAlignment="1">
      <alignment horizontal="right" vertical="center"/>
    </xf>
    <xf numFmtId="170" fontId="73" fillId="0" borderId="4" xfId="13" applyNumberFormat="1" applyFont="1" applyFill="1" applyBorder="1" applyAlignment="1">
      <alignment horizontal="right" vertical="center"/>
    </xf>
    <xf numFmtId="167" fontId="18" fillId="0" borderId="4" xfId="0" applyNumberFormat="1" applyFont="1" applyBorder="1" applyAlignment="1">
      <alignment horizontal="right"/>
    </xf>
    <xf numFmtId="167" fontId="18" fillId="0" borderId="4" xfId="0" applyNumberFormat="1" applyFont="1" applyBorder="1"/>
    <xf numFmtId="171" fontId="18" fillId="0" borderId="4" xfId="0" applyNumberFormat="1" applyFont="1" applyBorder="1"/>
    <xf numFmtId="0" fontId="74" fillId="0" borderId="3" xfId="12" applyFont="1" applyBorder="1" applyAlignment="1">
      <alignment vertical="center"/>
    </xf>
    <xf numFmtId="167" fontId="70" fillId="0" borderId="0" xfId="0" applyNumberFormat="1" applyFont="1"/>
    <xf numFmtId="0" fontId="71" fillId="0" borderId="8" xfId="14" applyFont="1" applyBorder="1" applyAlignment="1">
      <alignment horizontal="center"/>
    </xf>
    <xf numFmtId="0" fontId="71" fillId="0" borderId="4" xfId="14" applyFont="1" applyBorder="1" applyAlignment="1">
      <alignment horizontal="center"/>
    </xf>
    <xf numFmtId="3" fontId="70" fillId="0" borderId="0" xfId="0" applyNumberFormat="1" applyFont="1"/>
    <xf numFmtId="167" fontId="18" fillId="0" borderId="3" xfId="0" applyNumberFormat="1" applyFont="1" applyBorder="1"/>
    <xf numFmtId="0" fontId="17" fillId="9" borderId="0" xfId="0" applyFont="1" applyFill="1"/>
    <xf numFmtId="0" fontId="22" fillId="9" borderId="0" xfId="0" applyFont="1" applyFill="1"/>
    <xf numFmtId="0" fontId="18" fillId="8" borderId="4" xfId="0" applyFont="1" applyFill="1" applyBorder="1" applyAlignment="1">
      <alignment horizontal="center"/>
    </xf>
    <xf numFmtId="0" fontId="18" fillId="8" borderId="7" xfId="0" applyFont="1" applyFill="1" applyBorder="1"/>
    <xf numFmtId="0" fontId="18" fillId="8" borderId="7" xfId="0" applyFont="1" applyFill="1" applyBorder="1" applyAlignment="1">
      <alignment horizontal="left"/>
    </xf>
    <xf numFmtId="0" fontId="23" fillId="8" borderId="0" xfId="0" applyFont="1" applyFill="1"/>
    <xf numFmtId="0" fontId="22" fillId="8" borderId="0" xfId="0" applyFont="1" applyFill="1"/>
    <xf numFmtId="3" fontId="71" fillId="8" borderId="0" xfId="0" applyNumberFormat="1" applyFont="1" applyFill="1" applyAlignment="1">
      <alignment horizontal="right"/>
    </xf>
    <xf numFmtId="3" fontId="18" fillId="0" borderId="18" xfId="0" applyNumberFormat="1" applyFont="1" applyBorder="1" applyAlignment="1">
      <alignment horizontal="right"/>
    </xf>
    <xf numFmtId="172" fontId="10" fillId="0" borderId="0" xfId="1" applyNumberFormat="1" applyFont="1" applyFill="1" applyAlignment="1">
      <alignment horizontal="right"/>
    </xf>
    <xf numFmtId="172" fontId="19" fillId="0" borderId="0" xfId="0" applyNumberFormat="1" applyFont="1"/>
    <xf numFmtId="169" fontId="84" fillId="0" borderId="0" xfId="0" applyNumberFormat="1" applyFont="1"/>
    <xf numFmtId="0" fontId="18" fillId="2" borderId="9" xfId="0" applyFont="1" applyFill="1" applyBorder="1"/>
    <xf numFmtId="169" fontId="10" fillId="5" borderId="0" xfId="8" applyNumberFormat="1" applyFill="1"/>
    <xf numFmtId="3" fontId="88" fillId="0" borderId="0" xfId="0" applyNumberFormat="1" applyFont="1"/>
    <xf numFmtId="169" fontId="11" fillId="0" borderId="0" xfId="1" applyNumberFormat="1" applyFont="1" applyFill="1" applyBorder="1"/>
    <xf numFmtId="0" fontId="18" fillId="0" borderId="8" xfId="2" applyNumberFormat="1" applyFont="1" applyFill="1" applyBorder="1" applyAlignment="1">
      <alignment horizontal="center"/>
    </xf>
    <xf numFmtId="0" fontId="15" fillId="0" borderId="0" xfId="6" applyNumberFormat="1" applyFont="1" applyFill="1"/>
    <xf numFmtId="169" fontId="46" fillId="0" borderId="0" xfId="1" applyNumberFormat="1" applyFont="1" applyFill="1" applyBorder="1"/>
    <xf numFmtId="169" fontId="86" fillId="0" borderId="0" xfId="0" applyNumberFormat="1" applyFont="1"/>
    <xf numFmtId="169" fontId="87" fillId="0" borderId="0" xfId="0" applyNumberFormat="1" applyFont="1"/>
    <xf numFmtId="169" fontId="71" fillId="0" borderId="3" xfId="1" applyNumberFormat="1" applyFont="1" applyFill="1" applyBorder="1"/>
    <xf numFmtId="0" fontId="82" fillId="0" borderId="0" xfId="15"/>
    <xf numFmtId="12" fontId="79" fillId="0" borderId="0" xfId="14" applyNumberFormat="1" applyFont="1"/>
    <xf numFmtId="0" fontId="18" fillId="8" borderId="0" xfId="0" applyFont="1" applyFill="1"/>
    <xf numFmtId="169" fontId="18" fillId="8" borderId="0" xfId="0" applyNumberFormat="1" applyFont="1" applyFill="1"/>
    <xf numFmtId="169" fontId="13" fillId="0" borderId="0" xfId="0" applyNumberFormat="1" applyFont="1"/>
    <xf numFmtId="174" fontId="18" fillId="0" borderId="0" xfId="0" applyNumberFormat="1" applyFont="1"/>
    <xf numFmtId="0" fontId="90" fillId="0" borderId="0" xfId="12" applyFont="1"/>
    <xf numFmtId="168" fontId="17" fillId="0" borderId="0" xfId="0" applyNumberFormat="1" applyFont="1"/>
    <xf numFmtId="0" fontId="71" fillId="0" borderId="8" xfId="14" applyFont="1" applyBorder="1"/>
    <xf numFmtId="169" fontId="71" fillId="0" borderId="0" xfId="0" applyNumberFormat="1" applyFont="1" applyAlignment="1">
      <alignment horizontal="center" wrapText="1"/>
    </xf>
    <xf numFmtId="0" fontId="79" fillId="0" borderId="16" xfId="14" applyFont="1" applyBorder="1"/>
    <xf numFmtId="0" fontId="79" fillId="0" borderId="7" xfId="14" applyFont="1" applyBorder="1"/>
    <xf numFmtId="174" fontId="79" fillId="0" borderId="0" xfId="6" applyNumberFormat="1" applyFont="1"/>
    <xf numFmtId="3" fontId="89" fillId="0" borderId="0" xfId="0" applyNumberFormat="1" applyFont="1" applyAlignment="1">
      <alignment horizontal="right"/>
    </xf>
    <xf numFmtId="0" fontId="71" fillId="0" borderId="4" xfId="14" applyFont="1" applyBorder="1"/>
    <xf numFmtId="169" fontId="71" fillId="0" borderId="0" xfId="1" applyNumberFormat="1" applyFont="1" applyFill="1" applyBorder="1" applyAlignment="1"/>
    <xf numFmtId="169" fontId="47" fillId="0" borderId="0" xfId="1" applyNumberFormat="1" applyFont="1" applyFill="1" applyBorder="1"/>
    <xf numFmtId="0" fontId="8" fillId="8" borderId="0" xfId="12" applyFill="1"/>
    <xf numFmtId="0" fontId="71" fillId="8" borderId="0" xfId="12" applyFont="1" applyFill="1"/>
    <xf numFmtId="175" fontId="8" fillId="8" borderId="0" xfId="12" applyNumberFormat="1" applyFill="1"/>
    <xf numFmtId="9" fontId="8" fillId="8" borderId="0" xfId="6" applyFont="1" applyFill="1"/>
    <xf numFmtId="169" fontId="11" fillId="8" borderId="0" xfId="0" applyNumberFormat="1" applyFont="1" applyFill="1" applyAlignment="1">
      <alignment horizontal="right"/>
    </xf>
    <xf numFmtId="169" fontId="11" fillId="8" borderId="0" xfId="0" applyNumberFormat="1" applyFont="1" applyFill="1"/>
    <xf numFmtId="10" fontId="79" fillId="8" borderId="0" xfId="14" applyNumberFormat="1" applyFont="1" applyFill="1"/>
    <xf numFmtId="169" fontId="20" fillId="8" borderId="0" xfId="0" applyNumberFormat="1" applyFont="1" applyFill="1" applyAlignment="1">
      <alignment horizontal="right"/>
    </xf>
    <xf numFmtId="169" fontId="20" fillId="8" borderId="0" xfId="0" applyNumberFormat="1" applyFont="1" applyFill="1"/>
    <xf numFmtId="10" fontId="77" fillId="8" borderId="0" xfId="14" applyNumberFormat="1" applyFont="1" applyFill="1"/>
    <xf numFmtId="0" fontId="77" fillId="8" borderId="0" xfId="14" applyFont="1" applyFill="1"/>
    <xf numFmtId="0" fontId="70" fillId="8" borderId="0" xfId="12" applyFont="1" applyFill="1" applyAlignment="1">
      <alignment horizontal="left"/>
    </xf>
    <xf numFmtId="165" fontId="71" fillId="8" borderId="0" xfId="6" applyNumberFormat="1" applyFont="1" applyFill="1" applyBorder="1"/>
    <xf numFmtId="0" fontId="75" fillId="8" borderId="0" xfId="12" applyFont="1" applyFill="1"/>
    <xf numFmtId="12" fontId="70" fillId="8" borderId="0" xfId="12" applyNumberFormat="1" applyFont="1" applyFill="1"/>
    <xf numFmtId="0" fontId="81" fillId="8" borderId="0" xfId="16" applyFont="1" applyFill="1" applyAlignment="1">
      <alignment horizontal="right" wrapText="1"/>
    </xf>
    <xf numFmtId="0" fontId="77" fillId="8" borderId="3" xfId="12" applyFont="1" applyFill="1" applyBorder="1"/>
    <xf numFmtId="1" fontId="70" fillId="8" borderId="0" xfId="12" applyNumberFormat="1" applyFont="1" applyFill="1"/>
    <xf numFmtId="9" fontId="7" fillId="8" borderId="0" xfId="6" applyFont="1" applyFill="1"/>
    <xf numFmtId="16" fontId="8" fillId="8" borderId="0" xfId="12" applyNumberFormat="1" applyFill="1"/>
    <xf numFmtId="0" fontId="31" fillId="0" borderId="4" xfId="0" applyFont="1" applyBorder="1" applyAlignment="1">
      <alignment horizontal="right"/>
    </xf>
    <xf numFmtId="0" fontId="31" fillId="0" borderId="4" xfId="0" applyFont="1" applyBorder="1"/>
    <xf numFmtId="0" fontId="31" fillId="0" borderId="4" xfId="0" applyFont="1" applyBorder="1" applyAlignment="1">
      <alignment horizontal="center"/>
    </xf>
    <xf numFmtId="0" fontId="31" fillId="0" borderId="0" xfId="0" applyFont="1" applyAlignment="1">
      <alignment horizontal="left"/>
    </xf>
    <xf numFmtId="0" fontId="31" fillId="0" borderId="3" xfId="0" applyFont="1" applyBorder="1" applyAlignment="1">
      <alignment horizontal="left"/>
    </xf>
    <xf numFmtId="0" fontId="5" fillId="8" borderId="0" xfId="12" applyFont="1" applyFill="1"/>
    <xf numFmtId="1" fontId="31" fillId="0" borderId="0" xfId="6" applyNumberFormat="1" applyFont="1" applyFill="1"/>
    <xf numFmtId="169" fontId="71" fillId="0" borderId="7" xfId="14" applyNumberFormat="1" applyFont="1" applyBorder="1"/>
    <xf numFmtId="169" fontId="71" fillId="11" borderId="0" xfId="1" applyNumberFormat="1" applyFont="1" applyFill="1" applyBorder="1"/>
    <xf numFmtId="169" fontId="18" fillId="5" borderId="0" xfId="1" applyNumberFormat="1" applyFont="1" applyFill="1"/>
    <xf numFmtId="0" fontId="92" fillId="0" borderId="0" xfId="14" applyFont="1"/>
    <xf numFmtId="0" fontId="71" fillId="0" borderId="14" xfId="0" applyFont="1" applyBorder="1" applyAlignment="1">
      <alignment horizontal="right"/>
    </xf>
    <xf numFmtId="0" fontId="71" fillId="0" borderId="18" xfId="0" applyFont="1" applyBorder="1" applyAlignment="1">
      <alignment horizontal="right"/>
    </xf>
    <xf numFmtId="0" fontId="71" fillId="0" borderId="3" xfId="0" applyFont="1" applyBorder="1" applyAlignment="1">
      <alignment horizontal="right" wrapText="1"/>
    </xf>
    <xf numFmtId="0" fontId="71" fillId="0" borderId="3" xfId="0" applyFont="1" applyBorder="1" applyAlignment="1">
      <alignment horizontal="right"/>
    </xf>
    <xf numFmtId="169" fontId="18" fillId="0" borderId="18" xfId="0" applyNumberFormat="1" applyFont="1" applyBorder="1" applyAlignment="1">
      <alignment horizontal="center" vertical="center" wrapText="1"/>
    </xf>
    <xf numFmtId="169" fontId="18" fillId="0" borderId="7" xfId="1" applyNumberFormat="1" applyFont="1" applyBorder="1"/>
    <xf numFmtId="169" fontId="18" fillId="0" borderId="0" xfId="1" applyNumberFormat="1" applyFont="1"/>
    <xf numFmtId="169" fontId="18" fillId="0" borderId="3" xfId="1" applyNumberFormat="1" applyFont="1" applyBorder="1"/>
    <xf numFmtId="169" fontId="18" fillId="0" borderId="8" xfId="1" applyNumberFormat="1" applyFont="1" applyBorder="1"/>
    <xf numFmtId="169" fontId="18" fillId="0" borderId="2" xfId="1" applyNumberFormat="1" applyFont="1" applyBorder="1"/>
    <xf numFmtId="1" fontId="18" fillId="0" borderId="4" xfId="1" applyNumberFormat="1" applyFont="1" applyBorder="1"/>
    <xf numFmtId="9" fontId="18" fillId="0" borderId="0" xfId="6" applyFont="1" applyBorder="1"/>
    <xf numFmtId="0" fontId="93" fillId="0" borderId="0" xfId="0" applyFont="1" applyAlignment="1">
      <alignment horizontal="left" vertical="center"/>
    </xf>
    <xf numFmtId="0" fontId="94" fillId="0" borderId="0" xfId="0" applyFont="1"/>
    <xf numFmtId="169" fontId="18" fillId="0" borderId="20" xfId="1" applyNumberFormat="1" applyFont="1" applyFill="1" applyBorder="1" applyAlignment="1"/>
    <xf numFmtId="0" fontId="18" fillId="0" borderId="20" xfId="0" applyFont="1" applyBorder="1" applyAlignment="1">
      <alignment horizontal="center"/>
    </xf>
    <xf numFmtId="169" fontId="18" fillId="0" borderId="16" xfId="0" applyNumberFormat="1" applyFont="1" applyBorder="1"/>
    <xf numFmtId="169" fontId="18" fillId="0" borderId="4" xfId="0" applyNumberFormat="1" applyFont="1" applyBorder="1" applyAlignment="1">
      <alignment horizontal="left"/>
    </xf>
    <xf numFmtId="169" fontId="18" fillId="0" borderId="4" xfId="0" applyNumberFormat="1" applyFont="1" applyBorder="1" applyAlignment="1">
      <alignment horizontal="center"/>
    </xf>
    <xf numFmtId="0" fontId="18" fillId="0" borderId="21" xfId="2" applyNumberFormat="1" applyFont="1" applyFill="1" applyBorder="1" applyAlignment="1">
      <alignment horizontal="center"/>
    </xf>
    <xf numFmtId="169" fontId="18" fillId="0" borderId="22" xfId="0" applyNumberFormat="1" applyFont="1" applyBorder="1"/>
    <xf numFmtId="168" fontId="18" fillId="0" borderId="20" xfId="1" applyNumberFormat="1" applyFont="1" applyFill="1" applyBorder="1" applyAlignment="1"/>
    <xf numFmtId="168" fontId="18" fillId="0" borderId="22" xfId="1" applyNumberFormat="1" applyFont="1" applyFill="1" applyBorder="1" applyAlignment="1"/>
    <xf numFmtId="0" fontId="74" fillId="0" borderId="8" xfId="12" applyFont="1" applyBorder="1" applyAlignment="1">
      <alignment horizontal="right" vertical="center"/>
    </xf>
    <xf numFmtId="0" fontId="74" fillId="0" borderId="3" xfId="12" applyFont="1" applyBorder="1" applyAlignment="1">
      <alignment horizontal="right" vertical="center"/>
    </xf>
    <xf numFmtId="0" fontId="71" fillId="0" borderId="16" xfId="0" applyFont="1" applyBorder="1" applyAlignment="1">
      <alignment horizontal="right"/>
    </xf>
    <xf numFmtId="0" fontId="95" fillId="0" borderId="3" xfId="0" applyFont="1" applyBorder="1" applyAlignment="1">
      <alignment horizontal="right"/>
    </xf>
    <xf numFmtId="0" fontId="95" fillId="0" borderId="2" xfId="0" applyFont="1" applyBorder="1" applyAlignment="1">
      <alignment horizontal="right"/>
    </xf>
    <xf numFmtId="0" fontId="72" fillId="0" borderId="2" xfId="0" applyFont="1" applyBorder="1"/>
    <xf numFmtId="9" fontId="83" fillId="7" borderId="0" xfId="6" applyFont="1" applyFill="1"/>
    <xf numFmtId="9" fontId="75" fillId="7" borderId="0" xfId="6" applyFont="1" applyFill="1"/>
    <xf numFmtId="170" fontId="73" fillId="0" borderId="10" xfId="13" applyNumberFormat="1" applyFont="1" applyBorder="1" applyAlignment="1">
      <alignment horizontal="right" vertical="center"/>
    </xf>
    <xf numFmtId="167" fontId="73" fillId="0" borderId="10" xfId="13" applyNumberFormat="1" applyFont="1" applyBorder="1" applyAlignment="1">
      <alignment horizontal="right" vertical="center"/>
    </xf>
    <xf numFmtId="167" fontId="18" fillId="0" borderId="10" xfId="0" applyNumberFormat="1" applyFont="1" applyBorder="1" applyAlignment="1">
      <alignment horizontal="right"/>
    </xf>
    <xf numFmtId="167" fontId="18" fillId="0" borderId="10" xfId="0" applyNumberFormat="1" applyFont="1" applyBorder="1"/>
    <xf numFmtId="171" fontId="18" fillId="0" borderId="10" xfId="0" applyNumberFormat="1" applyFont="1" applyBorder="1"/>
    <xf numFmtId="0" fontId="71" fillId="0" borderId="0" xfId="0" applyFont="1" applyAlignment="1">
      <alignment horizontal="right"/>
    </xf>
    <xf numFmtId="0" fontId="71" fillId="0" borderId="7" xfId="0" applyFont="1" applyBorder="1" applyAlignment="1">
      <alignment horizontal="right"/>
    </xf>
    <xf numFmtId="0" fontId="71" fillId="0" borderId="18" xfId="0" applyFont="1" applyBorder="1" applyAlignment="1">
      <alignment horizontal="right" wrapText="1"/>
    </xf>
    <xf numFmtId="0" fontId="71" fillId="0" borderId="0" xfId="0" applyFont="1" applyAlignment="1">
      <alignment horizontal="right" wrapText="1"/>
    </xf>
    <xf numFmtId="173" fontId="18" fillId="0" borderId="0" xfId="1" applyNumberFormat="1" applyFont="1" applyBorder="1"/>
    <xf numFmtId="9" fontId="34" fillId="0" borderId="0" xfId="6" applyFont="1" applyBorder="1"/>
    <xf numFmtId="9" fontId="34" fillId="0" borderId="7" xfId="6" applyFont="1" applyBorder="1"/>
    <xf numFmtId="173" fontId="18" fillId="0" borderId="7" xfId="1" applyNumberFormat="1" applyFont="1" applyBorder="1"/>
    <xf numFmtId="0" fontId="97" fillId="5" borderId="0" xfId="8" applyFont="1" applyFill="1"/>
    <xf numFmtId="169" fontId="97" fillId="0" borderId="0" xfId="1" applyNumberFormat="1" applyFont="1" applyFill="1" applyBorder="1"/>
    <xf numFmtId="169" fontId="18" fillId="0" borderId="14" xfId="0" applyNumberFormat="1" applyFont="1" applyBorder="1"/>
    <xf numFmtId="169" fontId="18" fillId="0" borderId="8" xfId="0" applyNumberFormat="1" applyFont="1" applyBorder="1" applyAlignment="1">
      <alignment horizontal="center"/>
    </xf>
    <xf numFmtId="173" fontId="18" fillId="0" borderId="9" xfId="0" applyNumberFormat="1" applyFont="1" applyBorder="1"/>
    <xf numFmtId="9" fontId="18" fillId="0" borderId="9" xfId="6" applyFont="1" applyBorder="1"/>
    <xf numFmtId="9" fontId="18" fillId="0" borderId="12" xfId="6" applyFont="1" applyBorder="1"/>
    <xf numFmtId="173" fontId="18" fillId="0" borderId="12" xfId="0" applyNumberFormat="1" applyFont="1" applyBorder="1"/>
    <xf numFmtId="169" fontId="102" fillId="0" borderId="0" xfId="0" applyNumberFormat="1" applyFont="1"/>
    <xf numFmtId="9" fontId="103" fillId="0" borderId="0" xfId="6" applyFont="1" applyFill="1" applyBorder="1" applyAlignment="1">
      <alignment horizontal="right" wrapText="1"/>
    </xf>
    <xf numFmtId="169" fontId="103" fillId="0" borderId="0" xfId="0" applyNumberFormat="1" applyFont="1" applyAlignment="1">
      <alignment horizontal="left"/>
    </xf>
    <xf numFmtId="169" fontId="12" fillId="0" borderId="0" xfId="0" applyNumberFormat="1" applyFont="1"/>
    <xf numFmtId="10" fontId="102" fillId="0" borderId="0" xfId="6" applyNumberFormat="1" applyFont="1" applyFill="1" applyBorder="1" applyAlignment="1"/>
    <xf numFmtId="9" fontId="104" fillId="7" borderId="0" xfId="6" applyFont="1" applyFill="1" applyBorder="1" applyAlignment="1">
      <alignment horizontal="right" wrapText="1"/>
    </xf>
    <xf numFmtId="169" fontId="104" fillId="0" borderId="0" xfId="0" applyNumberFormat="1" applyFont="1" applyAlignment="1">
      <alignment horizontal="left"/>
    </xf>
    <xf numFmtId="169" fontId="105" fillId="0" borderId="0" xfId="5" applyNumberFormat="1" applyFont="1" applyAlignment="1">
      <alignment horizontal="right" wrapText="1"/>
    </xf>
    <xf numFmtId="169" fontId="12" fillId="0" borderId="0" xfId="0" applyNumberFormat="1" applyFont="1" applyAlignment="1">
      <alignment horizontal="left"/>
    </xf>
    <xf numFmtId="169" fontId="12" fillId="7" borderId="0" xfId="0" applyNumberFormat="1" applyFont="1" applyFill="1"/>
    <xf numFmtId="168" fontId="12" fillId="0" borderId="0" xfId="0" applyNumberFormat="1" applyFont="1"/>
    <xf numFmtId="169" fontId="12" fillId="0" borderId="0" xfId="0" applyNumberFormat="1" applyFont="1" applyAlignment="1">
      <alignment horizontal="center"/>
    </xf>
    <xf numFmtId="9" fontId="12" fillId="0" borderId="0" xfId="6" applyFont="1" applyFill="1" applyBorder="1" applyAlignment="1"/>
    <xf numFmtId="169" fontId="101" fillId="0" borderId="0" xfId="0" applyNumberFormat="1" applyFont="1"/>
    <xf numFmtId="169" fontId="101" fillId="0" borderId="0" xfId="0" applyNumberFormat="1" applyFont="1" applyAlignment="1">
      <alignment horizontal="left"/>
    </xf>
    <xf numFmtId="9" fontId="12" fillId="0" borderId="0" xfId="6" applyFont="1" applyFill="1" applyAlignment="1"/>
    <xf numFmtId="165" fontId="12" fillId="0" borderId="0" xfId="0" applyNumberFormat="1" applyFont="1"/>
    <xf numFmtId="9" fontId="102" fillId="0" borderId="0" xfId="6" applyFont="1" applyFill="1" applyBorder="1" applyAlignment="1"/>
    <xf numFmtId="169" fontId="102" fillId="0" borderId="0" xfId="0" applyNumberFormat="1" applyFont="1" applyAlignment="1">
      <alignment horizontal="center"/>
    </xf>
    <xf numFmtId="0" fontId="71" fillId="0" borderId="4" xfId="0" applyFont="1" applyBorder="1" applyAlignment="1">
      <alignment horizontal="right"/>
    </xf>
    <xf numFmtId="0" fontId="71" fillId="0" borderId="4" xfId="0" applyFont="1" applyBorder="1" applyAlignment="1">
      <alignment horizontal="right" wrapText="1"/>
    </xf>
    <xf numFmtId="0" fontId="71" fillId="0" borderId="7" xfId="0" applyFont="1" applyBorder="1" applyAlignment="1">
      <alignment horizontal="right" wrapText="1"/>
    </xf>
    <xf numFmtId="0" fontId="71" fillId="0" borderId="8" xfId="0" applyFont="1" applyBorder="1" applyAlignment="1">
      <alignment horizontal="right"/>
    </xf>
    <xf numFmtId="0" fontId="71" fillId="0" borderId="2" xfId="0" applyFont="1" applyBorder="1" applyAlignment="1">
      <alignment horizontal="right"/>
    </xf>
    <xf numFmtId="0" fontId="72" fillId="0" borderId="8" xfId="0" applyFont="1" applyBorder="1"/>
    <xf numFmtId="0" fontId="12" fillId="0" borderId="0" xfId="0" applyFont="1" applyAlignment="1">
      <alignment wrapText="1"/>
    </xf>
    <xf numFmtId="169" fontId="12" fillId="0" borderId="0" xfId="1" applyNumberFormat="1" applyFont="1" applyFill="1" applyBorder="1" applyAlignment="1"/>
    <xf numFmtId="9" fontId="97" fillId="0" borderId="0" xfId="6" applyFont="1" applyBorder="1"/>
    <xf numFmtId="174" fontId="0" fillId="0" borderId="0" xfId="6" applyNumberFormat="1" applyFont="1" applyBorder="1"/>
    <xf numFmtId="169" fontId="12" fillId="0" borderId="0" xfId="1" applyNumberFormat="1" applyFont="1" applyBorder="1"/>
    <xf numFmtId="169" fontId="12" fillId="0" borderId="0" xfId="1" applyNumberFormat="1" applyFont="1" applyFill="1" applyBorder="1"/>
    <xf numFmtId="9" fontId="12" fillId="0" borderId="0" xfId="6" applyFont="1" applyBorder="1"/>
    <xf numFmtId="169" fontId="12" fillId="0" borderId="0" xfId="6" applyNumberFormat="1" applyFont="1" applyBorder="1"/>
    <xf numFmtId="9" fontId="101" fillId="0" borderId="0" xfId="6" applyFont="1" applyFill="1" applyAlignment="1"/>
    <xf numFmtId="169" fontId="104" fillId="0" borderId="0" xfId="0" applyNumberFormat="1" applyFont="1"/>
    <xf numFmtId="173" fontId="71" fillId="0" borderId="0" xfId="1" applyNumberFormat="1" applyFont="1"/>
    <xf numFmtId="17" fontId="12" fillId="0" borderId="7" xfId="0" applyNumberFormat="1" applyFont="1" applyBorder="1"/>
    <xf numFmtId="0" fontId="12" fillId="0" borderId="7" xfId="0" applyFont="1" applyBorder="1" applyAlignment="1">
      <alignment horizontal="right" wrapText="1"/>
    </xf>
    <xf numFmtId="0" fontId="106" fillId="0" borderId="0" xfId="0" applyFont="1"/>
    <xf numFmtId="0" fontId="4" fillId="0" borderId="0" xfId="17"/>
    <xf numFmtId="0" fontId="76" fillId="0" borderId="0" xfId="17" applyFont="1"/>
    <xf numFmtId="173" fontId="0" fillId="0" borderId="0" xfId="18" applyNumberFormat="1" applyFont="1"/>
    <xf numFmtId="0" fontId="104" fillId="8" borderId="0" xfId="12" applyFont="1" applyFill="1"/>
    <xf numFmtId="0" fontId="107" fillId="8" borderId="0" xfId="12" applyFont="1" applyFill="1"/>
    <xf numFmtId="0" fontId="108" fillId="8" borderId="14" xfId="12" applyFont="1" applyFill="1" applyBorder="1" applyAlignment="1">
      <alignment vertical="center"/>
    </xf>
    <xf numFmtId="0" fontId="108" fillId="8" borderId="11" xfId="12" applyFont="1" applyFill="1" applyBorder="1" applyAlignment="1">
      <alignment vertical="center"/>
    </xf>
    <xf numFmtId="0" fontId="108" fillId="8" borderId="8" xfId="12" applyFont="1" applyFill="1" applyBorder="1" applyAlignment="1">
      <alignment vertical="center"/>
    </xf>
    <xf numFmtId="0" fontId="108" fillId="8" borderId="3" xfId="12" applyFont="1" applyFill="1" applyBorder="1" applyAlignment="1">
      <alignment horizontal="center" vertical="center"/>
    </xf>
    <xf numFmtId="0" fontId="108" fillId="8" borderId="10" xfId="12" applyFont="1" applyFill="1" applyBorder="1" applyAlignment="1">
      <alignment vertical="center"/>
    </xf>
    <xf numFmtId="0" fontId="108" fillId="8" borderId="14" xfId="12" applyFont="1" applyFill="1" applyBorder="1"/>
    <xf numFmtId="3" fontId="110" fillId="8" borderId="11" xfId="12" applyNumberFormat="1" applyFont="1" applyFill="1" applyBorder="1" applyAlignment="1">
      <alignment horizontal="center" vertical="center"/>
    </xf>
    <xf numFmtId="12" fontId="111" fillId="8" borderId="16" xfId="6" applyNumberFormat="1" applyFont="1" applyFill="1" applyBorder="1"/>
    <xf numFmtId="0" fontId="108" fillId="8" borderId="4" xfId="12" applyFont="1" applyFill="1" applyBorder="1"/>
    <xf numFmtId="0" fontId="110" fillId="8" borderId="0" xfId="12" applyFont="1" applyFill="1" applyAlignment="1">
      <alignment horizontal="center" vertical="center"/>
    </xf>
    <xf numFmtId="3" fontId="110" fillId="8" borderId="10" xfId="12" applyNumberFormat="1" applyFont="1" applyFill="1" applyBorder="1" applyAlignment="1">
      <alignment horizontal="center" vertical="center"/>
    </xf>
    <xf numFmtId="170" fontId="111" fillId="8" borderId="0" xfId="6" applyNumberFormat="1" applyFont="1" applyFill="1" applyBorder="1"/>
    <xf numFmtId="12" fontId="111" fillId="8" borderId="7" xfId="6" applyNumberFormat="1" applyFont="1" applyFill="1" applyBorder="1"/>
    <xf numFmtId="3" fontId="110" fillId="8" borderId="0" xfId="12" applyNumberFormat="1" applyFont="1" applyFill="1" applyAlignment="1">
      <alignment horizontal="center" vertical="center"/>
    </xf>
    <xf numFmtId="0" fontId="111" fillId="8" borderId="0" xfId="12" applyFont="1" applyFill="1" applyAlignment="1">
      <alignment horizontal="center"/>
    </xf>
    <xf numFmtId="3" fontId="111" fillId="8" borderId="0" xfId="12" applyNumberFormat="1" applyFont="1" applyFill="1" applyAlignment="1">
      <alignment horizontal="center"/>
    </xf>
    <xf numFmtId="173" fontId="111" fillId="8" borderId="0" xfId="6" applyNumberFormat="1" applyFont="1" applyFill="1" applyBorder="1"/>
    <xf numFmtId="0" fontId="112" fillId="8" borderId="4" xfId="12" applyFont="1" applyFill="1" applyBorder="1"/>
    <xf numFmtId="3" fontId="12" fillId="8" borderId="0" xfId="12" applyNumberFormat="1" applyFont="1" applyFill="1" applyAlignment="1">
      <alignment horizontal="center"/>
    </xf>
    <xf numFmtId="3" fontId="111" fillId="0" borderId="0" xfId="12" applyNumberFormat="1" applyFont="1" applyAlignment="1">
      <alignment horizontal="center"/>
    </xf>
    <xf numFmtId="0" fontId="109" fillId="8" borderId="10" xfId="1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34" fillId="0" borderId="7" xfId="1" applyNumberFormat="1" applyFont="1" applyFill="1" applyBorder="1" applyAlignment="1"/>
    <xf numFmtId="0" fontId="113" fillId="0" borderId="11" xfId="17" applyFont="1" applyBorder="1" applyAlignment="1">
      <alignment horizontal="center"/>
    </xf>
    <xf numFmtId="0" fontId="113" fillId="0" borderId="17" xfId="17" applyFont="1" applyBorder="1" applyAlignment="1">
      <alignment horizontal="center" wrapText="1"/>
    </xf>
    <xf numFmtId="0" fontId="113" fillId="0" borderId="3" xfId="17" applyFont="1" applyBorder="1" applyAlignment="1">
      <alignment horizontal="center"/>
    </xf>
    <xf numFmtId="0" fontId="113" fillId="0" borderId="17" xfId="17" applyFont="1" applyBorder="1" applyAlignment="1">
      <alignment horizontal="center"/>
    </xf>
    <xf numFmtId="0" fontId="113" fillId="0" borderId="10" xfId="17" applyFont="1" applyBorder="1" applyAlignment="1">
      <alignment wrapText="1"/>
    </xf>
    <xf numFmtId="0" fontId="113" fillId="0" borderId="0" xfId="17" applyFont="1"/>
    <xf numFmtId="0" fontId="113" fillId="0" borderId="10" xfId="17" applyFont="1" applyBorder="1"/>
    <xf numFmtId="0" fontId="113" fillId="0" borderId="10" xfId="17" applyFont="1" applyBorder="1" applyAlignment="1">
      <alignment horizontal="right"/>
    </xf>
    <xf numFmtId="9" fontId="113" fillId="0" borderId="0" xfId="6" applyFont="1" applyBorder="1"/>
    <xf numFmtId="9" fontId="113" fillId="0" borderId="10" xfId="6" applyFont="1" applyBorder="1"/>
    <xf numFmtId="0" fontId="113" fillId="0" borderId="17" xfId="17" applyFont="1" applyBorder="1" applyAlignment="1">
      <alignment horizontal="right"/>
    </xf>
    <xf numFmtId="1" fontId="113" fillId="0" borderId="3" xfId="17" applyNumberFormat="1" applyFont="1" applyBorder="1"/>
    <xf numFmtId="1" fontId="113" fillId="0" borderId="17" xfId="17" applyNumberFormat="1" applyFont="1" applyBorder="1"/>
    <xf numFmtId="0" fontId="71" fillId="0" borderId="8" xfId="0" applyFont="1" applyBorder="1" applyAlignment="1">
      <alignment horizontal="right" wrapText="1"/>
    </xf>
    <xf numFmtId="173" fontId="36" fillId="0" borderId="0" xfId="18" applyNumberFormat="1" applyFont="1"/>
    <xf numFmtId="0" fontId="76" fillId="0" borderId="3" xfId="17" applyFont="1" applyBorder="1"/>
    <xf numFmtId="9" fontId="104" fillId="0" borderId="0" xfId="6" applyFont="1"/>
    <xf numFmtId="0" fontId="104" fillId="0" borderId="0" xfId="14" applyFont="1"/>
    <xf numFmtId="0" fontId="108" fillId="0" borderId="0" xfId="14" applyFont="1"/>
    <xf numFmtId="9" fontId="103" fillId="0" borderId="0" xfId="6" applyFont="1"/>
    <xf numFmtId="0" fontId="103" fillId="0" borderId="0" xfId="14" applyFont="1"/>
    <xf numFmtId="1" fontId="108" fillId="0" borderId="0" xfId="14" applyNumberFormat="1" applyFont="1" applyAlignment="1">
      <alignment horizontal="right"/>
    </xf>
    <xf numFmtId="0" fontId="108" fillId="5" borderId="0" xfId="14" applyFont="1" applyFill="1"/>
    <xf numFmtId="12" fontId="108" fillId="5" borderId="0" xfId="14" applyNumberFormat="1" applyFont="1" applyFill="1" applyAlignment="1">
      <alignment horizontal="right"/>
    </xf>
    <xf numFmtId="0" fontId="111" fillId="5" borderId="0" xfId="14" applyFont="1" applyFill="1"/>
    <xf numFmtId="9" fontId="103" fillId="7" borderId="0" xfId="6" applyFont="1" applyFill="1"/>
    <xf numFmtId="0" fontId="103" fillId="0" borderId="0" xfId="0" applyFont="1"/>
    <xf numFmtId="9" fontId="104" fillId="7" borderId="0" xfId="6" applyFont="1" applyFill="1"/>
    <xf numFmtId="0" fontId="104" fillId="0" borderId="0" xfId="0" applyFont="1"/>
    <xf numFmtId="0" fontId="101" fillId="4" borderId="0" xfId="0" applyFont="1" applyFill="1"/>
    <xf numFmtId="169" fontId="101" fillId="4" borderId="0" xfId="0" applyNumberFormat="1" applyFont="1" applyFill="1" applyAlignment="1">
      <alignment horizontal="left"/>
    </xf>
    <xf numFmtId="169" fontId="101" fillId="7" borderId="0" xfId="0" applyNumberFormat="1" applyFont="1" applyFill="1"/>
    <xf numFmtId="0" fontId="101" fillId="0" borderId="0" xfId="0" applyFont="1"/>
    <xf numFmtId="0" fontId="101" fillId="0" borderId="0" xfId="0" applyFont="1" applyAlignment="1">
      <alignment horizontal="left"/>
    </xf>
    <xf numFmtId="168" fontId="116" fillId="0" borderId="0" xfId="0" applyNumberFormat="1" applyFont="1"/>
    <xf numFmtId="169" fontId="116" fillId="0" borderId="0" xfId="0" applyNumberFormat="1" applyFont="1"/>
    <xf numFmtId="169" fontId="117" fillId="0" borderId="0" xfId="0" applyNumberFormat="1" applyFont="1"/>
    <xf numFmtId="168" fontId="102" fillId="0" borderId="0" xfId="0" applyNumberFormat="1" applyFont="1"/>
    <xf numFmtId="168" fontId="75" fillId="0" borderId="0" xfId="0" applyNumberFormat="1" applyFont="1"/>
    <xf numFmtId="168" fontId="118" fillId="0" borderId="0" xfId="0" applyNumberFormat="1" applyFont="1"/>
    <xf numFmtId="169" fontId="118" fillId="0" borderId="0" xfId="0" applyNumberFormat="1" applyFont="1"/>
    <xf numFmtId="168" fontId="83" fillId="7" borderId="0" xfId="0" applyNumberFormat="1" applyFont="1" applyFill="1"/>
    <xf numFmtId="168" fontId="119" fillId="0" borderId="0" xfId="0" applyNumberFormat="1" applyFont="1"/>
    <xf numFmtId="169" fontId="119" fillId="0" borderId="0" xfId="0" applyNumberFormat="1" applyFont="1"/>
    <xf numFmtId="169" fontId="17" fillId="0" borderId="0" xfId="0" applyNumberFormat="1" applyFont="1" applyAlignment="1">
      <alignment horizontal="center"/>
    </xf>
    <xf numFmtId="168" fontId="18" fillId="7" borderId="0" xfId="0" applyNumberFormat="1" applyFont="1" applyFill="1"/>
    <xf numFmtId="168" fontId="103" fillId="0" borderId="0" xfId="0" applyNumberFormat="1" applyFont="1"/>
    <xf numFmtId="165" fontId="104" fillId="7" borderId="0" xfId="0" applyNumberFormat="1" applyFont="1" applyFill="1"/>
    <xf numFmtId="0" fontId="13" fillId="5" borderId="0" xfId="8" applyFont="1" applyFill="1"/>
    <xf numFmtId="0" fontId="120" fillId="5" borderId="9" xfId="8" applyFont="1" applyFill="1" applyBorder="1"/>
    <xf numFmtId="0" fontId="20" fillId="5" borderId="3" xfId="8" applyFont="1" applyFill="1" applyBorder="1"/>
    <xf numFmtId="0" fontId="20" fillId="7" borderId="3" xfId="8" applyFont="1" applyFill="1" applyBorder="1"/>
    <xf numFmtId="0" fontId="11" fillId="5" borderId="0" xfId="8" applyFont="1" applyFill="1"/>
    <xf numFmtId="169" fontId="11" fillId="5" borderId="0" xfId="1" applyNumberFormat="1" applyFont="1" applyFill="1" applyBorder="1"/>
    <xf numFmtId="169" fontId="11" fillId="7" borderId="0" xfId="1" applyNumberFormat="1" applyFont="1" applyFill="1" applyBorder="1"/>
    <xf numFmtId="9" fontId="11" fillId="7" borderId="0" xfId="6" applyFont="1" applyFill="1" applyBorder="1"/>
    <xf numFmtId="169" fontId="11" fillId="7" borderId="0" xfId="1" applyNumberFormat="1" applyFont="1" applyFill="1" applyBorder="1" applyAlignment="1">
      <alignment horizontal="right"/>
    </xf>
    <xf numFmtId="9" fontId="11" fillId="5" borderId="0" xfId="6" applyFont="1" applyFill="1" applyBorder="1"/>
    <xf numFmtId="0" fontId="101" fillId="0" borderId="3" xfId="0" applyFont="1" applyBorder="1"/>
    <xf numFmtId="0" fontId="101" fillId="0" borderId="3" xfId="0" applyFont="1" applyBorder="1" applyAlignment="1">
      <alignment wrapText="1"/>
    </xf>
    <xf numFmtId="0" fontId="18" fillId="0" borderId="0" xfId="0" applyFont="1" applyAlignment="1">
      <alignment horizontal="center" vertical="center"/>
    </xf>
    <xf numFmtId="169" fontId="18" fillId="0" borderId="16" xfId="0" applyNumberFormat="1" applyFont="1" applyBorder="1" applyAlignment="1">
      <alignment horizontal="center" vertical="center" wrapText="1"/>
    </xf>
    <xf numFmtId="169" fontId="17" fillId="0" borderId="0" xfId="1" applyNumberFormat="1" applyFont="1" applyFill="1" applyAlignment="1"/>
    <xf numFmtId="169" fontId="17" fillId="0" borderId="0" xfId="1" applyNumberFormat="1" applyFont="1" applyAlignment="1"/>
    <xf numFmtId="165" fontId="17" fillId="0" borderId="0" xfId="1" applyFont="1" applyFill="1" applyAlignment="1"/>
    <xf numFmtId="1" fontId="17" fillId="0" borderId="0" xfId="0" applyNumberFormat="1" applyFont="1"/>
    <xf numFmtId="0" fontId="33" fillId="0" borderId="0" xfId="0" applyFont="1"/>
    <xf numFmtId="0" fontId="17" fillId="10" borderId="0" xfId="0" applyFont="1" applyFill="1"/>
    <xf numFmtId="0" fontId="17" fillId="6" borderId="0" xfId="0" applyFont="1" applyFill="1"/>
    <xf numFmtId="0" fontId="25" fillId="10" borderId="0" xfId="0" applyFont="1" applyFill="1"/>
    <xf numFmtId="0" fontId="25" fillId="6" borderId="0" xfId="0" applyFont="1" applyFill="1"/>
    <xf numFmtId="0" fontId="18" fillId="0" borderId="0" xfId="0" applyFont="1" applyAlignment="1">
      <alignment horizontal="left"/>
    </xf>
    <xf numFmtId="0" fontId="18" fillId="0" borderId="16" xfId="0" applyFont="1" applyBorder="1"/>
    <xf numFmtId="0" fontId="12" fillId="2" borderId="18" xfId="0" applyFont="1" applyFill="1" applyBorder="1"/>
    <xf numFmtId="0" fontId="12" fillId="2" borderId="14" xfId="0" applyFont="1" applyFill="1" applyBorder="1"/>
    <xf numFmtId="0" fontId="18" fillId="0" borderId="18" xfId="0" applyFont="1" applyBorder="1"/>
    <xf numFmtId="0" fontId="12" fillId="2" borderId="16" xfId="0" applyFont="1" applyFill="1" applyBorder="1"/>
    <xf numFmtId="0" fontId="18" fillId="2" borderId="16" xfId="0" applyFont="1" applyFill="1" applyBorder="1"/>
    <xf numFmtId="169" fontId="18" fillId="0" borderId="18" xfId="1" applyNumberFormat="1" applyFont="1" applyFill="1" applyBorder="1" applyAlignment="1"/>
    <xf numFmtId="0" fontId="18" fillId="0" borderId="3" xfId="0" applyFont="1" applyBorder="1" applyAlignment="1">
      <alignment horizontal="left"/>
    </xf>
    <xf numFmtId="0" fontId="18" fillId="0" borderId="20" xfId="0" applyFont="1" applyBorder="1"/>
    <xf numFmtId="168" fontId="18" fillId="0" borderId="4" xfId="0" applyNumberFormat="1" applyFont="1" applyBorder="1" applyAlignment="1">
      <alignment horizontal="right" vertical="center"/>
    </xf>
    <xf numFmtId="168" fontId="10" fillId="0" borderId="4" xfId="1" applyNumberFormat="1" applyFont="1" applyFill="1" applyBorder="1" applyAlignment="1"/>
    <xf numFmtId="168" fontId="18" fillId="0" borderId="21" xfId="1" applyNumberFormat="1" applyFont="1" applyFill="1" applyBorder="1" applyAlignment="1"/>
    <xf numFmtId="0" fontId="18" fillId="2" borderId="18" xfId="0" applyFont="1" applyFill="1" applyBorder="1"/>
    <xf numFmtId="169" fontId="18" fillId="0" borderId="8" xfId="0" applyNumberFormat="1" applyFont="1" applyBorder="1" applyAlignment="1">
      <alignment horizontal="right" vertical="center"/>
    </xf>
    <xf numFmtId="169" fontId="18" fillId="0" borderId="12" xfId="0" applyNumberFormat="1" applyFont="1" applyBorder="1" applyAlignment="1">
      <alignment horizontal="center" vertical="center"/>
    </xf>
    <xf numFmtId="169" fontId="18" fillId="0" borderId="18" xfId="0" applyNumberFormat="1" applyFont="1" applyBorder="1" applyAlignment="1">
      <alignment horizontal="left" vertical="center"/>
    </xf>
    <xf numFmtId="0" fontId="52" fillId="2" borderId="0" xfId="0" applyFont="1" applyFill="1"/>
    <xf numFmtId="169" fontId="18" fillId="0" borderId="2" xfId="0" applyNumberFormat="1" applyFont="1" applyBorder="1" applyAlignment="1">
      <alignment horizontal="right" vertical="center"/>
    </xf>
    <xf numFmtId="0" fontId="71" fillId="0" borderId="2" xfId="14" applyFont="1" applyBorder="1"/>
    <xf numFmtId="0" fontId="71" fillId="0" borderId="14" xfId="14" applyFont="1" applyBorder="1" applyAlignment="1">
      <alignment horizontal="center"/>
    </xf>
    <xf numFmtId="169" fontId="71" fillId="0" borderId="18" xfId="1" applyNumberFormat="1" applyFont="1" applyFill="1" applyBorder="1"/>
    <xf numFmtId="169" fontId="71" fillId="0" borderId="18" xfId="1" applyNumberFormat="1" applyFont="1" applyFill="1" applyBorder="1" applyAlignment="1">
      <alignment horizontal="right"/>
    </xf>
    <xf numFmtId="169" fontId="18" fillId="0" borderId="16" xfId="0" applyNumberFormat="1" applyFont="1" applyBorder="1" applyAlignment="1">
      <alignment horizontal="left"/>
    </xf>
    <xf numFmtId="167" fontId="18" fillId="0" borderId="7" xfId="0" applyNumberFormat="1" applyFont="1" applyBorder="1"/>
    <xf numFmtId="0" fontId="31" fillId="0" borderId="8" xfId="0" applyFont="1" applyBorder="1" applyAlignment="1">
      <alignment horizontal="center"/>
    </xf>
    <xf numFmtId="0" fontId="73" fillId="0" borderId="0" xfId="12" applyFont="1" applyAlignment="1">
      <alignment horizontal="center" vertical="center"/>
    </xf>
    <xf numFmtId="0" fontId="74" fillId="0" borderId="2" xfId="12" applyFont="1" applyBorder="1" applyAlignment="1">
      <alignment horizontal="right" vertical="center"/>
    </xf>
    <xf numFmtId="170" fontId="73" fillId="0" borderId="7" xfId="13" applyNumberFormat="1" applyFont="1" applyBorder="1" applyAlignment="1">
      <alignment horizontal="right" vertical="center"/>
    </xf>
    <xf numFmtId="167" fontId="18" fillId="0" borderId="7" xfId="0" applyNumberFormat="1" applyFont="1" applyBorder="1" applyAlignment="1">
      <alignment horizontal="right"/>
    </xf>
    <xf numFmtId="171" fontId="18" fillId="0" borderId="7" xfId="0" applyNumberFormat="1" applyFont="1" applyBorder="1"/>
    <xf numFmtId="173" fontId="0" fillId="0" borderId="0" xfId="0" applyNumberFormat="1"/>
    <xf numFmtId="0" fontId="20" fillId="5" borderId="18" xfId="8" applyFont="1" applyFill="1" applyBorder="1"/>
    <xf numFmtId="0" fontId="13" fillId="5" borderId="18" xfId="8" applyFont="1" applyFill="1" applyBorder="1"/>
    <xf numFmtId="0" fontId="13" fillId="5" borderId="16" xfId="8" applyFont="1" applyFill="1" applyBorder="1"/>
    <xf numFmtId="0" fontId="20" fillId="7" borderId="2" xfId="8" applyFont="1" applyFill="1" applyBorder="1"/>
    <xf numFmtId="0" fontId="11" fillId="5" borderId="4" xfId="8" applyFont="1" applyFill="1" applyBorder="1"/>
    <xf numFmtId="169" fontId="11" fillId="7" borderId="7" xfId="1" applyNumberFormat="1" applyFont="1" applyFill="1" applyBorder="1"/>
    <xf numFmtId="9" fontId="11" fillId="7" borderId="7" xfId="6" applyFont="1" applyFill="1" applyBorder="1"/>
    <xf numFmtId="9" fontId="11" fillId="5" borderId="7" xfId="6" applyFont="1" applyFill="1" applyBorder="1"/>
    <xf numFmtId="0" fontId="13" fillId="5" borderId="4" xfId="8" applyFont="1" applyFill="1" applyBorder="1"/>
    <xf numFmtId="169" fontId="11" fillId="5" borderId="4" xfId="1" applyNumberFormat="1" applyFont="1" applyFill="1" applyBorder="1"/>
    <xf numFmtId="0" fontId="20" fillId="5" borderId="14" xfId="8" applyFont="1" applyFill="1" applyBorder="1"/>
    <xf numFmtId="0" fontId="20" fillId="5" borderId="8" xfId="8" applyFont="1" applyFill="1" applyBorder="1" applyAlignment="1">
      <alignment horizontal="center"/>
    </xf>
    <xf numFmtId="169" fontId="11" fillId="5" borderId="4" xfId="1" applyNumberFormat="1" applyFont="1" applyFill="1" applyBorder="1" applyAlignment="1">
      <alignment horizontal="right" vertical="top"/>
    </xf>
    <xf numFmtId="169" fontId="13" fillId="5" borderId="4" xfId="8" applyNumberFormat="1" applyFont="1" applyFill="1" applyBorder="1"/>
    <xf numFmtId="169" fontId="13" fillId="5" borderId="0" xfId="8" applyNumberFormat="1" applyFont="1" applyFill="1"/>
    <xf numFmtId="169" fontId="18" fillId="0" borderId="0" xfId="0" applyNumberFormat="1" applyFont="1" applyAlignment="1">
      <alignment horizontal="left" vertical="center"/>
    </xf>
    <xf numFmtId="169" fontId="18" fillId="0" borderId="7" xfId="0" applyNumberFormat="1" applyFont="1" applyBorder="1" applyAlignment="1">
      <alignment horizontal="right"/>
    </xf>
    <xf numFmtId="169" fontId="18" fillId="0" borderId="2" xfId="0" applyNumberFormat="1" applyFont="1" applyBorder="1" applyAlignment="1">
      <alignment horizontal="right" vertical="top"/>
    </xf>
    <xf numFmtId="169" fontId="18" fillId="0" borderId="8" xfId="0" applyNumberFormat="1" applyFont="1" applyBorder="1" applyAlignment="1">
      <alignment horizontal="center" vertical="top"/>
    </xf>
    <xf numFmtId="169" fontId="18" fillId="0" borderId="4" xfId="0" applyNumberFormat="1" applyFont="1" applyBorder="1" applyAlignment="1">
      <alignment horizontal="right"/>
    </xf>
    <xf numFmtId="0" fontId="91" fillId="0" borderId="0" xfId="0" applyFont="1"/>
    <xf numFmtId="3" fontId="18" fillId="8" borderId="4" xfId="0" applyNumberFormat="1" applyFont="1" applyFill="1" applyBorder="1" applyAlignment="1">
      <alignment horizontal="right"/>
    </xf>
    <xf numFmtId="1" fontId="18" fillId="0" borderId="4" xfId="0" applyNumberFormat="1" applyFont="1" applyBorder="1" applyAlignment="1">
      <alignment horizontal="right"/>
    </xf>
    <xf numFmtId="3" fontId="24" fillId="0" borderId="7" xfId="0" applyNumberFormat="1" applyFont="1" applyBorder="1" applyAlignment="1">
      <alignment horizontal="right"/>
    </xf>
    <xf numFmtId="169" fontId="71" fillId="0" borderId="0" xfId="1" applyNumberFormat="1" applyFont="1" applyBorder="1"/>
    <xf numFmtId="1" fontId="0" fillId="0" borderId="0" xfId="0" applyNumberFormat="1"/>
    <xf numFmtId="0" fontId="110" fillId="8" borderId="18" xfId="12" applyFont="1" applyFill="1" applyBorder="1" applyAlignment="1">
      <alignment horizontal="center" vertical="center"/>
    </xf>
    <xf numFmtId="170" fontId="111" fillId="8" borderId="18" xfId="6" applyNumberFormat="1" applyFont="1" applyFill="1" applyBorder="1"/>
    <xf numFmtId="3" fontId="110" fillId="0" borderId="10" xfId="12" applyNumberFormat="1" applyFont="1" applyBorder="1" applyAlignment="1">
      <alignment horizontal="center" vertical="center"/>
    </xf>
    <xf numFmtId="0" fontId="108" fillId="8" borderId="17" xfId="12" applyFont="1" applyFill="1" applyBorder="1" applyAlignment="1">
      <alignment vertical="center"/>
    </xf>
    <xf numFmtId="0" fontId="109" fillId="8" borderId="11" xfId="12" applyFont="1" applyFill="1" applyBorder="1" applyAlignment="1">
      <alignment horizontal="center" vertical="center"/>
    </xf>
    <xf numFmtId="0" fontId="109" fillId="0" borderId="10" xfId="12" applyFont="1" applyBorder="1" applyAlignment="1">
      <alignment horizontal="center" vertical="center"/>
    </xf>
    <xf numFmtId="168" fontId="102" fillId="7" borderId="0" xfId="0" applyNumberFormat="1" applyFont="1" applyFill="1"/>
    <xf numFmtId="9" fontId="113" fillId="0" borderId="7" xfId="6" applyFont="1" applyBorder="1"/>
    <xf numFmtId="0" fontId="19" fillId="0" borderId="3" xfId="0" applyFont="1" applyBorder="1"/>
    <xf numFmtId="171" fontId="101" fillId="4" borderId="0" xfId="0" applyNumberFormat="1" applyFont="1" applyFill="1" applyAlignment="1">
      <alignment horizontal="right"/>
    </xf>
    <xf numFmtId="176" fontId="18" fillId="0" borderId="0" xfId="1" applyNumberFormat="1" applyFont="1" applyFill="1" applyBorder="1"/>
    <xf numFmtId="176" fontId="18" fillId="0" borderId="0" xfId="0" applyNumberFormat="1" applyFont="1"/>
    <xf numFmtId="164" fontId="18" fillId="0" borderId="0" xfId="0" applyNumberFormat="1" applyFont="1" applyAlignment="1">
      <alignment horizontal="right"/>
    </xf>
    <xf numFmtId="164" fontId="89" fillId="0" borderId="0" xfId="0" applyNumberFormat="1" applyFont="1" applyAlignment="1">
      <alignment horizontal="right"/>
    </xf>
    <xf numFmtId="0" fontId="11" fillId="5" borderId="4" xfId="1" applyNumberFormat="1" applyFont="1" applyFill="1" applyBorder="1"/>
    <xf numFmtId="0" fontId="10" fillId="0" borderId="4" xfId="0" applyFont="1" applyBorder="1"/>
    <xf numFmtId="164" fontId="111" fillId="8" borderId="0" xfId="12" applyNumberFormat="1" applyFont="1" applyFill="1" applyAlignment="1">
      <alignment horizontal="center"/>
    </xf>
    <xf numFmtId="169" fontId="111" fillId="8" borderId="0" xfId="6" applyNumberFormat="1" applyFont="1" applyFill="1" applyBorder="1"/>
    <xf numFmtId="168" fontId="18" fillId="0" borderId="3" xfId="0" applyNumberFormat="1" applyFont="1" applyBorder="1"/>
    <xf numFmtId="0" fontId="18" fillId="0" borderId="0" xfId="0" applyFont="1" applyAlignment="1">
      <alignment horizontal="right"/>
    </xf>
    <xf numFmtId="0" fontId="18" fillId="0" borderId="18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0" fontId="18" fillId="0" borderId="7" xfId="0" applyFont="1" applyBorder="1" applyAlignment="1">
      <alignment horizontal="center"/>
    </xf>
    <xf numFmtId="169" fontId="17" fillId="0" borderId="7" xfId="1" applyNumberFormat="1" applyFont="1" applyFill="1" applyBorder="1"/>
    <xf numFmtId="0" fontId="19" fillId="0" borderId="7" xfId="0" applyFont="1" applyBorder="1"/>
    <xf numFmtId="3" fontId="18" fillId="0" borderId="3" xfId="0" applyNumberFormat="1" applyFont="1" applyBorder="1"/>
    <xf numFmtId="164" fontId="18" fillId="8" borderId="4" xfId="0" applyNumberFormat="1" applyFont="1" applyFill="1" applyBorder="1" applyAlignment="1">
      <alignment horizontal="right"/>
    </xf>
    <xf numFmtId="169" fontId="71" fillId="0" borderId="4" xfId="1" applyNumberFormat="1" applyFont="1" applyFill="1" applyBorder="1"/>
    <xf numFmtId="169" fontId="71" fillId="0" borderId="7" xfId="1" applyNumberFormat="1" applyFont="1" applyFill="1" applyBorder="1"/>
    <xf numFmtId="0" fontId="71" fillId="0" borderId="3" xfId="14" applyFont="1" applyBorder="1"/>
    <xf numFmtId="0" fontId="71" fillId="0" borderId="18" xfId="14" applyFont="1" applyBorder="1"/>
    <xf numFmtId="0" fontId="71" fillId="0" borderId="3" xfId="14" applyFont="1" applyBorder="1" applyAlignment="1">
      <alignment horizontal="left"/>
    </xf>
    <xf numFmtId="0" fontId="71" fillId="0" borderId="0" xfId="14" applyFont="1" applyAlignment="1">
      <alignment horizontal="left"/>
    </xf>
    <xf numFmtId="0" fontId="71" fillId="0" borderId="16" xfId="0" applyFont="1" applyBorder="1"/>
    <xf numFmtId="0" fontId="71" fillId="0" borderId="2" xfId="0" applyFont="1" applyBorder="1" applyAlignment="1">
      <alignment horizontal="left" wrapText="1"/>
    </xf>
    <xf numFmtId="169" fontId="71" fillId="0" borderId="4" xfId="0" applyNumberFormat="1" applyFont="1" applyBorder="1" applyAlignment="1">
      <alignment horizontal="center" wrapText="1"/>
    </xf>
    <xf numFmtId="0" fontId="71" fillId="0" borderId="7" xfId="0" applyFont="1" applyBorder="1" applyAlignment="1">
      <alignment horizontal="left" wrapText="1"/>
    </xf>
    <xf numFmtId="169" fontId="71" fillId="0" borderId="7" xfId="1" applyNumberFormat="1" applyFont="1" applyFill="1" applyBorder="1" applyAlignment="1">
      <alignment horizontal="right"/>
    </xf>
    <xf numFmtId="169" fontId="71" fillId="0" borderId="14" xfId="1" applyNumberFormat="1" applyFont="1" applyFill="1" applyBorder="1"/>
    <xf numFmtId="169" fontId="71" fillId="0" borderId="16" xfId="1" applyNumberFormat="1" applyFont="1" applyFill="1" applyBorder="1" applyAlignment="1">
      <alignment horizontal="right"/>
    </xf>
    <xf numFmtId="169" fontId="71" fillId="0" borderId="7" xfId="1" applyNumberFormat="1" applyFont="1" applyFill="1" applyBorder="1" applyAlignment="1"/>
    <xf numFmtId="169" fontId="71" fillId="0" borderId="8" xfId="1" applyNumberFormat="1" applyFont="1" applyFill="1" applyBorder="1"/>
    <xf numFmtId="167" fontId="18" fillId="0" borderId="8" xfId="0" applyNumberFormat="1" applyFont="1" applyBorder="1"/>
    <xf numFmtId="0" fontId="97" fillId="0" borderId="14" xfId="8" applyFont="1" applyBorder="1"/>
    <xf numFmtId="0" fontId="98" fillId="0" borderId="18" xfId="8" applyFont="1" applyBorder="1" applyAlignment="1">
      <alignment horizontal="center"/>
    </xf>
    <xf numFmtId="0" fontId="98" fillId="0" borderId="16" xfId="8" applyFont="1" applyBorder="1" applyAlignment="1">
      <alignment horizontal="center"/>
    </xf>
    <xf numFmtId="0" fontId="98" fillId="0" borderId="4" xfId="8" applyFont="1" applyBorder="1"/>
    <xf numFmtId="0" fontId="97" fillId="0" borderId="0" xfId="8" applyFont="1"/>
    <xf numFmtId="0" fontId="97" fillId="0" borderId="7" xfId="8" applyFont="1" applyBorder="1"/>
    <xf numFmtId="0" fontId="97" fillId="0" borderId="4" xfId="8" applyFont="1" applyBorder="1"/>
    <xf numFmtId="0" fontId="99" fillId="0" borderId="0" xfId="8" applyFont="1"/>
    <xf numFmtId="0" fontId="97" fillId="0" borderId="8" xfId="8" applyFont="1" applyBorder="1"/>
    <xf numFmtId="0" fontId="97" fillId="0" borderId="3" xfId="8" applyFont="1" applyBorder="1"/>
    <xf numFmtId="0" fontId="97" fillId="0" borderId="2" xfId="8" applyFont="1" applyBorder="1"/>
    <xf numFmtId="0" fontId="98" fillId="0" borderId="14" xfId="8" applyFont="1" applyBorder="1"/>
    <xf numFmtId="17" fontId="98" fillId="0" borderId="18" xfId="8" applyNumberFormat="1" applyFont="1" applyBorder="1"/>
    <xf numFmtId="0" fontId="97" fillId="0" borderId="18" xfId="8" applyFont="1" applyBorder="1"/>
    <xf numFmtId="0" fontId="97" fillId="0" borderId="16" xfId="8" applyFont="1" applyBorder="1"/>
    <xf numFmtId="169" fontId="97" fillId="0" borderId="7" xfId="8" applyNumberFormat="1" applyFont="1" applyBorder="1"/>
    <xf numFmtId="169" fontId="98" fillId="0" borderId="3" xfId="8" applyNumberFormat="1" applyFont="1" applyBorder="1"/>
    <xf numFmtId="169" fontId="97" fillId="0" borderId="2" xfId="8" applyNumberFormat="1" applyFont="1" applyBorder="1"/>
    <xf numFmtId="0" fontId="74" fillId="0" borderId="18" xfId="12" applyFont="1" applyBorder="1" applyAlignment="1">
      <alignment horizontal="center" vertical="center"/>
    </xf>
    <xf numFmtId="169" fontId="18" fillId="0" borderId="18" xfId="0" applyNumberFormat="1" applyFont="1" applyBorder="1"/>
    <xf numFmtId="169" fontId="18" fillId="0" borderId="3" xfId="0" applyNumberFormat="1" applyFont="1" applyBorder="1"/>
    <xf numFmtId="169" fontId="18" fillId="0" borderId="3" xfId="1" applyNumberFormat="1" applyFont="1" applyFill="1" applyBorder="1"/>
    <xf numFmtId="3" fontId="18" fillId="0" borderId="0" xfId="0" applyNumberFormat="1" applyFont="1"/>
    <xf numFmtId="3" fontId="18" fillId="0" borderId="4" xfId="0" applyNumberFormat="1" applyFont="1" applyBorder="1"/>
    <xf numFmtId="0" fontId="11" fillId="2" borderId="18" xfId="0" applyFont="1" applyFill="1" applyBorder="1"/>
    <xf numFmtId="9" fontId="13" fillId="5" borderId="0" xfId="6" applyFont="1" applyFill="1" applyBorder="1"/>
    <xf numFmtId="9" fontId="13" fillId="5" borderId="7" xfId="6" applyFont="1" applyFill="1" applyBorder="1"/>
    <xf numFmtId="0" fontId="108" fillId="8" borderId="8" xfId="12" applyFont="1" applyFill="1" applyBorder="1"/>
    <xf numFmtId="164" fontId="111" fillId="8" borderId="3" xfId="12" applyNumberFormat="1" applyFont="1" applyFill="1" applyBorder="1" applyAlignment="1">
      <alignment horizontal="center"/>
    </xf>
    <xf numFmtId="3" fontId="111" fillId="8" borderId="3" xfId="12" applyNumberFormat="1" applyFont="1" applyFill="1" applyBorder="1" applyAlignment="1">
      <alignment horizontal="center"/>
    </xf>
    <xf numFmtId="169" fontId="111" fillId="8" borderId="3" xfId="6" applyNumberFormat="1" applyFont="1" applyFill="1" applyBorder="1"/>
    <xf numFmtId="12" fontId="111" fillId="8" borderId="2" xfId="6" applyNumberFormat="1" applyFont="1" applyFill="1" applyBorder="1"/>
    <xf numFmtId="0" fontId="109" fillId="8" borderId="17" xfId="12" applyFont="1" applyFill="1" applyBorder="1" applyAlignment="1">
      <alignment horizontal="center" vertical="center"/>
    </xf>
    <xf numFmtId="3" fontId="110" fillId="8" borderId="17" xfId="12" applyNumberFormat="1" applyFont="1" applyFill="1" applyBorder="1" applyAlignment="1">
      <alignment horizontal="center" vertical="center"/>
    </xf>
    <xf numFmtId="169" fontId="111" fillId="8" borderId="14" xfId="1" applyNumberFormat="1" applyFont="1" applyFill="1" applyBorder="1"/>
    <xf numFmtId="169" fontId="111" fillId="8" borderId="4" xfId="1" applyNumberFormat="1" applyFont="1" applyFill="1" applyBorder="1"/>
    <xf numFmtId="169" fontId="111" fillId="8" borderId="8" xfId="1" applyNumberFormat="1" applyFont="1" applyFill="1" applyBorder="1"/>
    <xf numFmtId="167" fontId="18" fillId="0" borderId="2" xfId="0" applyNumberFormat="1" applyFont="1" applyBorder="1"/>
    <xf numFmtId="0" fontId="71" fillId="0" borderId="4" xfId="0" applyFont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170" fontId="18" fillId="0" borderId="2" xfId="1" applyNumberFormat="1" applyFont="1" applyFill="1" applyBorder="1" applyAlignment="1"/>
    <xf numFmtId="169" fontId="18" fillId="0" borderId="0" xfId="0" applyNumberFormat="1" applyFont="1" applyAlignment="1">
      <alignment horizontal="center" vertical="center"/>
    </xf>
    <xf numFmtId="169" fontId="18" fillId="0" borderId="7" xfId="0" applyNumberFormat="1" applyFont="1" applyBorder="1" applyAlignment="1">
      <alignment vertical="center"/>
    </xf>
    <xf numFmtId="169" fontId="18" fillId="0" borderId="18" xfId="0" applyNumberFormat="1" applyFont="1" applyBorder="1" applyAlignment="1">
      <alignment horizontal="center" vertical="center"/>
    </xf>
    <xf numFmtId="169" fontId="18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9" fontId="18" fillId="0" borderId="18" xfId="0" applyNumberFormat="1" applyFont="1" applyBorder="1" applyAlignment="1">
      <alignment horizontal="center"/>
    </xf>
    <xf numFmtId="169" fontId="18" fillId="0" borderId="3" xfId="0" applyNumberFormat="1" applyFont="1" applyBorder="1" applyAlignment="1">
      <alignment horizontal="center"/>
    </xf>
    <xf numFmtId="168" fontId="18" fillId="0" borderId="2" xfId="1" applyNumberFormat="1" applyFont="1" applyFill="1" applyBorder="1" applyAlignment="1"/>
    <xf numFmtId="0" fontId="71" fillId="0" borderId="18" xfId="14" applyFont="1" applyBorder="1" applyAlignment="1">
      <alignment horizontal="left"/>
    </xf>
    <xf numFmtId="169" fontId="71" fillId="0" borderId="2" xfId="1" applyNumberFormat="1" applyFont="1" applyFill="1" applyBorder="1"/>
    <xf numFmtId="0" fontId="13" fillId="5" borderId="7" xfId="8" applyFont="1" applyFill="1" applyBorder="1"/>
    <xf numFmtId="0" fontId="10" fillId="5" borderId="4" xfId="8" applyFill="1" applyBorder="1"/>
    <xf numFmtId="49" fontId="15" fillId="0" borderId="0" xfId="0" applyNumberFormat="1" applyFont="1"/>
    <xf numFmtId="49" fontId="11" fillId="0" borderId="0" xfId="1" applyNumberFormat="1" applyFont="1" applyFill="1" applyBorder="1" applyAlignment="1">
      <alignment horizontal="right"/>
    </xf>
    <xf numFmtId="49" fontId="11" fillId="0" borderId="0" xfId="0" applyNumberFormat="1" applyFont="1" applyAlignment="1">
      <alignment horizontal="right"/>
    </xf>
    <xf numFmtId="0" fontId="18" fillId="0" borderId="18" xfId="0" applyFont="1" applyBorder="1" applyAlignment="1">
      <alignment horizontal="center"/>
    </xf>
    <xf numFmtId="3" fontId="18" fillId="0" borderId="14" xfId="0" applyNumberFormat="1" applyFont="1" applyBorder="1" applyAlignment="1">
      <alignment horizontal="right"/>
    </xf>
    <xf numFmtId="169" fontId="18" fillId="0" borderId="18" xfId="1" applyNumberFormat="1" applyFont="1" applyFill="1" applyBorder="1"/>
    <xf numFmtId="49" fontId="24" fillId="0" borderId="0" xfId="0" applyNumberFormat="1" applyFont="1"/>
    <xf numFmtId="167" fontId="121" fillId="0" borderId="0" xfId="0" applyNumberFormat="1" applyFont="1"/>
    <xf numFmtId="49" fontId="24" fillId="0" borderId="0" xfId="0" applyNumberFormat="1" applyFont="1" applyAlignment="1">
      <alignment horizontal="right"/>
    </xf>
    <xf numFmtId="0" fontId="18" fillId="8" borderId="0" xfId="0" applyFont="1" applyFill="1" applyAlignment="1">
      <alignment horizontal="center"/>
    </xf>
    <xf numFmtId="169" fontId="18" fillId="0" borderId="14" xfId="1" applyNumberFormat="1" applyFont="1" applyFill="1" applyBorder="1"/>
    <xf numFmtId="169" fontId="18" fillId="0" borderId="7" xfId="1" applyNumberFormat="1" applyFont="1" applyFill="1" applyBorder="1"/>
    <xf numFmtId="169" fontId="24" fillId="0" borderId="7" xfId="1" applyNumberFormat="1" applyFont="1" applyFill="1" applyBorder="1"/>
    <xf numFmtId="0" fontId="18" fillId="0" borderId="4" xfId="0" applyFont="1" applyBorder="1" applyAlignment="1">
      <alignment horizontal="right"/>
    </xf>
    <xf numFmtId="169" fontId="18" fillId="0" borderId="16" xfId="0" applyNumberFormat="1" applyFont="1" applyBorder="1" applyAlignment="1">
      <alignment horizontal="center" vertical="center"/>
    </xf>
    <xf numFmtId="169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169" fontId="12" fillId="0" borderId="0" xfId="0" applyNumberFormat="1" applyFont="1" applyAlignment="1">
      <alignment horizontal="right" wrapText="1"/>
    </xf>
    <xf numFmtId="0" fontId="13" fillId="0" borderId="4" xfId="0" applyFont="1" applyBorder="1"/>
    <xf numFmtId="0" fontId="0" fillId="0" borderId="24" xfId="0" applyBorder="1"/>
    <xf numFmtId="3" fontId="13" fillId="0" borderId="4" xfId="0" applyNumberFormat="1" applyFont="1" applyBorder="1"/>
    <xf numFmtId="169" fontId="18" fillId="0" borderId="0" xfId="1" applyNumberFormat="1" applyFont="1" applyFill="1" applyBorder="1" applyAlignment="1">
      <alignment horizontal="right" indent="1"/>
    </xf>
    <xf numFmtId="2" fontId="18" fillId="0" borderId="0" xfId="1" applyNumberFormat="1" applyFont="1" applyFill="1" applyBorder="1"/>
    <xf numFmtId="169" fontId="18" fillId="0" borderId="0" xfId="1" applyNumberFormat="1" applyFont="1" applyFill="1" applyBorder="1" applyAlignment="1">
      <alignment horizontal="left" indent="4"/>
    </xf>
    <xf numFmtId="0" fontId="0" fillId="8" borderId="16" xfId="0" applyFill="1" applyBorder="1"/>
    <xf numFmtId="0" fontId="71" fillId="8" borderId="14" xfId="0" applyFont="1" applyFill="1" applyBorder="1" applyAlignment="1">
      <alignment horizontal="right"/>
    </xf>
    <xf numFmtId="0" fontId="71" fillId="8" borderId="16" xfId="0" applyFont="1" applyFill="1" applyBorder="1" applyAlignment="1">
      <alignment horizontal="right"/>
    </xf>
    <xf numFmtId="0" fontId="0" fillId="8" borderId="0" xfId="0" applyFill="1"/>
    <xf numFmtId="0" fontId="71" fillId="8" borderId="4" xfId="0" applyFont="1" applyFill="1" applyBorder="1" applyAlignment="1">
      <alignment horizontal="right"/>
    </xf>
    <xf numFmtId="0" fontId="71" fillId="8" borderId="7" xfId="0" applyFont="1" applyFill="1" applyBorder="1" applyAlignment="1">
      <alignment horizontal="right"/>
    </xf>
    <xf numFmtId="0" fontId="0" fillId="8" borderId="3" xfId="0" applyFill="1" applyBorder="1"/>
    <xf numFmtId="0" fontId="72" fillId="8" borderId="2" xfId="0" applyFont="1" applyFill="1" applyBorder="1"/>
    <xf numFmtId="0" fontId="71" fillId="8" borderId="18" xfId="0" applyFont="1" applyFill="1" applyBorder="1" applyAlignment="1">
      <alignment horizontal="right" wrapText="1"/>
    </xf>
    <xf numFmtId="0" fontId="71" fillId="8" borderId="18" xfId="0" applyFont="1" applyFill="1" applyBorder="1" applyAlignment="1">
      <alignment horizontal="right"/>
    </xf>
    <xf numFmtId="0" fontId="71" fillId="8" borderId="0" xfId="0" applyFont="1" applyFill="1" applyAlignment="1">
      <alignment horizontal="right" wrapText="1"/>
    </xf>
    <xf numFmtId="0" fontId="71" fillId="8" borderId="0" xfId="0" applyFont="1" applyFill="1" applyAlignment="1">
      <alignment horizontal="right"/>
    </xf>
    <xf numFmtId="9" fontId="34" fillId="8" borderId="0" xfId="6" applyFont="1" applyFill="1" applyBorder="1"/>
    <xf numFmtId="9" fontId="34" fillId="8" borderId="7" xfId="6" applyFont="1" applyFill="1" applyBorder="1"/>
    <xf numFmtId="173" fontId="18" fillId="8" borderId="7" xfId="1" applyNumberFormat="1" applyFont="1" applyFill="1" applyBorder="1"/>
    <xf numFmtId="173" fontId="18" fillId="8" borderId="12" xfId="0" applyNumberFormat="1" applyFont="1" applyFill="1" applyBorder="1"/>
    <xf numFmtId="0" fontId="94" fillId="8" borderId="0" xfId="0" applyFont="1" applyFill="1"/>
    <xf numFmtId="0" fontId="93" fillId="8" borderId="0" xfId="0" applyFont="1" applyFill="1" applyAlignment="1">
      <alignment horizontal="left" vertical="center"/>
    </xf>
    <xf numFmtId="169" fontId="20" fillId="8" borderId="0" xfId="0" applyNumberFormat="1" applyFont="1" applyFill="1" applyAlignment="1">
      <alignment horizontal="left"/>
    </xf>
    <xf numFmtId="173" fontId="0" fillId="8" borderId="0" xfId="0" applyNumberFormat="1" applyFill="1"/>
    <xf numFmtId="0" fontId="95" fillId="8" borderId="0" xfId="0" applyFont="1" applyFill="1" applyAlignment="1">
      <alignment horizontal="right"/>
    </xf>
    <xf numFmtId="0" fontId="95" fillId="8" borderId="7" xfId="0" applyFont="1" applyFill="1" applyBorder="1" applyAlignment="1">
      <alignment horizontal="right"/>
    </xf>
    <xf numFmtId="173" fontId="18" fillId="8" borderId="3" xfId="0" applyNumberFormat="1" applyFont="1" applyFill="1" applyBorder="1"/>
    <xf numFmtId="9" fontId="18" fillId="8" borderId="3" xfId="6" applyFont="1" applyFill="1" applyBorder="1"/>
    <xf numFmtId="9" fontId="18" fillId="8" borderId="2" xfId="6" applyFont="1" applyFill="1" applyBorder="1"/>
    <xf numFmtId="9" fontId="34" fillId="8" borderId="18" xfId="6" applyFont="1" applyFill="1" applyBorder="1"/>
    <xf numFmtId="9" fontId="34" fillId="8" borderId="16" xfId="6" applyFont="1" applyFill="1" applyBorder="1"/>
    <xf numFmtId="9" fontId="34" fillId="8" borderId="3" xfId="6" applyFont="1" applyFill="1" applyBorder="1"/>
    <xf numFmtId="9" fontId="34" fillId="8" borderId="2" xfId="6" applyFont="1" applyFill="1" applyBorder="1"/>
    <xf numFmtId="0" fontId="36" fillId="0" borderId="0" xfId="8" applyFont="1"/>
    <xf numFmtId="0" fontId="10" fillId="0" borderId="0" xfId="8"/>
    <xf numFmtId="0" fontId="10" fillId="0" borderId="24" xfId="8" applyBorder="1"/>
    <xf numFmtId="1" fontId="97" fillId="0" borderId="7" xfId="8" applyNumberFormat="1" applyFont="1" applyBorder="1"/>
    <xf numFmtId="1" fontId="10" fillId="0" borderId="24" xfId="8" applyNumberFormat="1" applyBorder="1"/>
    <xf numFmtId="9" fontId="10" fillId="0" borderId="24" xfId="8" applyNumberFormat="1" applyBorder="1"/>
    <xf numFmtId="0" fontId="36" fillId="0" borderId="0" xfId="0" applyFont="1"/>
    <xf numFmtId="0" fontId="10" fillId="0" borderId="24" xfId="0" applyFont="1" applyBorder="1"/>
    <xf numFmtId="171" fontId="0" fillId="0" borderId="0" xfId="0" applyNumberFormat="1"/>
    <xf numFmtId="2" fontId="15" fillId="0" borderId="0" xfId="0" applyNumberFormat="1" applyFont="1"/>
    <xf numFmtId="2" fontId="15" fillId="0" borderId="0" xfId="6" applyNumberFormat="1" applyFont="1"/>
    <xf numFmtId="0" fontId="102" fillId="0" borderId="0" xfId="6" applyNumberFormat="1" applyFont="1" applyFill="1" applyBorder="1" applyAlignment="1"/>
    <xf numFmtId="0" fontId="18" fillId="8" borderId="14" xfId="0" applyFont="1" applyFill="1" applyBorder="1"/>
    <xf numFmtId="0" fontId="18" fillId="8" borderId="4" xfId="0" applyFont="1" applyFill="1" applyBorder="1"/>
    <xf numFmtId="0" fontId="18" fillId="8" borderId="8" xfId="0" applyFont="1" applyFill="1" applyBorder="1"/>
    <xf numFmtId="0" fontId="18" fillId="8" borderId="18" xfId="0" applyFont="1" applyFill="1" applyBorder="1"/>
    <xf numFmtId="0" fontId="18" fillId="8" borderId="3" xfId="0" applyFont="1" applyFill="1" applyBorder="1"/>
    <xf numFmtId="169" fontId="122" fillId="0" borderId="0" xfId="0" applyNumberFormat="1" applyFont="1"/>
    <xf numFmtId="169" fontId="123" fillId="0" borderId="0" xfId="0" applyNumberFormat="1" applyFont="1"/>
    <xf numFmtId="1" fontId="99" fillId="0" borderId="0" xfId="8" applyNumberFormat="1" applyFont="1"/>
    <xf numFmtId="1" fontId="124" fillId="0" borderId="0" xfId="6" applyNumberFormat="1" applyFont="1" applyFill="1" applyBorder="1" applyAlignment="1"/>
    <xf numFmtId="169" fontId="124" fillId="0" borderId="0" xfId="0" applyNumberFormat="1" applyFont="1"/>
    <xf numFmtId="171" fontId="0" fillId="0" borderId="24" xfId="0" applyNumberFormat="1" applyBorder="1"/>
    <xf numFmtId="169" fontId="13" fillId="5" borderId="0" xfId="8" applyNumberFormat="1" applyFont="1" applyFill="1" applyAlignment="1">
      <alignment horizontal="left" indent="5"/>
    </xf>
    <xf numFmtId="169" fontId="102" fillId="0" borderId="0" xfId="6" applyNumberFormat="1" applyFont="1" applyFill="1" applyBorder="1" applyAlignment="1"/>
    <xf numFmtId="1" fontId="10" fillId="0" borderId="0" xfId="8" applyNumberFormat="1"/>
    <xf numFmtId="0" fontId="79" fillId="0" borderId="24" xfId="0" applyFont="1" applyBorder="1"/>
    <xf numFmtId="1" fontId="10" fillId="0" borderId="0" xfId="0" applyNumberFormat="1" applyFont="1"/>
    <xf numFmtId="169" fontId="18" fillId="0" borderId="0" xfId="1" applyNumberFormat="1" applyFont="1" applyFill="1" applyBorder="1" applyAlignment="1">
      <alignment horizontal="left" indent="1"/>
    </xf>
    <xf numFmtId="169" fontId="18" fillId="0" borderId="0" xfId="1" applyNumberFormat="1" applyFont="1" applyFill="1" applyBorder="1" applyAlignment="1">
      <alignment horizontal="left" vertical="center" indent="1"/>
    </xf>
    <xf numFmtId="169" fontId="18" fillId="0" borderId="0" xfId="1" applyNumberFormat="1" applyFont="1" applyFill="1" applyBorder="1" applyAlignment="1">
      <alignment horizontal="left" vertical="top" indent="1"/>
    </xf>
    <xf numFmtId="0" fontId="18" fillId="0" borderId="0" xfId="0" applyFont="1" applyAlignment="1">
      <alignment horizontal="left" indent="4"/>
    </xf>
    <xf numFmtId="169" fontId="15" fillId="0" borderId="24" xfId="0" applyNumberFormat="1" applyFont="1" applyBorder="1"/>
    <xf numFmtId="169" fontId="18" fillId="6" borderId="0" xfId="0" applyNumberFormat="1" applyFont="1" applyFill="1"/>
    <xf numFmtId="164" fontId="18" fillId="6" borderId="0" xfId="2" applyFont="1" applyFill="1" applyAlignment="1"/>
    <xf numFmtId="165" fontId="18" fillId="6" borderId="0" xfId="0" applyNumberFormat="1" applyFont="1" applyFill="1"/>
    <xf numFmtId="9" fontId="18" fillId="6" borderId="0" xfId="0" applyNumberFormat="1" applyFont="1" applyFill="1"/>
    <xf numFmtId="0" fontId="15" fillId="6" borderId="0" xfId="0" applyFont="1" applyFill="1"/>
    <xf numFmtId="0" fontId="18" fillId="6" borderId="0" xfId="0" applyFont="1" applyFill="1"/>
    <xf numFmtId="0" fontId="31" fillId="6" borderId="0" xfId="0" applyFont="1" applyFill="1"/>
    <xf numFmtId="0" fontId="29" fillId="6" borderId="0" xfId="0" applyFont="1" applyFill="1"/>
    <xf numFmtId="169" fontId="31" fillId="6" borderId="0" xfId="0" applyNumberFormat="1" applyFont="1" applyFill="1"/>
    <xf numFmtId="0" fontId="18" fillId="6" borderId="0" xfId="0" applyFont="1" applyFill="1" applyAlignment="1">
      <alignment horizontal="left"/>
    </xf>
    <xf numFmtId="1" fontId="18" fillId="6" borderId="0" xfId="0" applyNumberFormat="1" applyFont="1" applyFill="1"/>
    <xf numFmtId="169" fontId="15" fillId="0" borderId="0" xfId="0" applyNumberFormat="1" applyFont="1" applyAlignment="1">
      <alignment horizontal="left" indent="2"/>
    </xf>
    <xf numFmtId="0" fontId="80" fillId="0" borderId="24" xfId="0" applyFont="1" applyBorder="1" applyAlignment="1">
      <alignment horizontal="center"/>
    </xf>
    <xf numFmtId="169" fontId="14" fillId="8" borderId="0" xfId="0" applyNumberFormat="1" applyFont="1" applyFill="1" applyAlignment="1">
      <alignment horizontal="left"/>
    </xf>
    <xf numFmtId="168" fontId="14" fillId="8" borderId="0" xfId="0" applyNumberFormat="1" applyFont="1" applyFill="1" applyAlignment="1">
      <alignment horizontal="left"/>
    </xf>
    <xf numFmtId="168" fontId="29" fillId="8" borderId="0" xfId="0" applyNumberFormat="1" applyFont="1" applyFill="1" applyAlignment="1">
      <alignment horizontal="left"/>
    </xf>
    <xf numFmtId="169" fontId="15" fillId="8" borderId="0" xfId="0" applyNumberFormat="1" applyFont="1" applyFill="1" applyAlignment="1">
      <alignment horizontal="left"/>
    </xf>
    <xf numFmtId="169" fontId="15" fillId="8" borderId="0" xfId="0" applyNumberFormat="1" applyFont="1" applyFill="1" applyAlignment="1">
      <alignment horizontal="center"/>
    </xf>
    <xf numFmtId="169" fontId="15" fillId="8" borderId="0" xfId="0" applyNumberFormat="1" applyFont="1" applyFill="1"/>
    <xf numFmtId="169" fontId="29" fillId="8" borderId="0" xfId="0" applyNumberFormat="1" applyFont="1" applyFill="1"/>
    <xf numFmtId="168" fontId="29" fillId="8" borderId="0" xfId="0" applyNumberFormat="1" applyFont="1" applyFill="1"/>
    <xf numFmtId="169" fontId="18" fillId="8" borderId="18" xfId="0" applyNumberFormat="1" applyFont="1" applyFill="1" applyBorder="1" applyAlignment="1">
      <alignment horizontal="center" vertical="center"/>
    </xf>
    <xf numFmtId="169" fontId="18" fillId="8" borderId="16" xfId="0" applyNumberFormat="1" applyFont="1" applyFill="1" applyBorder="1" applyAlignment="1">
      <alignment horizontal="center" vertical="center" wrapText="1"/>
    </xf>
    <xf numFmtId="169" fontId="18" fillId="8" borderId="3" xfId="0" applyNumberFormat="1" applyFont="1" applyFill="1" applyBorder="1" applyAlignment="1">
      <alignment horizontal="center" vertical="center"/>
    </xf>
    <xf numFmtId="169" fontId="18" fillId="8" borderId="13" xfId="0" applyNumberFormat="1" applyFont="1" applyFill="1" applyBorder="1" applyAlignment="1">
      <alignment horizontal="right" vertical="center"/>
    </xf>
    <xf numFmtId="169" fontId="18" fillId="8" borderId="9" xfId="0" applyNumberFormat="1" applyFont="1" applyFill="1" applyBorder="1" applyAlignment="1">
      <alignment horizontal="right" vertical="center"/>
    </xf>
    <xf numFmtId="169" fontId="18" fillId="8" borderId="12" xfId="0" applyNumberFormat="1" applyFont="1" applyFill="1" applyBorder="1" applyAlignment="1">
      <alignment horizontal="right" vertical="center"/>
    </xf>
    <xf numFmtId="0" fontId="10" fillId="8" borderId="3" xfId="0" applyFont="1" applyFill="1" applyBorder="1" applyAlignment="1">
      <alignment horizontal="center" vertical="center"/>
    </xf>
    <xf numFmtId="0" fontId="18" fillId="8" borderId="4" xfId="2" applyNumberFormat="1" applyFont="1" applyFill="1" applyBorder="1" applyAlignment="1">
      <alignment horizontal="center"/>
    </xf>
    <xf numFmtId="168" fontId="18" fillId="8" borderId="4" xfId="0" applyNumberFormat="1" applyFont="1" applyFill="1" applyBorder="1" applyAlignment="1">
      <alignment horizontal="right" vertical="center"/>
    </xf>
    <xf numFmtId="169" fontId="18" fillId="8" borderId="0" xfId="0" applyNumberFormat="1" applyFont="1" applyFill="1" applyAlignment="1">
      <alignment horizontal="right" vertical="center"/>
    </xf>
    <xf numFmtId="168" fontId="18" fillId="8" borderId="0" xfId="0" applyNumberFormat="1" applyFont="1" applyFill="1" applyAlignment="1">
      <alignment horizontal="right" vertical="center"/>
    </xf>
    <xf numFmtId="169" fontId="18" fillId="8" borderId="7" xfId="0" applyNumberFormat="1" applyFont="1" applyFill="1" applyBorder="1" applyAlignment="1">
      <alignment horizontal="right" vertical="center"/>
    </xf>
    <xf numFmtId="169" fontId="18" fillId="8" borderId="0" xfId="0" applyNumberFormat="1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169" fontId="18" fillId="8" borderId="7" xfId="0" applyNumberFormat="1" applyFont="1" applyFill="1" applyBorder="1" applyAlignment="1">
      <alignment vertical="center"/>
    </xf>
    <xf numFmtId="169" fontId="18" fillId="8" borderId="0" xfId="0" applyNumberFormat="1" applyFont="1" applyFill="1" applyAlignment="1">
      <alignment horizontal="center" vertical="center"/>
    </xf>
    <xf numFmtId="0" fontId="18" fillId="8" borderId="0" xfId="2" applyNumberFormat="1" applyFont="1" applyFill="1" applyBorder="1" applyAlignment="1">
      <alignment horizontal="center"/>
    </xf>
    <xf numFmtId="169" fontId="18" fillId="8" borderId="0" xfId="0" applyNumberFormat="1" applyFont="1" applyFill="1" applyAlignment="1">
      <alignment horizontal="left" vertical="center"/>
    </xf>
    <xf numFmtId="0" fontId="17" fillId="8" borderId="4" xfId="2" applyNumberFormat="1" applyFont="1" applyFill="1" applyBorder="1" applyAlignment="1">
      <alignment horizontal="center"/>
    </xf>
    <xf numFmtId="168" fontId="10" fillId="8" borderId="4" xfId="1" applyNumberFormat="1" applyFont="1" applyFill="1" applyBorder="1" applyAlignment="1"/>
    <xf numFmtId="168" fontId="10" fillId="8" borderId="0" xfId="1" applyNumberFormat="1" applyFont="1" applyFill="1" applyBorder="1" applyAlignment="1"/>
    <xf numFmtId="168" fontId="10" fillId="8" borderId="0" xfId="1" applyNumberFormat="1" applyFont="1" applyFill="1" applyBorder="1" applyAlignment="1">
      <alignment horizontal="right"/>
    </xf>
    <xf numFmtId="168" fontId="10" fillId="8" borderId="7" xfId="1" applyNumberFormat="1" applyFont="1" applyFill="1" applyBorder="1" applyAlignment="1">
      <alignment horizontal="right"/>
    </xf>
    <xf numFmtId="169" fontId="10" fillId="8" borderId="0" xfId="1" applyNumberFormat="1" applyFont="1" applyFill="1" applyBorder="1" applyAlignment="1">
      <alignment horizontal="right"/>
    </xf>
    <xf numFmtId="0" fontId="10" fillId="8" borderId="0" xfId="0" applyFont="1" applyFill="1" applyAlignment="1">
      <alignment horizontal="center"/>
    </xf>
    <xf numFmtId="169" fontId="18" fillId="8" borderId="7" xfId="0" applyNumberFormat="1" applyFont="1" applyFill="1" applyBorder="1"/>
    <xf numFmtId="169" fontId="10" fillId="8" borderId="0" xfId="0" applyNumberFormat="1" applyFont="1" applyFill="1"/>
    <xf numFmtId="168" fontId="17" fillId="8" borderId="4" xfId="1" applyNumberFormat="1" applyFont="1" applyFill="1" applyBorder="1" applyAlignment="1"/>
    <xf numFmtId="168" fontId="17" fillId="8" borderId="0" xfId="1" applyNumberFormat="1" applyFont="1" applyFill="1" applyBorder="1" applyAlignment="1"/>
    <xf numFmtId="0" fontId="55" fillId="8" borderId="0" xfId="0" applyFont="1" applyFill="1"/>
    <xf numFmtId="168" fontId="17" fillId="8" borderId="0" xfId="1" applyNumberFormat="1" applyFont="1" applyFill="1" applyBorder="1" applyAlignment="1">
      <alignment horizontal="right"/>
    </xf>
    <xf numFmtId="168" fontId="17" fillId="8" borderId="7" xfId="1" applyNumberFormat="1" applyFont="1" applyFill="1" applyBorder="1" applyAlignment="1">
      <alignment horizontal="right"/>
    </xf>
    <xf numFmtId="0" fontId="58" fillId="8" borderId="0" xfId="0" applyFont="1" applyFill="1"/>
    <xf numFmtId="0" fontId="17" fillId="8" borderId="4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169" fontId="17" fillId="8" borderId="0" xfId="0" applyNumberFormat="1" applyFont="1" applyFill="1"/>
    <xf numFmtId="168" fontId="18" fillId="8" borderId="4" xfId="1" applyNumberFormat="1" applyFont="1" applyFill="1" applyBorder="1" applyAlignment="1"/>
    <xf numFmtId="168" fontId="18" fillId="8" borderId="0" xfId="1" applyNumberFormat="1" applyFont="1" applyFill="1" applyBorder="1" applyAlignment="1"/>
    <xf numFmtId="168" fontId="18" fillId="8" borderId="0" xfId="1" applyNumberFormat="1" applyFont="1" applyFill="1" applyBorder="1" applyAlignment="1">
      <alignment horizontal="right"/>
    </xf>
    <xf numFmtId="168" fontId="18" fillId="8" borderId="7" xfId="1" applyNumberFormat="1" applyFont="1" applyFill="1" applyBorder="1" applyAlignment="1">
      <alignment horizontal="right"/>
    </xf>
    <xf numFmtId="168" fontId="18" fillId="8" borderId="7" xfId="1" applyNumberFormat="1" applyFont="1" applyFill="1" applyBorder="1" applyAlignment="1"/>
    <xf numFmtId="169" fontId="18" fillId="8" borderId="0" xfId="1" applyNumberFormat="1" applyFont="1" applyFill="1" applyBorder="1" applyAlignment="1"/>
    <xf numFmtId="168" fontId="34" fillId="8" borderId="0" xfId="1" applyNumberFormat="1" applyFont="1" applyFill="1" applyBorder="1" applyAlignment="1"/>
    <xf numFmtId="168" fontId="34" fillId="8" borderId="7" xfId="1" applyNumberFormat="1" applyFont="1" applyFill="1" applyBorder="1" applyAlignment="1"/>
    <xf numFmtId="0" fontId="18" fillId="8" borderId="21" xfId="2" applyNumberFormat="1" applyFont="1" applyFill="1" applyBorder="1" applyAlignment="1">
      <alignment horizontal="center"/>
    </xf>
    <xf numFmtId="0" fontId="18" fillId="8" borderId="20" xfId="0" applyFont="1" applyFill="1" applyBorder="1"/>
    <xf numFmtId="168" fontId="18" fillId="8" borderId="21" xfId="1" applyNumberFormat="1" applyFont="1" applyFill="1" applyBorder="1" applyAlignment="1"/>
    <xf numFmtId="168" fontId="18" fillId="8" borderId="20" xfId="1" applyNumberFormat="1" applyFont="1" applyFill="1" applyBorder="1" applyAlignment="1"/>
    <xf numFmtId="168" fontId="18" fillId="8" borderId="22" xfId="1" applyNumberFormat="1" applyFont="1" applyFill="1" applyBorder="1" applyAlignment="1"/>
    <xf numFmtId="169" fontId="18" fillId="8" borderId="20" xfId="1" applyNumberFormat="1" applyFont="1" applyFill="1" applyBorder="1" applyAlignment="1"/>
    <xf numFmtId="0" fontId="18" fillId="8" borderId="20" xfId="0" applyFont="1" applyFill="1" applyBorder="1" applyAlignment="1">
      <alignment horizontal="center"/>
    </xf>
    <xf numFmtId="169" fontId="18" fillId="8" borderId="22" xfId="0" applyNumberFormat="1" applyFont="1" applyFill="1" applyBorder="1"/>
    <xf numFmtId="169" fontId="18" fillId="8" borderId="3" xfId="1" applyNumberFormat="1" applyFont="1" applyFill="1" applyBorder="1" applyAlignment="1"/>
    <xf numFmtId="169" fontId="18" fillId="8" borderId="18" xfId="1" applyNumberFormat="1" applyFont="1" applyFill="1" applyBorder="1" applyAlignment="1"/>
    <xf numFmtId="0" fontId="18" fillId="8" borderId="0" xfId="0" applyFont="1" applyFill="1" applyAlignment="1">
      <alignment horizontal="left"/>
    </xf>
    <xf numFmtId="0" fontId="18" fillId="8" borderId="3" xfId="0" applyFont="1" applyFill="1" applyBorder="1" applyAlignment="1">
      <alignment horizontal="center"/>
    </xf>
    <xf numFmtId="169" fontId="18" fillId="8" borderId="4" xfId="1" applyNumberFormat="1" applyFont="1" applyFill="1" applyBorder="1" applyAlignment="1"/>
    <xf numFmtId="168" fontId="18" fillId="8" borderId="0" xfId="1" applyNumberFormat="1" applyFont="1" applyFill="1" applyBorder="1" applyAlignment="1">
      <alignment horizontal="right" indent="1"/>
    </xf>
    <xf numFmtId="169" fontId="17" fillId="8" borderId="4" xfId="0" applyNumberFormat="1" applyFont="1" applyFill="1" applyBorder="1"/>
    <xf numFmtId="168" fontId="17" fillId="8" borderId="0" xfId="0" applyNumberFormat="1" applyFont="1" applyFill="1"/>
    <xf numFmtId="169" fontId="17" fillId="8" borderId="7" xfId="0" applyNumberFormat="1" applyFont="1" applyFill="1" applyBorder="1"/>
    <xf numFmtId="168" fontId="17" fillId="8" borderId="0" xfId="0" applyNumberFormat="1" applyFont="1" applyFill="1" applyAlignment="1">
      <alignment horizontal="left" indent="4"/>
    </xf>
    <xf numFmtId="169" fontId="17" fillId="8" borderId="0" xfId="0" applyNumberFormat="1" applyFont="1" applyFill="1" applyAlignment="1">
      <alignment horizontal="right" indent="1"/>
    </xf>
    <xf numFmtId="168" fontId="17" fillId="8" borderId="0" xfId="0" applyNumberFormat="1" applyFont="1" applyFill="1" applyAlignment="1">
      <alignment horizontal="left" indent="5"/>
    </xf>
    <xf numFmtId="169" fontId="17" fillId="8" borderId="0" xfId="0" applyNumberFormat="1" applyFont="1" applyFill="1" applyAlignment="1">
      <alignment horizontal="left" indent="4"/>
    </xf>
    <xf numFmtId="168" fontId="17" fillId="8" borderId="4" xfId="0" applyNumberFormat="1" applyFont="1" applyFill="1" applyBorder="1"/>
    <xf numFmtId="168" fontId="17" fillId="8" borderId="3" xfId="0" applyNumberFormat="1" applyFont="1" applyFill="1" applyBorder="1"/>
    <xf numFmtId="169" fontId="17" fillId="8" borderId="3" xfId="0" applyNumberFormat="1" applyFont="1" applyFill="1" applyBorder="1"/>
    <xf numFmtId="169" fontId="17" fillId="8" borderId="2" xfId="0" applyNumberFormat="1" applyFont="1" applyFill="1" applyBorder="1"/>
    <xf numFmtId="168" fontId="21" fillId="8" borderId="0" xfId="0" applyNumberFormat="1" applyFont="1" applyFill="1"/>
    <xf numFmtId="168" fontId="15" fillId="8" borderId="0" xfId="0" applyNumberFormat="1" applyFont="1" applyFill="1"/>
    <xf numFmtId="0" fontId="11" fillId="8" borderId="0" xfId="0" applyFont="1" applyFill="1"/>
    <xf numFmtId="168" fontId="75" fillId="8" borderId="0" xfId="0" applyNumberFormat="1" applyFont="1" applyFill="1"/>
    <xf numFmtId="168" fontId="118" fillId="8" borderId="0" xfId="0" applyNumberFormat="1" applyFont="1" applyFill="1"/>
    <xf numFmtId="169" fontId="118" fillId="8" borderId="0" xfId="0" applyNumberFormat="1" applyFont="1" applyFill="1"/>
    <xf numFmtId="169" fontId="75" fillId="8" borderId="0" xfId="0" applyNumberFormat="1" applyFont="1" applyFill="1" applyAlignment="1">
      <alignment horizontal="left"/>
    </xf>
    <xf numFmtId="168" fontId="83" fillId="8" borderId="0" xfId="0" applyNumberFormat="1" applyFont="1" applyFill="1"/>
    <xf numFmtId="168" fontId="119" fillId="8" borderId="0" xfId="0" applyNumberFormat="1" applyFont="1" applyFill="1"/>
    <xf numFmtId="169" fontId="119" fillId="8" borderId="0" xfId="0" applyNumberFormat="1" applyFont="1" applyFill="1"/>
    <xf numFmtId="169" fontId="83" fillId="8" borderId="0" xfId="0" applyNumberFormat="1" applyFont="1" applyFill="1" applyAlignment="1">
      <alignment horizontal="left"/>
    </xf>
    <xf numFmtId="168" fontId="18" fillId="8" borderId="0" xfId="0" applyNumberFormat="1" applyFont="1" applyFill="1"/>
    <xf numFmtId="169" fontId="17" fillId="8" borderId="0" xfId="0" applyNumberFormat="1" applyFont="1" applyFill="1" applyAlignment="1">
      <alignment horizontal="center"/>
    </xf>
    <xf numFmtId="168" fontId="11" fillId="8" borderId="0" xfId="0" applyNumberFormat="1" applyFont="1" applyFill="1"/>
    <xf numFmtId="168" fontId="15" fillId="8" borderId="0" xfId="2" applyNumberFormat="1" applyFont="1" applyFill="1" applyAlignment="1"/>
    <xf numFmtId="168" fontId="29" fillId="8" borderId="3" xfId="0" applyNumberFormat="1" applyFont="1" applyFill="1" applyBorder="1"/>
    <xf numFmtId="169" fontId="18" fillId="8" borderId="18" xfId="0" applyNumberFormat="1" applyFont="1" applyFill="1" applyBorder="1" applyAlignment="1">
      <alignment horizontal="left" vertical="center"/>
    </xf>
    <xf numFmtId="169" fontId="18" fillId="8" borderId="12" xfId="0" applyNumberFormat="1" applyFont="1" applyFill="1" applyBorder="1" applyAlignment="1">
      <alignment horizontal="center" vertical="center"/>
    </xf>
    <xf numFmtId="169" fontId="18" fillId="8" borderId="3" xfId="0" applyNumberFormat="1" applyFont="1" applyFill="1" applyBorder="1" applyAlignment="1">
      <alignment horizontal="left" vertical="center"/>
    </xf>
    <xf numFmtId="169" fontId="18" fillId="8" borderId="8" xfId="0" applyNumberFormat="1" applyFont="1" applyFill="1" applyBorder="1" applyAlignment="1">
      <alignment horizontal="right" vertical="center"/>
    </xf>
    <xf numFmtId="169" fontId="18" fillId="8" borderId="3" xfId="0" applyNumberFormat="1" applyFont="1" applyFill="1" applyBorder="1" applyAlignment="1">
      <alignment horizontal="right" vertical="center"/>
    </xf>
    <xf numFmtId="169" fontId="18" fillId="8" borderId="2" xfId="0" applyNumberFormat="1" applyFont="1" applyFill="1" applyBorder="1" applyAlignment="1">
      <alignment horizontal="right" vertical="center"/>
    </xf>
    <xf numFmtId="165" fontId="18" fillId="8" borderId="4" xfId="1" applyFont="1" applyFill="1" applyBorder="1" applyAlignment="1">
      <alignment horizontal="right" vertical="center"/>
    </xf>
    <xf numFmtId="165" fontId="18" fillId="8" borderId="0" xfId="1" applyFont="1" applyFill="1" applyBorder="1" applyAlignment="1">
      <alignment horizontal="right" vertical="center"/>
    </xf>
    <xf numFmtId="0" fontId="0" fillId="8" borderId="0" xfId="0" applyFill="1" applyAlignment="1">
      <alignment horizontal="center" vertical="center"/>
    </xf>
    <xf numFmtId="169" fontId="18" fillId="8" borderId="4" xfId="0" applyNumberFormat="1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169" fontId="18" fillId="8" borderId="4" xfId="0" applyNumberFormat="1" applyFont="1" applyFill="1" applyBorder="1" applyAlignment="1">
      <alignment horizontal="left" vertical="center"/>
    </xf>
    <xf numFmtId="169" fontId="18" fillId="8" borderId="4" xfId="0" applyNumberFormat="1" applyFont="1" applyFill="1" applyBorder="1" applyAlignment="1">
      <alignment horizontal="right" vertical="center"/>
    </xf>
    <xf numFmtId="169" fontId="18" fillId="8" borderId="0" xfId="1" applyNumberFormat="1" applyFont="1" applyFill="1" applyBorder="1" applyAlignment="1">
      <alignment horizontal="right"/>
    </xf>
    <xf numFmtId="0" fontId="52" fillId="8" borderId="0" xfId="0" applyFont="1" applyFill="1"/>
    <xf numFmtId="170" fontId="18" fillId="8" borderId="0" xfId="1" applyNumberFormat="1" applyFont="1" applyFill="1" applyBorder="1" applyAlignment="1"/>
    <xf numFmtId="170" fontId="18" fillId="8" borderId="7" xfId="1" applyNumberFormat="1" applyFont="1" applyFill="1" applyBorder="1" applyAlignment="1"/>
    <xf numFmtId="165" fontId="18" fillId="8" borderId="0" xfId="0" applyNumberFormat="1" applyFont="1" applyFill="1"/>
    <xf numFmtId="170" fontId="34" fillId="8" borderId="7" xfId="1" applyNumberFormat="1" applyFont="1" applyFill="1" applyBorder="1" applyAlignment="1"/>
    <xf numFmtId="9" fontId="18" fillId="8" borderId="0" xfId="0" applyNumberFormat="1" applyFont="1" applyFill="1"/>
    <xf numFmtId="0" fontId="18" fillId="8" borderId="9" xfId="0" applyFont="1" applyFill="1" applyBorder="1"/>
    <xf numFmtId="168" fontId="18" fillId="8" borderId="0" xfId="1" applyNumberFormat="1" applyFont="1" applyFill="1" applyBorder="1" applyAlignment="1">
      <alignment horizontal="right" indent="6"/>
    </xf>
    <xf numFmtId="168" fontId="18" fillId="8" borderId="0" xfId="1" applyNumberFormat="1" applyFont="1" applyFill="1" applyBorder="1" applyAlignment="1">
      <alignment horizontal="left"/>
    </xf>
    <xf numFmtId="165" fontId="18" fillId="8" borderId="0" xfId="1" applyFont="1" applyFill="1" applyBorder="1" applyAlignment="1">
      <alignment horizontal="right" indent="1"/>
    </xf>
    <xf numFmtId="0" fontId="18" fillId="8" borderId="8" xfId="2" applyNumberFormat="1" applyFont="1" applyFill="1" applyBorder="1" applyAlignment="1">
      <alignment horizontal="center"/>
    </xf>
    <xf numFmtId="0" fontId="18" fillId="8" borderId="3" xfId="2" applyNumberFormat="1" applyFont="1" applyFill="1" applyBorder="1" applyAlignment="1">
      <alignment horizontal="center"/>
    </xf>
    <xf numFmtId="168" fontId="18" fillId="8" borderId="3" xfId="1" applyNumberFormat="1" applyFont="1" applyFill="1" applyBorder="1" applyAlignment="1"/>
    <xf numFmtId="170" fontId="18" fillId="8" borderId="3" xfId="1" applyNumberFormat="1" applyFont="1" applyFill="1" applyBorder="1" applyAlignment="1"/>
    <xf numFmtId="168" fontId="103" fillId="8" borderId="0" xfId="0" applyNumberFormat="1" applyFont="1" applyFill="1"/>
    <xf numFmtId="169" fontId="117" fillId="8" borderId="0" xfId="0" applyNumberFormat="1" applyFont="1" applyFill="1"/>
    <xf numFmtId="169" fontId="103" fillId="8" borderId="0" xfId="0" applyNumberFormat="1" applyFont="1" applyFill="1" applyAlignment="1">
      <alignment horizontal="left"/>
    </xf>
    <xf numFmtId="165" fontId="104" fillId="8" borderId="0" xfId="0" applyNumberFormat="1" applyFont="1" applyFill="1"/>
    <xf numFmtId="169" fontId="116" fillId="8" borderId="0" xfId="0" applyNumberFormat="1" applyFont="1" applyFill="1"/>
    <xf numFmtId="169" fontId="104" fillId="8" borderId="0" xfId="0" applyNumberFormat="1" applyFont="1" applyFill="1" applyAlignment="1">
      <alignment horizontal="left"/>
    </xf>
    <xf numFmtId="168" fontId="102" fillId="8" borderId="0" xfId="0" applyNumberFormat="1" applyFont="1" applyFill="1"/>
    <xf numFmtId="169" fontId="102" fillId="8" borderId="0" xfId="0" applyNumberFormat="1" applyFont="1" applyFill="1"/>
    <xf numFmtId="169" fontId="102" fillId="8" borderId="0" xfId="0" applyNumberFormat="1" applyFont="1" applyFill="1" applyAlignment="1">
      <alignment horizontal="center"/>
    </xf>
    <xf numFmtId="9" fontId="103" fillId="8" borderId="0" xfId="6" applyFont="1" applyFill="1"/>
    <xf numFmtId="169" fontId="15" fillId="0" borderId="0" xfId="0" applyNumberFormat="1" applyFont="1" applyAlignment="1">
      <alignment horizontal="left" indent="3"/>
    </xf>
    <xf numFmtId="9" fontId="83" fillId="8" borderId="0" xfId="6" applyFont="1" applyFill="1"/>
    <xf numFmtId="171" fontId="99" fillId="0" borderId="0" xfId="8" applyNumberFormat="1" applyFont="1"/>
    <xf numFmtId="1" fontId="97" fillId="0" borderId="2" xfId="8" applyNumberFormat="1" applyFont="1" applyBorder="1"/>
    <xf numFmtId="9" fontId="125" fillId="0" borderId="0" xfId="6" applyFont="1" applyFill="1" applyBorder="1" applyAlignment="1"/>
    <xf numFmtId="171" fontId="10" fillId="0" borderId="24" xfId="8" applyNumberFormat="1" applyBorder="1"/>
    <xf numFmtId="0" fontId="18" fillId="8" borderId="7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left" vertical="center"/>
    </xf>
    <xf numFmtId="0" fontId="18" fillId="8" borderId="7" xfId="0" applyFont="1" applyFill="1" applyBorder="1" applyAlignment="1">
      <alignment horizontal="left" vertical="top"/>
    </xf>
    <xf numFmtId="1" fontId="0" fillId="0" borderId="24" xfId="0" applyNumberFormat="1" applyBorder="1"/>
    <xf numFmtId="0" fontId="18" fillId="8" borderId="8" xfId="0" applyFont="1" applyFill="1" applyBorder="1" applyAlignment="1">
      <alignment horizontal="center"/>
    </xf>
    <xf numFmtId="169" fontId="17" fillId="8" borderId="0" xfId="0" applyNumberFormat="1" applyFont="1" applyFill="1" applyAlignment="1">
      <alignment horizontal="left" indent="9"/>
    </xf>
    <xf numFmtId="168" fontId="17" fillId="8" borderId="0" xfId="0" applyNumberFormat="1" applyFont="1" applyFill="1" applyAlignment="1">
      <alignment horizontal="right"/>
    </xf>
    <xf numFmtId="169" fontId="18" fillId="0" borderId="3" xfId="1" applyNumberFormat="1" applyFont="1" applyFill="1" applyBorder="1" applyAlignment="1">
      <alignment horizontal="right" indent="1"/>
    </xf>
    <xf numFmtId="169" fontId="18" fillId="0" borderId="0" xfId="1" applyNumberFormat="1" applyFont="1" applyFill="1" applyBorder="1" applyAlignment="1">
      <alignment horizontal="right" indent="3"/>
    </xf>
    <xf numFmtId="169" fontId="18" fillId="8" borderId="4" xfId="0" applyNumberFormat="1" applyFont="1" applyFill="1" applyBorder="1" applyAlignment="1">
      <alignment horizontal="right"/>
    </xf>
    <xf numFmtId="169" fontId="18" fillId="8" borderId="0" xfId="0" applyNumberFormat="1" applyFont="1" applyFill="1" applyAlignment="1">
      <alignment horizontal="right"/>
    </xf>
    <xf numFmtId="169" fontId="18" fillId="8" borderId="7" xfId="0" applyNumberFormat="1" applyFont="1" applyFill="1" applyBorder="1" applyAlignment="1">
      <alignment horizontal="right" vertical="top"/>
    </xf>
    <xf numFmtId="169" fontId="18" fillId="8" borderId="7" xfId="0" applyNumberFormat="1" applyFont="1" applyFill="1" applyBorder="1" applyAlignment="1">
      <alignment horizontal="right"/>
    </xf>
    <xf numFmtId="169" fontId="47" fillId="8" borderId="4" xfId="0" applyNumberFormat="1" applyFont="1" applyFill="1" applyBorder="1" applyAlignment="1">
      <alignment horizontal="right"/>
    </xf>
    <xf numFmtId="169" fontId="47" fillId="8" borderId="0" xfId="0" applyNumberFormat="1" applyFont="1" applyFill="1" applyAlignment="1">
      <alignment horizontal="right"/>
    </xf>
    <xf numFmtId="169" fontId="18" fillId="8" borderId="7" xfId="1" applyNumberFormat="1" applyFont="1" applyFill="1" applyBorder="1" applyAlignment="1">
      <alignment horizontal="right"/>
    </xf>
    <xf numFmtId="169" fontId="18" fillId="8" borderId="4" xfId="1" applyNumberFormat="1" applyFont="1" applyFill="1" applyBorder="1" applyAlignment="1">
      <alignment horizontal="right"/>
    </xf>
    <xf numFmtId="169" fontId="18" fillId="8" borderId="0" xfId="0" applyNumberFormat="1" applyFont="1" applyFill="1" applyAlignment="1">
      <alignment horizontal="center"/>
    </xf>
    <xf numFmtId="169" fontId="17" fillId="8" borderId="4" xfId="1" applyNumberFormat="1" applyFont="1" applyFill="1" applyBorder="1" applyAlignment="1"/>
    <xf numFmtId="169" fontId="17" fillId="8" borderId="0" xfId="1" applyNumberFormat="1" applyFont="1" applyFill="1" applyBorder="1" applyAlignment="1"/>
    <xf numFmtId="169" fontId="17" fillId="8" borderId="0" xfId="1" applyNumberFormat="1" applyFont="1" applyFill="1" applyBorder="1" applyAlignment="1">
      <alignment horizontal="right"/>
    </xf>
    <xf numFmtId="169" fontId="17" fillId="8" borderId="7" xfId="1" applyNumberFormat="1" applyFont="1" applyFill="1" applyBorder="1" applyAlignment="1">
      <alignment horizontal="right"/>
    </xf>
    <xf numFmtId="169" fontId="17" fillId="8" borderId="4" xfId="1" applyNumberFormat="1" applyFont="1" applyFill="1" applyBorder="1" applyAlignment="1">
      <alignment horizontal="right"/>
    </xf>
    <xf numFmtId="0" fontId="18" fillId="8" borderId="0" xfId="0" applyFont="1" applyFill="1" applyAlignment="1">
      <alignment horizontal="center" vertical="center"/>
    </xf>
    <xf numFmtId="169" fontId="17" fillId="8" borderId="7" xfId="1" applyNumberFormat="1" applyFont="1" applyFill="1" applyBorder="1" applyAlignment="1"/>
    <xf numFmtId="169" fontId="18" fillId="8" borderId="7" xfId="1" applyNumberFormat="1" applyFont="1" applyFill="1" applyBorder="1" applyAlignment="1"/>
    <xf numFmtId="169" fontId="18" fillId="8" borderId="0" xfId="1" applyNumberFormat="1" applyFont="1" applyFill="1" applyBorder="1" applyAlignment="1">
      <alignment vertical="justify"/>
    </xf>
    <xf numFmtId="165" fontId="18" fillId="8" borderId="0" xfId="1" applyFont="1" applyFill="1" applyBorder="1" applyAlignment="1">
      <alignment horizontal="right"/>
    </xf>
    <xf numFmtId="169" fontId="18" fillId="8" borderId="0" xfId="1" applyNumberFormat="1" applyFont="1" applyFill="1" applyBorder="1" applyAlignment="1">
      <alignment horizontal="right" wrapText="1"/>
    </xf>
    <xf numFmtId="169" fontId="18" fillId="8" borderId="0" xfId="1" applyNumberFormat="1" applyFont="1" applyFill="1" applyBorder="1" applyAlignment="1">
      <alignment wrapText="1"/>
    </xf>
    <xf numFmtId="169" fontId="34" fillId="8" borderId="0" xfId="1" applyNumberFormat="1" applyFont="1" applyFill="1" applyBorder="1" applyAlignment="1"/>
    <xf numFmtId="169" fontId="34" fillId="8" borderId="0" xfId="1" applyNumberFormat="1" applyFont="1" applyFill="1" applyBorder="1" applyAlignment="1">
      <alignment horizontal="left"/>
    </xf>
    <xf numFmtId="169" fontId="34" fillId="8" borderId="7" xfId="1" applyNumberFormat="1" applyFont="1" applyFill="1" applyBorder="1" applyAlignment="1">
      <alignment horizontal="left"/>
    </xf>
    <xf numFmtId="169" fontId="18" fillId="8" borderId="0" xfId="1" applyNumberFormat="1" applyFont="1" applyFill="1" applyBorder="1" applyAlignment="1">
      <alignment horizontal="center"/>
    </xf>
    <xf numFmtId="169" fontId="18" fillId="8" borderId="7" xfId="0" applyNumberFormat="1" applyFont="1" applyFill="1" applyBorder="1" applyAlignment="1">
      <alignment horizontal="left"/>
    </xf>
    <xf numFmtId="169" fontId="18" fillId="8" borderId="0" xfId="0" applyNumberFormat="1" applyFont="1" applyFill="1" applyAlignment="1">
      <alignment vertical="center"/>
    </xf>
    <xf numFmtId="169" fontId="87" fillId="8" borderId="0" xfId="0" applyNumberFormat="1" applyFont="1" applyFill="1"/>
    <xf numFmtId="0" fontId="85" fillId="8" borderId="4" xfId="2" applyNumberFormat="1" applyFont="1" applyFill="1" applyBorder="1" applyAlignment="1">
      <alignment horizontal="center"/>
    </xf>
    <xf numFmtId="169" fontId="85" fillId="8" borderId="0" xfId="0" applyNumberFormat="1" applyFont="1" applyFill="1" applyAlignment="1">
      <alignment vertical="center"/>
    </xf>
    <xf numFmtId="169" fontId="85" fillId="8" borderId="0" xfId="1" applyNumberFormat="1" applyFont="1" applyFill="1" applyBorder="1" applyAlignment="1"/>
    <xf numFmtId="169" fontId="100" fillId="8" borderId="0" xfId="1" applyNumberFormat="1" applyFont="1" applyFill="1" applyBorder="1" applyAlignment="1"/>
    <xf numFmtId="169" fontId="85" fillId="8" borderId="7" xfId="1" applyNumberFormat="1" applyFont="1" applyFill="1" applyBorder="1" applyAlignment="1"/>
    <xf numFmtId="0" fontId="85" fillId="8" borderId="0" xfId="0" applyFont="1" applyFill="1" applyAlignment="1">
      <alignment horizontal="center"/>
    </xf>
    <xf numFmtId="169" fontId="85" fillId="8" borderId="7" xfId="0" applyNumberFormat="1" applyFont="1" applyFill="1" applyBorder="1"/>
    <xf numFmtId="169" fontId="34" fillId="8" borderId="0" xfId="1" applyNumberFormat="1" applyFont="1" applyFill="1" applyBorder="1" applyAlignment="1">
      <alignment horizontal="right"/>
    </xf>
    <xf numFmtId="169" fontId="18" fillId="8" borderId="7" xfId="1" applyNumberFormat="1" applyFont="1" applyFill="1" applyBorder="1" applyAlignment="1">
      <alignment horizontal="center"/>
    </xf>
    <xf numFmtId="169" fontId="18" fillId="8" borderId="0" xfId="1" applyNumberFormat="1" applyFont="1" applyFill="1" applyBorder="1" applyAlignment="1">
      <alignment horizontal="left"/>
    </xf>
    <xf numFmtId="169" fontId="18" fillId="8" borderId="7" xfId="0" applyNumberFormat="1" applyFont="1" applyFill="1" applyBorder="1" applyAlignment="1">
      <alignment horizontal="left" vertical="center"/>
    </xf>
    <xf numFmtId="169" fontId="18" fillId="8" borderId="0" xfId="1" applyNumberFormat="1" applyFont="1" applyFill="1" applyBorder="1" applyAlignment="1">
      <alignment horizontal="left" indent="2"/>
    </xf>
    <xf numFmtId="169" fontId="18" fillId="8" borderId="0" xfId="1" applyNumberFormat="1" applyFont="1" applyFill="1" applyBorder="1" applyAlignment="1">
      <alignment horizontal="left" indent="1"/>
    </xf>
    <xf numFmtId="169" fontId="18" fillId="8" borderId="0" xfId="1" applyNumberFormat="1" applyFont="1" applyFill="1" applyBorder="1" applyAlignment="1">
      <alignment horizontal="right" indent="1"/>
    </xf>
    <xf numFmtId="169" fontId="18" fillId="8" borderId="7" xfId="1" applyNumberFormat="1" applyFont="1" applyFill="1" applyBorder="1" applyAlignment="1">
      <alignment horizontal="left"/>
    </xf>
    <xf numFmtId="169" fontId="18" fillId="8" borderId="0" xfId="0" applyNumberFormat="1" applyFont="1" applyFill="1" applyAlignment="1">
      <alignment horizontal="left"/>
    </xf>
    <xf numFmtId="169" fontId="18" fillId="8" borderId="0" xfId="0" applyNumberFormat="1" applyFont="1" applyFill="1" applyAlignment="1">
      <alignment horizontal="right" indent="1"/>
    </xf>
    <xf numFmtId="169" fontId="18" fillId="8" borderId="0" xfId="0" applyNumberFormat="1" applyFont="1" applyFill="1" applyAlignment="1">
      <alignment horizontal="left" indent="1"/>
    </xf>
    <xf numFmtId="169" fontId="15" fillId="8" borderId="0" xfId="0" applyNumberFormat="1" applyFont="1" applyFill="1" applyAlignment="1">
      <alignment horizontal="right" indent="1"/>
    </xf>
    <xf numFmtId="169" fontId="18" fillId="8" borderId="0" xfId="0" applyNumberFormat="1" applyFont="1" applyFill="1" applyAlignment="1">
      <alignment horizontal="right" indent="2"/>
    </xf>
    <xf numFmtId="169" fontId="15" fillId="8" borderId="0" xfId="0" applyNumberFormat="1" applyFont="1" applyFill="1" applyAlignment="1">
      <alignment horizontal="left" indent="4"/>
    </xf>
    <xf numFmtId="169" fontId="37" fillId="8" borderId="0" xfId="0" applyNumberFormat="1" applyFont="1" applyFill="1" applyAlignment="1">
      <alignment horizontal="left"/>
    </xf>
    <xf numFmtId="169" fontId="37" fillId="8" borderId="0" xfId="0" applyNumberFormat="1" applyFont="1" applyFill="1"/>
    <xf numFmtId="0" fontId="18" fillId="8" borderId="0" xfId="0" applyFont="1" applyFill="1" applyAlignment="1">
      <alignment horizontal="right" indent="1"/>
    </xf>
    <xf numFmtId="0" fontId="18" fillId="8" borderId="0" xfId="0" applyFont="1" applyFill="1" applyAlignment="1">
      <alignment horizontal="left" indent="3"/>
    </xf>
    <xf numFmtId="169" fontId="11" fillId="8" borderId="7" xfId="0" applyNumberFormat="1" applyFont="1" applyFill="1" applyBorder="1"/>
    <xf numFmtId="169" fontId="35" fillId="8" borderId="0" xfId="4" applyNumberFormat="1" applyFont="1" applyFill="1" applyAlignment="1">
      <alignment horizontal="left" wrapText="1" indent="2"/>
    </xf>
    <xf numFmtId="169" fontId="18" fillId="8" borderId="4" xfId="0" applyNumberFormat="1" applyFont="1" applyFill="1" applyBorder="1"/>
    <xf numFmtId="169" fontId="35" fillId="8" borderId="0" xfId="4" applyNumberFormat="1" applyFont="1" applyFill="1" applyAlignment="1">
      <alignment horizontal="right" wrapText="1" indent="1"/>
    </xf>
    <xf numFmtId="0" fontId="37" fillId="8" borderId="0" xfId="0" applyFont="1" applyFill="1"/>
    <xf numFmtId="0" fontId="18" fillId="8" borderId="0" xfId="0" applyFont="1" applyFill="1" applyAlignment="1">
      <alignment horizontal="left" indent="4"/>
    </xf>
    <xf numFmtId="169" fontId="35" fillId="8" borderId="0" xfId="4" applyNumberFormat="1" applyFont="1" applyFill="1" applyAlignment="1">
      <alignment horizontal="right" wrapText="1"/>
    </xf>
    <xf numFmtId="169" fontId="18" fillId="8" borderId="0" xfId="1" applyNumberFormat="1" applyFont="1" applyFill="1" applyBorder="1" applyAlignment="1">
      <alignment horizontal="left" indent="3"/>
    </xf>
    <xf numFmtId="169" fontId="18" fillId="8" borderId="7" xfId="0" applyNumberFormat="1" applyFont="1" applyFill="1" applyBorder="1" applyAlignment="1">
      <alignment horizontal="center"/>
    </xf>
    <xf numFmtId="0" fontId="18" fillId="8" borderId="0" xfId="0" applyFont="1" applyFill="1" applyAlignment="1">
      <alignment horizontal="right"/>
    </xf>
    <xf numFmtId="169" fontId="18" fillId="8" borderId="2" xfId="0" applyNumberFormat="1" applyFont="1" applyFill="1" applyBorder="1" applyAlignment="1">
      <alignment horizontal="left" vertical="center"/>
    </xf>
    <xf numFmtId="169" fontId="18" fillId="8" borderId="3" xfId="0" applyNumberFormat="1" applyFont="1" applyFill="1" applyBorder="1"/>
    <xf numFmtId="169" fontId="37" fillId="8" borderId="3" xfId="0" applyNumberFormat="1" applyFont="1" applyFill="1" applyBorder="1"/>
    <xf numFmtId="0" fontId="18" fillId="8" borderId="3" xfId="0" applyFont="1" applyFill="1" applyBorder="1" applyAlignment="1">
      <alignment horizontal="right"/>
    </xf>
    <xf numFmtId="0" fontId="37" fillId="8" borderId="3" xfId="0" applyFont="1" applyFill="1" applyBorder="1"/>
    <xf numFmtId="0" fontId="18" fillId="8" borderId="3" xfId="0" applyFont="1" applyFill="1" applyBorder="1" applyAlignment="1">
      <alignment horizontal="left" indent="3"/>
    </xf>
    <xf numFmtId="169" fontId="18" fillId="8" borderId="2" xfId="0" applyNumberFormat="1" applyFont="1" applyFill="1" applyBorder="1"/>
    <xf numFmtId="169" fontId="21" fillId="8" borderId="0" xfId="0" applyNumberFormat="1" applyFont="1" applyFill="1"/>
    <xf numFmtId="0" fontId="21" fillId="8" borderId="0" xfId="0" applyFont="1" applyFill="1"/>
    <xf numFmtId="169" fontId="42" fillId="8" borderId="0" xfId="4" applyNumberFormat="1" applyFont="1" applyFill="1" applyAlignment="1">
      <alignment horizontal="right" wrapText="1"/>
    </xf>
    <xf numFmtId="169" fontId="18" fillId="8" borderId="7" xfId="1" applyNumberFormat="1" applyFont="1" applyFill="1" applyBorder="1" applyAlignment="1">
      <alignment horizontal="right" indent="1"/>
    </xf>
    <xf numFmtId="0" fontId="18" fillId="0" borderId="0" xfId="0" applyFont="1" applyAlignment="1">
      <alignment horizontal="right" vertical="top"/>
    </xf>
    <xf numFmtId="169" fontId="18" fillId="0" borderId="18" xfId="0" applyNumberFormat="1" applyFont="1" applyBorder="1" applyAlignment="1">
      <alignment horizontal="right"/>
    </xf>
    <xf numFmtId="0" fontId="14" fillId="8" borderId="0" xfId="0" applyFont="1" applyFill="1"/>
    <xf numFmtId="0" fontId="14" fillId="8" borderId="0" xfId="0" applyFont="1" applyFill="1" applyAlignment="1">
      <alignment horizontal="left"/>
    </xf>
    <xf numFmtId="0" fontId="14" fillId="8" borderId="0" xfId="0" applyFont="1" applyFill="1" applyAlignment="1">
      <alignment horizontal="center"/>
    </xf>
    <xf numFmtId="0" fontId="15" fillId="8" borderId="0" xfId="0" applyFont="1" applyFill="1"/>
    <xf numFmtId="0" fontId="29" fillId="8" borderId="0" xfId="0" applyFont="1" applyFill="1"/>
    <xf numFmtId="0" fontId="15" fillId="8" borderId="3" xfId="0" applyFont="1" applyFill="1" applyBorder="1"/>
    <xf numFmtId="0" fontId="15" fillId="8" borderId="0" xfId="0" applyFont="1" applyFill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right"/>
    </xf>
    <xf numFmtId="0" fontId="18" fillId="8" borderId="0" xfId="0" applyFont="1" applyFill="1" applyAlignment="1">
      <alignment horizontal="right" wrapText="1"/>
    </xf>
    <xf numFmtId="0" fontId="18" fillId="8" borderId="0" xfId="0" applyFont="1" applyFill="1" applyAlignment="1">
      <alignment horizontal="center" wrapText="1"/>
    </xf>
    <xf numFmtId="0" fontId="18" fillId="8" borderId="7" xfId="0" applyFont="1" applyFill="1" applyBorder="1" applyAlignment="1">
      <alignment horizontal="right"/>
    </xf>
    <xf numFmtId="0" fontId="18" fillId="8" borderId="7" xfId="0" applyFont="1" applyFill="1" applyBorder="1" applyAlignment="1">
      <alignment horizontal="center" wrapText="1"/>
    </xf>
    <xf numFmtId="0" fontId="18" fillId="8" borderId="8" xfId="0" applyFont="1" applyFill="1" applyBorder="1" applyAlignment="1">
      <alignment horizontal="right"/>
    </xf>
    <xf numFmtId="0" fontId="18" fillId="8" borderId="3" xfId="0" applyFont="1" applyFill="1" applyBorder="1" applyAlignment="1">
      <alignment horizontal="right" vertical="top"/>
    </xf>
    <xf numFmtId="0" fontId="18" fillId="8" borderId="0" xfId="0" applyFont="1" applyFill="1" applyAlignment="1">
      <alignment horizontal="right" vertical="top"/>
    </xf>
    <xf numFmtId="0" fontId="18" fillId="8" borderId="2" xfId="0" applyFont="1" applyFill="1" applyBorder="1" applyAlignment="1">
      <alignment horizontal="center" wrapText="1"/>
    </xf>
    <xf numFmtId="169" fontId="18" fillId="8" borderId="18" xfId="0" applyNumberFormat="1" applyFont="1" applyFill="1" applyBorder="1" applyAlignment="1">
      <alignment horizontal="right"/>
    </xf>
    <xf numFmtId="164" fontId="18" fillId="8" borderId="4" xfId="2" applyFont="1" applyFill="1" applyBorder="1"/>
    <xf numFmtId="164" fontId="18" fillId="8" borderId="0" xfId="2" applyFont="1" applyFill="1" applyBorder="1"/>
    <xf numFmtId="169" fontId="18" fillId="8" borderId="0" xfId="1" applyNumberFormat="1" applyFont="1" applyFill="1" applyBorder="1"/>
    <xf numFmtId="164" fontId="18" fillId="8" borderId="0" xfId="2" applyFont="1" applyFill="1" applyBorder="1" applyAlignment="1">
      <alignment horizontal="right"/>
    </xf>
    <xf numFmtId="164" fontId="17" fillId="8" borderId="7" xfId="2" applyFont="1" applyFill="1" applyBorder="1" applyAlignment="1">
      <alignment horizontal="right"/>
    </xf>
    <xf numFmtId="164" fontId="18" fillId="8" borderId="18" xfId="2" applyFont="1" applyFill="1" applyBorder="1"/>
    <xf numFmtId="164" fontId="18" fillId="8" borderId="4" xfId="2" applyFont="1" applyFill="1" applyBorder="1" applyAlignment="1">
      <alignment horizontal="right"/>
    </xf>
    <xf numFmtId="164" fontId="17" fillId="8" borderId="0" xfId="2" applyFont="1" applyFill="1" applyBorder="1" applyAlignment="1">
      <alignment horizontal="right"/>
    </xf>
    <xf numFmtId="169" fontId="39" fillId="8" borderId="0" xfId="1" applyNumberFormat="1" applyFont="1" applyFill="1" applyBorder="1" applyAlignment="1">
      <alignment horizontal="center"/>
    </xf>
    <xf numFmtId="169" fontId="17" fillId="8" borderId="0" xfId="1" applyNumberFormat="1" applyFont="1" applyFill="1" applyBorder="1"/>
    <xf numFmtId="169" fontId="17" fillId="8" borderId="4" xfId="1" applyNumberFormat="1" applyFont="1" applyFill="1" applyBorder="1"/>
    <xf numFmtId="164" fontId="17" fillId="8" borderId="0" xfId="2" applyFont="1" applyFill="1" applyBorder="1"/>
    <xf numFmtId="164" fontId="17" fillId="8" borderId="7" xfId="2" applyFont="1" applyFill="1" applyBorder="1"/>
    <xf numFmtId="1" fontId="17" fillId="8" borderId="0" xfId="0" applyNumberFormat="1" applyFont="1" applyFill="1" applyAlignment="1">
      <alignment horizontal="right" vertical="center"/>
    </xf>
    <xf numFmtId="1" fontId="17" fillId="8" borderId="0" xfId="0" applyNumberFormat="1" applyFont="1" applyFill="1"/>
    <xf numFmtId="1" fontId="17" fillId="8" borderId="0" xfId="0" applyNumberFormat="1" applyFont="1" applyFill="1" applyAlignment="1">
      <alignment horizontal="right"/>
    </xf>
    <xf numFmtId="164" fontId="17" fillId="8" borderId="4" xfId="2" applyFont="1" applyFill="1" applyBorder="1"/>
    <xf numFmtId="164" fontId="18" fillId="8" borderId="0" xfId="2" applyFont="1" applyFill="1" applyBorder="1" applyAlignment="1">
      <alignment horizontal="right" wrapText="1"/>
    </xf>
    <xf numFmtId="164" fontId="18" fillId="8" borderId="7" xfId="2" applyFont="1" applyFill="1" applyBorder="1" applyAlignment="1">
      <alignment horizontal="right"/>
    </xf>
    <xf numFmtId="169" fontId="24" fillId="8" borderId="0" xfId="1" applyNumberFormat="1" applyFont="1" applyFill="1" applyBorder="1" applyAlignment="1">
      <alignment horizontal="right"/>
    </xf>
    <xf numFmtId="169" fontId="24" fillId="8" borderId="7" xfId="1" applyNumberFormat="1" applyFont="1" applyFill="1" applyBorder="1" applyAlignment="1"/>
    <xf numFmtId="0" fontId="25" fillId="8" borderId="0" xfId="0" applyFont="1" applyFill="1"/>
    <xf numFmtId="0" fontId="18" fillId="8" borderId="9" xfId="0" applyFont="1" applyFill="1" applyBorder="1" applyAlignment="1">
      <alignment horizontal="center"/>
    </xf>
    <xf numFmtId="0" fontId="18" fillId="8" borderId="0" xfId="0" applyFont="1" applyFill="1" applyAlignment="1">
      <alignment horizontal="left" vertical="top"/>
    </xf>
    <xf numFmtId="169" fontId="18" fillId="8" borderId="0" xfId="1" applyNumberFormat="1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left" vertical="center"/>
    </xf>
    <xf numFmtId="0" fontId="18" fillId="8" borderId="3" xfId="0" applyFont="1" applyFill="1" applyBorder="1" applyAlignment="1">
      <alignment horizontal="center" wrapText="1"/>
    </xf>
    <xf numFmtId="169" fontId="17" fillId="8" borderId="0" xfId="1" applyNumberFormat="1" applyFont="1" applyFill="1" applyBorder="1" applyAlignment="1">
      <alignment horizontal="center"/>
    </xf>
    <xf numFmtId="169" fontId="17" fillId="8" borderId="7" xfId="1" applyNumberFormat="1" applyFont="1" applyFill="1" applyBorder="1"/>
    <xf numFmtId="169" fontId="18" fillId="0" borderId="14" xfId="0" applyNumberFormat="1" applyFont="1" applyBorder="1" applyAlignment="1">
      <alignment horizontal="right"/>
    </xf>
    <xf numFmtId="0" fontId="35" fillId="8" borderId="0" xfId="0" applyFont="1" applyFill="1"/>
    <xf numFmtId="3" fontId="17" fillId="8" borderId="4" xfId="0" applyNumberFormat="1" applyFont="1" applyFill="1" applyBorder="1" applyAlignment="1">
      <alignment horizontal="right"/>
    </xf>
    <xf numFmtId="3" fontId="17" fillId="8" borderId="0" xfId="0" applyNumberFormat="1" applyFont="1" applyFill="1" applyAlignment="1">
      <alignment horizontal="right"/>
    </xf>
    <xf numFmtId="3" fontId="17" fillId="8" borderId="7" xfId="0" applyNumberFormat="1" applyFont="1" applyFill="1" applyBorder="1" applyAlignment="1">
      <alignment horizontal="right"/>
    </xf>
    <xf numFmtId="0" fontId="19" fillId="8" borderId="7" xfId="0" applyFont="1" applyFill="1" applyBorder="1"/>
    <xf numFmtId="0" fontId="19" fillId="8" borderId="0" xfId="0" applyFont="1" applyFill="1"/>
    <xf numFmtId="0" fontId="36" fillId="8" borderId="7" xfId="0" applyFont="1" applyFill="1" applyBorder="1"/>
    <xf numFmtId="0" fontId="40" fillId="8" borderId="7" xfId="0" applyFont="1" applyFill="1" applyBorder="1"/>
    <xf numFmtId="0" fontId="35" fillId="8" borderId="7" xfId="0" applyFont="1" applyFill="1" applyBorder="1"/>
    <xf numFmtId="0" fontId="13" fillId="8" borderId="0" xfId="0" applyFont="1" applyFill="1"/>
    <xf numFmtId="0" fontId="18" fillId="0" borderId="0" xfId="0" applyFont="1" applyAlignment="1">
      <alignment horizontal="center" vertical="top"/>
    </xf>
    <xf numFmtId="169" fontId="13" fillId="5" borderId="0" xfId="8" applyNumberFormat="1" applyFont="1" applyFill="1" applyAlignment="1">
      <alignment horizontal="right" indent="1"/>
    </xf>
    <xf numFmtId="171" fontId="97" fillId="0" borderId="7" xfId="8" applyNumberFormat="1" applyFont="1" applyBorder="1"/>
    <xf numFmtId="168" fontId="18" fillId="8" borderId="0" xfId="0" applyNumberFormat="1" applyFont="1" applyFill="1" applyAlignment="1">
      <alignment horizontal="right"/>
    </xf>
    <xf numFmtId="168" fontId="18" fillId="8" borderId="0" xfId="0" applyNumberFormat="1" applyFont="1" applyFill="1" applyAlignment="1">
      <alignment horizontal="left" vertical="center"/>
    </xf>
    <xf numFmtId="169" fontId="35" fillId="8" borderId="0" xfId="4" applyNumberFormat="1" applyFont="1" applyFill="1" applyAlignment="1">
      <alignment horizontal="left" wrapText="1"/>
    </xf>
    <xf numFmtId="177" fontId="101" fillId="4" borderId="0" xfId="19" applyNumberFormat="1" applyFont="1" applyFill="1" applyAlignment="1">
      <alignment horizontal="right"/>
    </xf>
    <xf numFmtId="171" fontId="10" fillId="0" borderId="24" xfId="0" applyNumberFormat="1" applyFont="1" applyBorder="1"/>
    <xf numFmtId="169" fontId="18" fillId="0" borderId="4" xfId="1" applyNumberFormat="1" applyFont="1" applyFill="1" applyBorder="1" applyAlignment="1">
      <alignment horizontal="left" indent="1"/>
    </xf>
    <xf numFmtId="0" fontId="18" fillId="0" borderId="1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9" fontId="17" fillId="0" borderId="2" xfId="1" applyNumberFormat="1" applyFont="1" applyFill="1" applyBorder="1"/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168" fontId="99" fillId="0" borderId="0" xfId="1" applyNumberFormat="1" applyFont="1"/>
    <xf numFmtId="0" fontId="79" fillId="0" borderId="17" xfId="0" applyFont="1" applyBorder="1"/>
    <xf numFmtId="0" fontId="0" fillId="0" borderId="17" xfId="0" applyBorder="1"/>
    <xf numFmtId="169" fontId="128" fillId="8" borderId="7" xfId="0" applyNumberFormat="1" applyFont="1" applyFill="1" applyBorder="1"/>
    <xf numFmtId="169" fontId="18" fillId="8" borderId="2" xfId="0" applyNumberFormat="1" applyFont="1" applyFill="1" applyBorder="1" applyAlignment="1">
      <alignment horizontal="left" indent="4"/>
    </xf>
    <xf numFmtId="169" fontId="18" fillId="8" borderId="7" xfId="0" applyNumberFormat="1" applyFont="1" applyFill="1" applyBorder="1" applyAlignment="1">
      <alignment horizontal="left" indent="4"/>
    </xf>
    <xf numFmtId="169" fontId="0" fillId="0" borderId="24" xfId="1" applyNumberFormat="1" applyFont="1" applyBorder="1"/>
    <xf numFmtId="169" fontId="0" fillId="0" borderId="24" xfId="0" applyNumberFormat="1" applyBorder="1"/>
    <xf numFmtId="169" fontId="18" fillId="8" borderId="0" xfId="0" applyNumberFormat="1" applyFont="1" applyFill="1" applyAlignment="1">
      <alignment horizontal="left" indent="4"/>
    </xf>
    <xf numFmtId="169" fontId="18" fillId="0" borderId="16" xfId="0" applyNumberFormat="1" applyFont="1" applyBorder="1" applyAlignment="1">
      <alignment horizontal="right"/>
    </xf>
    <xf numFmtId="168" fontId="18" fillId="8" borderId="3" xfId="1" applyNumberFormat="1" applyFont="1" applyFill="1" applyBorder="1" applyAlignment="1">
      <alignment horizontal="right"/>
    </xf>
    <xf numFmtId="0" fontId="129" fillId="0" borderId="24" xfId="0" applyFont="1" applyBorder="1"/>
    <xf numFmtId="171" fontId="31" fillId="0" borderId="0" xfId="6" applyNumberFormat="1" applyFont="1" applyFill="1"/>
    <xf numFmtId="168" fontId="17" fillId="8" borderId="3" xfId="0" applyNumberFormat="1" applyFont="1" applyFill="1" applyBorder="1" applyAlignment="1">
      <alignment horizontal="left" indent="8"/>
    </xf>
    <xf numFmtId="168" fontId="17" fillId="8" borderId="0" xfId="1" applyNumberFormat="1" applyFont="1" applyFill="1" applyAlignment="1">
      <alignment horizontal="left" indent="9"/>
    </xf>
    <xf numFmtId="169" fontId="18" fillId="8" borderId="3" xfId="1" applyNumberFormat="1" applyFont="1" applyFill="1" applyBorder="1" applyAlignment="1">
      <alignment horizontal="right"/>
    </xf>
    <xf numFmtId="169" fontId="35" fillId="8" borderId="3" xfId="4" applyNumberFormat="1" applyFont="1" applyFill="1" applyBorder="1" applyAlignment="1">
      <alignment horizontal="right" wrapText="1"/>
    </xf>
    <xf numFmtId="166" fontId="15" fillId="0" borderId="0" xfId="0" applyNumberFormat="1" applyFont="1"/>
    <xf numFmtId="168" fontId="17" fillId="8" borderId="0" xfId="0" applyNumberFormat="1" applyFont="1" applyFill="1" applyAlignment="1">
      <alignment horizontal="left" indent="8"/>
    </xf>
    <xf numFmtId="169" fontId="18" fillId="0" borderId="7" xfId="0" applyNumberFormat="1" applyFont="1" applyBorder="1" applyAlignment="1">
      <alignment horizontal="center" wrapText="1"/>
    </xf>
    <xf numFmtId="169" fontId="53" fillId="0" borderId="18" xfId="0" applyNumberFormat="1" applyFont="1" applyBorder="1" applyAlignment="1">
      <alignment horizontal="center" vertical="center"/>
    </xf>
    <xf numFmtId="169" fontId="53" fillId="0" borderId="16" xfId="0" applyNumberFormat="1" applyFont="1" applyBorder="1" applyAlignment="1">
      <alignment horizontal="center" vertical="center"/>
    </xf>
    <xf numFmtId="169" fontId="18" fillId="0" borderId="3" xfId="0" applyNumberFormat="1" applyFont="1" applyBorder="1" applyAlignment="1">
      <alignment horizontal="right"/>
    </xf>
    <xf numFmtId="169" fontId="18" fillId="8" borderId="4" xfId="1" applyNumberFormat="1" applyFont="1" applyFill="1" applyBorder="1" applyAlignment="1">
      <alignment horizontal="left"/>
    </xf>
    <xf numFmtId="169" fontId="18" fillId="8" borderId="4" xfId="1" applyNumberFormat="1" applyFont="1" applyFill="1" applyBorder="1" applyAlignment="1">
      <alignment horizontal="left" vertical="top" indent="4"/>
    </xf>
    <xf numFmtId="169" fontId="18" fillId="8" borderId="4" xfId="0" applyNumberFormat="1" applyFont="1" applyFill="1" applyBorder="1" applyAlignment="1">
      <alignment horizontal="left"/>
    </xf>
    <xf numFmtId="169" fontId="11" fillId="0" borderId="7" xfId="0" applyNumberFormat="1" applyFont="1" applyBorder="1"/>
    <xf numFmtId="169" fontId="18" fillId="0" borderId="7" xfId="0" applyNumberFormat="1" applyFont="1" applyBorder="1" applyAlignment="1">
      <alignment horizontal="center"/>
    </xf>
    <xf numFmtId="169" fontId="18" fillId="8" borderId="7" xfId="1" applyNumberFormat="1" applyFont="1" applyFill="1" applyBorder="1" applyAlignment="1">
      <alignment horizontal="left" vertical="top" indent="4"/>
    </xf>
    <xf numFmtId="169" fontId="18" fillId="8" borderId="4" xfId="1" applyNumberFormat="1" applyFont="1" applyFill="1" applyBorder="1" applyAlignment="1">
      <alignment horizontal="right" indent="1"/>
    </xf>
    <xf numFmtId="169" fontId="18" fillId="8" borderId="4" xfId="1" applyNumberFormat="1" applyFont="1" applyFill="1" applyBorder="1" applyAlignment="1">
      <alignment horizontal="center"/>
    </xf>
    <xf numFmtId="169" fontId="18" fillId="8" borderId="4" xfId="0" applyNumberFormat="1" applyFont="1" applyFill="1" applyBorder="1" applyAlignment="1">
      <alignment horizontal="center"/>
    </xf>
    <xf numFmtId="169" fontId="18" fillId="8" borderId="3" xfId="0" applyNumberFormat="1" applyFont="1" applyFill="1" applyBorder="1" applyAlignment="1">
      <alignment horizontal="right"/>
    </xf>
    <xf numFmtId="168" fontId="17" fillId="8" borderId="0" xfId="0" applyNumberFormat="1" applyFont="1" applyFill="1" applyAlignment="1">
      <alignment horizontal="left" indent="9"/>
    </xf>
    <xf numFmtId="0" fontId="18" fillId="8" borderId="2" xfId="0" applyFont="1" applyFill="1" applyBorder="1"/>
    <xf numFmtId="170" fontId="18" fillId="8" borderId="2" xfId="1" applyNumberFormat="1" applyFont="1" applyFill="1" applyBorder="1" applyAlignment="1"/>
    <xf numFmtId="0" fontId="18" fillId="8" borderId="2" xfId="0" applyFont="1" applyFill="1" applyBorder="1" applyAlignment="1">
      <alignment horizontal="left"/>
    </xf>
    <xf numFmtId="169" fontId="18" fillId="8" borderId="7" xfId="0" applyNumberFormat="1" applyFont="1" applyFill="1" applyBorder="1" applyAlignment="1">
      <alignment horizontal="center" vertical="center"/>
    </xf>
    <xf numFmtId="3" fontId="13" fillId="0" borderId="18" xfId="0" applyNumberFormat="1" applyFont="1" applyBorder="1"/>
    <xf numFmtId="3" fontId="13" fillId="0" borderId="14" xfId="0" applyNumberFormat="1" applyFont="1" applyBorder="1"/>
    <xf numFmtId="169" fontId="18" fillId="8" borderId="4" xfId="0" applyNumberFormat="1" applyFont="1" applyFill="1" applyBorder="1" applyAlignment="1">
      <alignment horizontal="right" indent="1"/>
    </xf>
    <xf numFmtId="169" fontId="18" fillId="8" borderId="3" xfId="0" applyNumberFormat="1" applyFont="1" applyFill="1" applyBorder="1" applyAlignment="1">
      <alignment horizontal="right" indent="1"/>
    </xf>
    <xf numFmtId="169" fontId="18" fillId="8" borderId="2" xfId="0" applyNumberFormat="1" applyFont="1" applyFill="1" applyBorder="1" applyAlignment="1">
      <alignment horizontal="right"/>
    </xf>
    <xf numFmtId="169" fontId="18" fillId="8" borderId="8" xfId="0" applyNumberFormat="1" applyFont="1" applyFill="1" applyBorder="1"/>
    <xf numFmtId="169" fontId="17" fillId="8" borderId="2" xfId="1" applyNumberFormat="1" applyFont="1" applyFill="1" applyBorder="1" applyAlignment="1"/>
    <xf numFmtId="169" fontId="18" fillId="8" borderId="0" xfId="1" applyNumberFormat="1" applyFont="1" applyFill="1" applyBorder="1" applyAlignment="1">
      <alignment horizontal="left" indent="4"/>
    </xf>
    <xf numFmtId="169" fontId="123" fillId="0" borderId="24" xfId="0" applyNumberFormat="1" applyFont="1" applyBorder="1"/>
    <xf numFmtId="1" fontId="123" fillId="0" borderId="24" xfId="0" applyNumberFormat="1" applyFont="1" applyBorder="1" applyAlignment="1">
      <alignment horizontal="right" vertical="center"/>
    </xf>
    <xf numFmtId="165" fontId="15" fillId="0" borderId="24" xfId="0" applyNumberFormat="1" applyFont="1" applyBorder="1"/>
    <xf numFmtId="9" fontId="0" fillId="0" borderId="24" xfId="0" applyNumberFormat="1" applyBorder="1"/>
    <xf numFmtId="174" fontId="0" fillId="0" borderId="24" xfId="0" applyNumberFormat="1" applyBorder="1"/>
    <xf numFmtId="0" fontId="130" fillId="12" borderId="24" xfId="22" applyFont="1" applyFill="1" applyBorder="1" applyAlignment="1">
      <alignment horizontal="center" vertical="center" wrapText="1"/>
    </xf>
    <xf numFmtId="0" fontId="1" fillId="0" borderId="0" xfId="22"/>
    <xf numFmtId="0" fontId="10" fillId="0" borderId="24" xfId="22" applyFont="1" applyBorder="1" applyAlignment="1">
      <alignment horizontal="left" vertical="center"/>
    </xf>
    <xf numFmtId="0" fontId="10" fillId="0" borderId="24" xfId="22" applyFont="1" applyBorder="1" applyAlignment="1">
      <alignment horizontal="center" vertical="center"/>
    </xf>
    <xf numFmtId="0" fontId="10" fillId="0" borderId="24" xfId="22" applyFont="1" applyBorder="1" applyAlignment="1">
      <alignment horizontal="right" vertical="center"/>
    </xf>
    <xf numFmtId="0" fontId="10" fillId="13" borderId="24" xfId="22" applyFont="1" applyFill="1" applyBorder="1" applyAlignment="1">
      <alignment horizontal="left" vertical="center"/>
    </xf>
    <xf numFmtId="0" fontId="10" fillId="13" borderId="24" xfId="22" applyFont="1" applyFill="1" applyBorder="1" applyAlignment="1">
      <alignment horizontal="center" vertical="center"/>
    </xf>
    <xf numFmtId="0" fontId="10" fillId="13" borderId="24" xfId="22" applyFont="1" applyFill="1" applyBorder="1" applyAlignment="1">
      <alignment horizontal="right" vertical="center"/>
    </xf>
    <xf numFmtId="0" fontId="14" fillId="0" borderId="0" xfId="0" applyFont="1" applyAlignment="1">
      <alignment horizontal="left"/>
    </xf>
    <xf numFmtId="169" fontId="18" fillId="0" borderId="0" xfId="0" applyNumberFormat="1" applyFont="1" applyAlignment="1">
      <alignment horizontal="center" wrapText="1"/>
    </xf>
    <xf numFmtId="169" fontId="18" fillId="0" borderId="19" xfId="0" applyNumberFormat="1" applyFont="1" applyBorder="1" applyAlignment="1">
      <alignment horizontal="center" vertical="center"/>
    </xf>
    <xf numFmtId="169" fontId="53" fillId="0" borderId="14" xfId="0" applyNumberFormat="1" applyFont="1" applyBorder="1" applyAlignment="1">
      <alignment horizontal="center" vertical="center"/>
    </xf>
    <xf numFmtId="169" fontId="53" fillId="0" borderId="18" xfId="0" applyNumberFormat="1" applyFont="1" applyBorder="1" applyAlignment="1">
      <alignment horizontal="center" vertical="center"/>
    </xf>
    <xf numFmtId="169" fontId="53" fillId="0" borderId="16" xfId="0" applyNumberFormat="1" applyFont="1" applyBorder="1" applyAlignment="1">
      <alignment horizontal="center" vertical="center"/>
    </xf>
    <xf numFmtId="169" fontId="53" fillId="0" borderId="0" xfId="0" applyNumberFormat="1" applyFont="1" applyAlignment="1">
      <alignment horizontal="center" vertical="center"/>
    </xf>
    <xf numFmtId="169" fontId="53" fillId="0" borderId="7" xfId="0" applyNumberFormat="1" applyFont="1" applyBorder="1" applyAlignment="1">
      <alignment horizontal="center" vertical="center"/>
    </xf>
    <xf numFmtId="169" fontId="18" fillId="0" borderId="23" xfId="0" applyNumberFormat="1" applyFont="1" applyBorder="1" applyAlignment="1">
      <alignment horizontal="center" vertical="center"/>
    </xf>
    <xf numFmtId="169" fontId="53" fillId="0" borderId="4" xfId="0" applyNumberFormat="1" applyFont="1" applyBorder="1" applyAlignment="1">
      <alignment horizontal="center" vertical="center"/>
    </xf>
    <xf numFmtId="0" fontId="96" fillId="8" borderId="14" xfId="0" applyFont="1" applyFill="1" applyBorder="1" applyAlignment="1">
      <alignment horizontal="center" vertical="center"/>
    </xf>
    <xf numFmtId="0" fontId="96" fillId="8" borderId="18" xfId="0" applyFont="1" applyFill="1" applyBorder="1" applyAlignment="1">
      <alignment horizontal="center" vertical="center"/>
    </xf>
    <xf numFmtId="0" fontId="96" fillId="8" borderId="16" xfId="0" applyFont="1" applyFill="1" applyBorder="1" applyAlignment="1">
      <alignment horizontal="center" vertical="center"/>
    </xf>
    <xf numFmtId="0" fontId="96" fillId="8" borderId="4" xfId="0" applyFont="1" applyFill="1" applyBorder="1" applyAlignment="1">
      <alignment horizontal="center" vertical="center"/>
    </xf>
    <xf numFmtId="0" fontId="96" fillId="8" borderId="0" xfId="0" applyFont="1" applyFill="1" applyAlignment="1">
      <alignment horizontal="center" vertical="center"/>
    </xf>
    <xf numFmtId="0" fontId="96" fillId="8" borderId="7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8" borderId="4" xfId="0" applyFont="1" applyFill="1" applyBorder="1" applyAlignment="1">
      <alignment horizontal="right"/>
    </xf>
    <xf numFmtId="0" fontId="18" fillId="8" borderId="0" xfId="0" applyFont="1" applyFill="1" applyAlignment="1">
      <alignment horizontal="right" wrapText="1"/>
    </xf>
    <xf numFmtId="0" fontId="18" fillId="8" borderId="3" xfId="0" applyFont="1" applyFill="1" applyBorder="1" applyAlignment="1">
      <alignment horizontal="right" wrapText="1"/>
    </xf>
    <xf numFmtId="0" fontId="18" fillId="8" borderId="0" xfId="0" applyFont="1" applyFill="1" applyAlignment="1">
      <alignment horizontal="center" wrapText="1"/>
    </xf>
    <xf numFmtId="0" fontId="18" fillId="8" borderId="3" xfId="0" applyFont="1" applyFill="1" applyBorder="1" applyAlignment="1">
      <alignment horizontal="center" wrapText="1"/>
    </xf>
    <xf numFmtId="0" fontId="31" fillId="6" borderId="0" xfId="0" applyFont="1" applyFill="1" applyAlignment="1">
      <alignment horizontal="left"/>
    </xf>
    <xf numFmtId="0" fontId="18" fillId="6" borderId="0" xfId="0" applyFont="1" applyFill="1" applyAlignment="1">
      <alignment horizontal="left"/>
    </xf>
    <xf numFmtId="0" fontId="18" fillId="0" borderId="18" xfId="0" applyFont="1" applyBorder="1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14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169" fontId="18" fillId="0" borderId="16" xfId="0" applyNumberFormat="1" applyFont="1" applyBorder="1" applyAlignment="1">
      <alignment vertical="center"/>
    </xf>
    <xf numFmtId="169" fontId="18" fillId="0" borderId="2" xfId="0" applyNumberFormat="1" applyFont="1" applyBorder="1" applyAlignment="1">
      <alignment vertical="center"/>
    </xf>
    <xf numFmtId="169" fontId="18" fillId="0" borderId="16" xfId="0" applyNumberFormat="1" applyFont="1" applyBorder="1" applyAlignment="1">
      <alignment horizontal="center" vertical="center"/>
    </xf>
    <xf numFmtId="169" fontId="18" fillId="0" borderId="2" xfId="0" applyNumberFormat="1" applyFont="1" applyBorder="1" applyAlignment="1">
      <alignment horizontal="center" vertical="center"/>
    </xf>
    <xf numFmtId="169" fontId="18" fillId="0" borderId="14" xfId="0" applyNumberFormat="1" applyFont="1" applyBorder="1" applyAlignment="1">
      <alignment horizontal="left" vertical="center"/>
    </xf>
    <xf numFmtId="169" fontId="18" fillId="0" borderId="8" xfId="0" applyNumberFormat="1" applyFont="1" applyBorder="1" applyAlignment="1">
      <alignment horizontal="left" vertical="center"/>
    </xf>
    <xf numFmtId="169" fontId="18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18" fillId="0" borderId="9" xfId="0" applyNumberFormat="1" applyFont="1" applyBorder="1" applyAlignment="1">
      <alignment horizontal="center" vertical="center"/>
    </xf>
    <xf numFmtId="169" fontId="18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18" fillId="0" borderId="4" xfId="0" applyNumberFormat="1" applyFont="1" applyBorder="1" applyAlignment="1">
      <alignment horizontal="left" vertical="center"/>
    </xf>
    <xf numFmtId="0" fontId="18" fillId="0" borderId="8" xfId="0" applyFont="1" applyBorder="1" applyAlignment="1">
      <alignment vertical="center"/>
    </xf>
    <xf numFmtId="169" fontId="18" fillId="0" borderId="7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169" fontId="18" fillId="0" borderId="15" xfId="0" applyNumberFormat="1" applyFont="1" applyBorder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9" fontId="18" fillId="0" borderId="7" xfId="0" applyNumberFormat="1" applyFont="1" applyBorder="1" applyAlignment="1">
      <alignment vertical="center"/>
    </xf>
    <xf numFmtId="169" fontId="18" fillId="0" borderId="4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69" fontId="18" fillId="0" borderId="18" xfId="0" applyNumberFormat="1" applyFont="1" applyBorder="1" applyAlignment="1">
      <alignment horizontal="center" vertical="center" wrapText="1"/>
    </xf>
    <xf numFmtId="169" fontId="18" fillId="0" borderId="3" xfId="0" applyNumberFormat="1" applyFont="1" applyBorder="1" applyAlignment="1">
      <alignment horizontal="center" vertical="center" wrapText="1"/>
    </xf>
    <xf numFmtId="169" fontId="18" fillId="0" borderId="18" xfId="0" applyNumberFormat="1" applyFont="1" applyBorder="1" applyAlignment="1">
      <alignment horizontal="center" vertical="center"/>
    </xf>
    <xf numFmtId="169" fontId="18" fillId="0" borderId="3" xfId="0" applyNumberFormat="1" applyFont="1" applyBorder="1" applyAlignment="1">
      <alignment horizontal="center" vertical="center"/>
    </xf>
    <xf numFmtId="169" fontId="18" fillId="0" borderId="1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9" fontId="18" fillId="0" borderId="13" xfId="0" applyNumberFormat="1" applyFont="1" applyBorder="1" applyAlignment="1">
      <alignment horizontal="center" vertical="center"/>
    </xf>
    <xf numFmtId="169" fontId="18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1" fillId="0" borderId="11" xfId="0" applyFont="1" applyBorder="1" applyAlignment="1">
      <alignment horizontal="center"/>
    </xf>
    <xf numFmtId="0" fontId="71" fillId="0" borderId="10" xfId="0" applyFont="1" applyBorder="1" applyAlignment="1">
      <alignment horizontal="center"/>
    </xf>
    <xf numFmtId="169" fontId="18" fillId="8" borderId="16" xfId="0" applyNumberFormat="1" applyFont="1" applyFill="1" applyBorder="1" applyAlignment="1">
      <alignment vertical="center"/>
    </xf>
    <xf numFmtId="169" fontId="18" fillId="8" borderId="2" xfId="0" applyNumberFormat="1" applyFont="1" applyFill="1" applyBorder="1" applyAlignment="1">
      <alignment vertical="center"/>
    </xf>
    <xf numFmtId="169" fontId="18" fillId="8" borderId="14" xfId="0" applyNumberFormat="1" applyFont="1" applyFill="1" applyBorder="1" applyAlignment="1">
      <alignment horizontal="center" vertical="center"/>
    </xf>
    <xf numFmtId="169" fontId="18" fillId="8" borderId="8" xfId="0" applyNumberFormat="1" applyFont="1" applyFill="1" applyBorder="1" applyAlignment="1">
      <alignment horizontal="center" vertical="center"/>
    </xf>
    <xf numFmtId="169" fontId="18" fillId="8" borderId="18" xfId="0" applyNumberFormat="1" applyFont="1" applyFill="1" applyBorder="1" applyAlignment="1">
      <alignment horizontal="center" vertical="center"/>
    </xf>
    <xf numFmtId="169" fontId="18" fillId="8" borderId="3" xfId="0" applyNumberFormat="1" applyFont="1" applyFill="1" applyBorder="1" applyAlignment="1">
      <alignment horizontal="center" vertical="center"/>
    </xf>
    <xf numFmtId="169" fontId="18" fillId="8" borderId="14" xfId="0" applyNumberFormat="1" applyFont="1" applyFill="1" applyBorder="1" applyAlignment="1">
      <alignment horizontal="center" vertical="center" wrapText="1"/>
    </xf>
    <xf numFmtId="169" fontId="18" fillId="8" borderId="18" xfId="0" applyNumberFormat="1" applyFont="1" applyFill="1" applyBorder="1" applyAlignment="1">
      <alignment horizontal="center" vertical="center" wrapText="1"/>
    </xf>
    <xf numFmtId="169" fontId="18" fillId="8" borderId="3" xfId="0" applyNumberFormat="1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169" fontId="18" fillId="8" borderId="14" xfId="0" applyNumberFormat="1" applyFont="1" applyFill="1" applyBorder="1" applyAlignment="1">
      <alignment horizontal="left" vertical="center"/>
    </xf>
    <xf numFmtId="169" fontId="18" fillId="8" borderId="8" xfId="0" applyNumberFormat="1" applyFont="1" applyFill="1" applyBorder="1" applyAlignment="1">
      <alignment horizontal="left" vertical="center"/>
    </xf>
    <xf numFmtId="169" fontId="18" fillId="8" borderId="13" xfId="0" applyNumberFormat="1" applyFont="1" applyFill="1" applyBorder="1" applyAlignment="1">
      <alignment horizontal="center" vertical="center"/>
    </xf>
    <xf numFmtId="169" fontId="18" fillId="8" borderId="9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71" fillId="8" borderId="11" xfId="0" applyFont="1" applyFill="1" applyBorder="1" applyAlignment="1">
      <alignment horizontal="center"/>
    </xf>
    <xf numFmtId="0" fontId="71" fillId="8" borderId="10" xfId="0" applyFont="1" applyFill="1" applyBorder="1" applyAlignment="1">
      <alignment horizontal="center"/>
    </xf>
    <xf numFmtId="0" fontId="71" fillId="8" borderId="0" xfId="0" applyFont="1" applyFill="1" applyAlignment="1">
      <alignment horizontal="center" wrapText="1"/>
    </xf>
    <xf numFmtId="0" fontId="71" fillId="8" borderId="0" xfId="0" applyFont="1" applyFill="1" applyAlignment="1">
      <alignment horizontal="center"/>
    </xf>
    <xf numFmtId="0" fontId="71" fillId="8" borderId="13" xfId="0" applyFont="1" applyFill="1" applyBorder="1" applyAlignment="1">
      <alignment horizontal="center"/>
    </xf>
    <xf numFmtId="0" fontId="71" fillId="8" borderId="9" xfId="0" applyFont="1" applyFill="1" applyBorder="1" applyAlignment="1">
      <alignment horizontal="center"/>
    </xf>
    <xf numFmtId="0" fontId="71" fillId="8" borderId="12" xfId="0" applyFont="1" applyFill="1" applyBorder="1" applyAlignment="1">
      <alignment horizontal="center"/>
    </xf>
    <xf numFmtId="0" fontId="71" fillId="8" borderId="0" xfId="0" applyFont="1" applyFill="1" applyAlignment="1">
      <alignment horizontal="center" vertical="center" wrapText="1"/>
    </xf>
    <xf numFmtId="169" fontId="20" fillId="5" borderId="14" xfId="8" applyNumberFormat="1" applyFont="1" applyFill="1" applyBorder="1" applyAlignment="1">
      <alignment horizontal="center" wrapText="1"/>
    </xf>
    <xf numFmtId="169" fontId="20" fillId="5" borderId="8" xfId="8" applyNumberFormat="1" applyFont="1" applyFill="1" applyBorder="1" applyAlignment="1">
      <alignment horizontal="center" wrapText="1"/>
    </xf>
    <xf numFmtId="169" fontId="20" fillId="5" borderId="16" xfId="8" applyNumberFormat="1" applyFont="1" applyFill="1" applyBorder="1" applyAlignment="1">
      <alignment horizontal="center"/>
    </xf>
    <xf numFmtId="169" fontId="20" fillId="5" borderId="2" xfId="8" applyNumberFormat="1" applyFont="1" applyFill="1" applyBorder="1" applyAlignment="1">
      <alignment horizontal="center"/>
    </xf>
    <xf numFmtId="0" fontId="108" fillId="8" borderId="16" xfId="12" applyFont="1" applyFill="1" applyBorder="1" applyAlignment="1">
      <alignment horizontal="center" vertical="center"/>
    </xf>
    <xf numFmtId="0" fontId="108" fillId="8" borderId="11" xfId="12" applyFont="1" applyFill="1" applyBorder="1" applyAlignment="1">
      <alignment horizontal="center" vertical="center"/>
    </xf>
    <xf numFmtId="0" fontId="108" fillId="8" borderId="14" xfId="12" applyFont="1" applyFill="1" applyBorder="1" applyAlignment="1">
      <alignment horizontal="center" vertical="center"/>
    </xf>
    <xf numFmtId="0" fontId="108" fillId="8" borderId="14" xfId="12" applyFont="1" applyFill="1" applyBorder="1" applyAlignment="1">
      <alignment horizontal="center" wrapText="1"/>
    </xf>
    <xf numFmtId="0" fontId="108" fillId="8" borderId="8" xfId="12" applyFont="1" applyFill="1" applyBorder="1" applyAlignment="1">
      <alignment horizontal="center" wrapText="1"/>
    </xf>
    <xf numFmtId="0" fontId="108" fillId="8" borderId="18" xfId="12" applyFont="1" applyFill="1" applyBorder="1" applyAlignment="1">
      <alignment horizontal="center" wrapText="1"/>
    </xf>
    <xf numFmtId="0" fontId="108" fillId="8" borderId="3" xfId="12" applyFont="1" applyFill="1" applyBorder="1" applyAlignment="1">
      <alignment horizontal="center" wrapText="1"/>
    </xf>
    <xf numFmtId="0" fontId="108" fillId="8" borderId="16" xfId="12" applyFont="1" applyFill="1" applyBorder="1" applyAlignment="1">
      <alignment horizontal="center"/>
    </xf>
    <xf numFmtId="0" fontId="108" fillId="8" borderId="2" xfId="12" applyFont="1" applyFill="1" applyBorder="1" applyAlignment="1">
      <alignment horizontal="center"/>
    </xf>
    <xf numFmtId="0" fontId="113" fillId="0" borderId="18" xfId="17" applyFont="1" applyBorder="1" applyAlignment="1">
      <alignment horizontal="center"/>
    </xf>
    <xf numFmtId="0" fontId="74" fillId="0" borderId="14" xfId="12" applyFont="1" applyBorder="1" applyAlignment="1">
      <alignment horizontal="center" vertical="center"/>
    </xf>
    <xf numFmtId="0" fontId="74" fillId="0" borderId="18" xfId="12" applyFont="1" applyBorder="1" applyAlignment="1">
      <alignment horizontal="center" vertical="center"/>
    </xf>
    <xf numFmtId="0" fontId="74" fillId="0" borderId="16" xfId="12" applyFont="1" applyBorder="1" applyAlignment="1">
      <alignment horizontal="center" vertical="center"/>
    </xf>
    <xf numFmtId="0" fontId="74" fillId="0" borderId="11" xfId="12" applyFont="1" applyBorder="1" applyAlignment="1">
      <alignment horizontal="center" vertical="center"/>
    </xf>
    <xf numFmtId="0" fontId="74" fillId="0" borderId="17" xfId="12" applyFont="1" applyBorder="1" applyAlignment="1">
      <alignment horizontal="center" vertical="center"/>
    </xf>
    <xf numFmtId="0" fontId="74" fillId="0" borderId="18" xfId="12" applyFont="1" applyBorder="1" applyAlignment="1">
      <alignment horizontal="center" vertical="center" wrapText="1"/>
    </xf>
    <xf numFmtId="0" fontId="74" fillId="0" borderId="3" xfId="12" applyFont="1" applyBorder="1" applyAlignment="1">
      <alignment horizontal="center" vertical="center" wrapText="1"/>
    </xf>
    <xf numFmtId="0" fontId="74" fillId="0" borderId="8" xfId="12" applyFont="1" applyBorder="1" applyAlignment="1">
      <alignment horizontal="center" vertical="center"/>
    </xf>
  </cellXfs>
  <cellStyles count="23">
    <cellStyle name="Comma" xfId="1" builtinId="3"/>
    <cellStyle name="Comma [0]" xfId="2" builtinId="6"/>
    <cellStyle name="Comma [0] 2" xfId="7" xr:uid="{00000000-0005-0000-0000-000002000000}"/>
    <cellStyle name="Comma 2" xfId="10" xr:uid="{00000000-0005-0000-0000-000003000000}"/>
    <cellStyle name="Comma 3" xfId="11" xr:uid="{00000000-0005-0000-0000-000004000000}"/>
    <cellStyle name="Comma 4" xfId="13" xr:uid="{00000000-0005-0000-0000-000005000000}"/>
    <cellStyle name="Comma 5" xfId="18" xr:uid="{00000000-0005-0000-0000-000006000000}"/>
    <cellStyle name="Currency" xfId="19" builtinId="4"/>
    <cellStyle name="Normal" xfId="0" builtinId="0"/>
    <cellStyle name="Normal 2" xfId="8" xr:uid="{00000000-0005-0000-0000-000008000000}"/>
    <cellStyle name="Normal 3" xfId="9" xr:uid="{00000000-0005-0000-0000-000009000000}"/>
    <cellStyle name="Normal 3 2" xfId="14" xr:uid="{00000000-0005-0000-0000-00000A000000}"/>
    <cellStyle name="Normal 4" xfId="12" xr:uid="{00000000-0005-0000-0000-00000B000000}"/>
    <cellStyle name="Normal 5" xfId="17" xr:uid="{00000000-0005-0000-0000-00000C000000}"/>
    <cellStyle name="Normal 6" xfId="20" xr:uid="{B6F46FA4-89D9-49FB-A1F8-1F9BBC34FB25}"/>
    <cellStyle name="Normal 7" xfId="21" xr:uid="{60EBA1CC-D113-451F-A7B2-66724EF8C6A4}"/>
    <cellStyle name="Normal 8" xfId="22" xr:uid="{9F356297-604A-465E-9066-1BD57AAFAA99}"/>
    <cellStyle name="Normal_MIGTAB4" xfId="3" xr:uid="{00000000-0005-0000-0000-00000D000000}"/>
    <cellStyle name="Normal_Sheet1_1" xfId="4" xr:uid="{00000000-0005-0000-0000-00000E000000}"/>
    <cellStyle name="Normal_Sheet3" xfId="5" xr:uid="{00000000-0005-0000-0000-00000F000000}"/>
    <cellStyle name="Normal_Tab 7. Visitors outer islands_1" xfId="15" xr:uid="{00000000-0005-0000-0000-000010000000}"/>
    <cellStyle name="Normal_Visitors by Province_1" xfId="16" xr:uid="{00000000-0005-0000-0000-000011000000}"/>
    <cellStyle name="Percent" xfId="6" builtinId="5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742222843522368E-2"/>
          <c:y val="0.12703319906240768"/>
          <c:w val="0.90108266003825155"/>
          <c:h val="0.67984163990674351"/>
        </c:manualLayout>
      </c:layout>
      <c:lineChart>
        <c:grouping val="standard"/>
        <c:varyColors val="0"/>
        <c:ser>
          <c:idx val="1"/>
          <c:order val="0"/>
          <c:tx>
            <c:strRef>
              <c:f>Charts!$D$4</c:f>
              <c:strCache>
                <c:ptCount val="1"/>
                <c:pt idx="0">
                  <c:v>Cruiseship Arrivals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8642222684595606E-2"/>
                  <c:y val="2.7054295340449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7-4DDC-8F40-DEFFD73BA88A}"/>
                </c:ext>
              </c:extLst>
            </c:dLbl>
            <c:dLbl>
              <c:idx val="1"/>
              <c:layout>
                <c:manualLayout>
                  <c:x val="-5.5430474826811828E-2"/>
                  <c:y val="2.9936090390935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53-48F2-BD05-2C5228093D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4A-4938-A559-75B35CC83C0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4A-4938-A559-75B35CC83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4A-4938-A559-75B35CC83C0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4A-4938-A559-75B35CC83C0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4A-4938-A559-75B35CC83C0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4A-4938-A559-75B35CC83C0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4A-4938-A559-75B35CC83C0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4A-4938-A559-75B35CC83C0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4A-4938-A559-75B35CC83C0D}"/>
                </c:ext>
              </c:extLst>
            </c:dLbl>
            <c:dLbl>
              <c:idx val="11"/>
              <c:layout>
                <c:manualLayout>
                  <c:x val="-1.640920858003354E-2"/>
                  <c:y val="1.70149122421149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C9-4D8F-B0F5-E518EEE7FC32}"/>
                </c:ext>
              </c:extLst>
            </c:dLbl>
            <c:dLbl>
              <c:idx val="12"/>
              <c:layout>
                <c:manualLayout>
                  <c:x val="-2.5130756339134596E-2"/>
                  <c:y val="-8.69104692878039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C7-4D35-BB32-BA5C819360BB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Charts!$A$153:$B$165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</c:lvl>
              </c:multiLvlStrCache>
            </c:multiLvlStrRef>
          </c:cat>
          <c:val>
            <c:numRef>
              <c:f>Charts!$D$153:$D$165</c:f>
              <c:numCache>
                <c:formatCode>_(* #,##0_);_(* \(#,##0\);_(* "-"??_);_(@_)</c:formatCode>
                <c:ptCount val="13"/>
                <c:pt idx="0">
                  <c:v>18535</c:v>
                </c:pt>
                <c:pt idx="1">
                  <c:v>3116</c:v>
                </c:pt>
                <c:pt idx="2">
                  <c:v>6739</c:v>
                </c:pt>
                <c:pt idx="3">
                  <c:v>14023</c:v>
                </c:pt>
                <c:pt idx="4">
                  <c:v>19059</c:v>
                </c:pt>
                <c:pt idx="5">
                  <c:v>6700</c:v>
                </c:pt>
                <c:pt idx="6">
                  <c:v>22012</c:v>
                </c:pt>
                <c:pt idx="7">
                  <c:v>16833</c:v>
                </c:pt>
                <c:pt idx="8">
                  <c:v>23254</c:v>
                </c:pt>
                <c:pt idx="9">
                  <c:v>40002</c:v>
                </c:pt>
                <c:pt idx="10">
                  <c:v>13677</c:v>
                </c:pt>
                <c:pt idx="11">
                  <c:v>28400</c:v>
                </c:pt>
                <c:pt idx="12">
                  <c:v>33730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4B3-4157-87BE-A05FFAF1D2CB}"/>
            </c:ext>
          </c:extLst>
        </c:ser>
        <c:ser>
          <c:idx val="0"/>
          <c:order val="1"/>
          <c:tx>
            <c:strRef>
              <c:f>Charts!$C$4</c:f>
              <c:strCache>
                <c:ptCount val="1"/>
                <c:pt idx="0">
                  <c:v>Visitor Arrivals by Air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4101343135883734E-2"/>
                  <c:y val="-2.9345092503385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22-4DC6-A5E5-01C4570734A6}"/>
                </c:ext>
              </c:extLst>
            </c:dLbl>
            <c:dLbl>
              <c:idx val="1"/>
              <c:layout>
                <c:manualLayout>
                  <c:x val="-2.7736101016889496E-2"/>
                  <c:y val="2.8889949797831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4A-4938-A559-75B35CC83C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4A-4938-A559-75B35CC83C0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4A-4938-A559-75B35CC83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64A-4938-A559-75B35CC83C0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64A-4938-A559-75B35CC83C0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64A-4938-A559-75B35CC83C0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64A-4938-A559-75B35CC83C0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64A-4938-A559-75B35CC83C0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64A-4938-A559-75B35CC83C0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64A-4938-A559-75B35CC83C0D}"/>
                </c:ext>
              </c:extLst>
            </c:dLbl>
            <c:dLbl>
              <c:idx val="11"/>
              <c:layout>
                <c:manualLayout>
                  <c:x val="-5.3793249131441616E-2"/>
                  <c:y val="2.8579418451643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2A-4FA2-B4F5-6C3FAFAA66F3}"/>
                </c:ext>
              </c:extLst>
            </c:dLbl>
            <c:dLbl>
              <c:idx val="12"/>
              <c:layout>
                <c:manualLayout>
                  <c:x val="-2.087157497441451E-3"/>
                  <c:y val="-2.584209780324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40-48CA-BC6B-5F245D2397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Charts!$A$153:$B$165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</c:lvl>
              </c:multiLvlStrCache>
            </c:multiLvlStrRef>
          </c:cat>
          <c:val>
            <c:numRef>
              <c:f>Charts!$C$153:$C$165</c:f>
              <c:numCache>
                <c:formatCode>_(* #,##0_);_(* \(#,##0\);_(* "-"??_);_(@_)</c:formatCode>
                <c:ptCount val="13"/>
                <c:pt idx="0">
                  <c:v>8009</c:v>
                </c:pt>
                <c:pt idx="1">
                  <c:v>7103</c:v>
                </c:pt>
                <c:pt idx="2">
                  <c:v>8365</c:v>
                </c:pt>
                <c:pt idx="3">
                  <c:v>10382</c:v>
                </c:pt>
                <c:pt idx="4">
                  <c:v>9231</c:v>
                </c:pt>
                <c:pt idx="5">
                  <c:v>9922</c:v>
                </c:pt>
                <c:pt idx="6">
                  <c:v>9749</c:v>
                </c:pt>
                <c:pt idx="7">
                  <c:v>8506</c:v>
                </c:pt>
                <c:pt idx="8">
                  <c:v>8298</c:v>
                </c:pt>
                <c:pt idx="9">
                  <c:v>9657</c:v>
                </c:pt>
                <c:pt idx="10">
                  <c:v>5064</c:v>
                </c:pt>
                <c:pt idx="11">
                  <c:v>7127</c:v>
                </c:pt>
                <c:pt idx="12">
                  <c:v>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2-417B-843D-89E62A972BD8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Cruiseship Arrivals</c:v>
                </c:pt>
              </c:strCache>
            </c:strRef>
          </c:tx>
          <c:marker>
            <c:symbol val="none"/>
          </c:marker>
          <c:cat>
            <c:multiLvlStrRef>
              <c:f>Charts!$A$153:$B$165</c:f>
              <c:multiLvlStrCache>
                <c:ptCount val="13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</c:lvl>
              </c:multiLvlStrCache>
            </c:multiLvl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80D-428E-B00E-6C224353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916096"/>
        <c:axId val="422917632"/>
      </c:lineChart>
      <c:catAx>
        <c:axId val="422916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22917632"/>
        <c:crosses val="autoZero"/>
        <c:auto val="0"/>
        <c:lblAlgn val="ctr"/>
        <c:lblOffset val="100"/>
        <c:noMultiLvlLbl val="0"/>
      </c:catAx>
      <c:valAx>
        <c:axId val="42291763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 Visitors</a:t>
                </a:r>
              </a:p>
            </c:rich>
          </c:tx>
          <c:layout>
            <c:manualLayout>
              <c:xMode val="edge"/>
              <c:yMode val="edge"/>
              <c:x val="9.0548953027730708E-3"/>
              <c:y val="3.35729581919414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2916096"/>
        <c:crosses val="autoZero"/>
        <c:crossBetween val="between"/>
      </c:valAx>
      <c:spPr>
        <a:ln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2887134354302124"/>
          <c:y val="5.9192489207005539E-2"/>
          <c:w val="0.22317248620335245"/>
          <c:h val="0.1154535571321741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tx>
            <c:strRef>
              <c:f>'Chart Tab 2'!$B$13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E95-454E-B119-7989F42B11C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E95-454E-B119-7989F42B11C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E95-454E-B119-7989F42B11C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E95-454E-B119-7989F42B11C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E95-454E-B119-7989F42B11CC}"/>
              </c:ext>
            </c:extLst>
          </c:dPt>
          <c:dLbls>
            <c:dLbl>
              <c:idx val="0"/>
              <c:layout>
                <c:manualLayout>
                  <c:x val="-6.4801857901733581E-2"/>
                  <c:y val="-0.1545478264921026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95-454E-B119-7989F42B11CC}"/>
                </c:ext>
              </c:extLst>
            </c:dLbl>
            <c:dLbl>
              <c:idx val="1"/>
              <c:layout>
                <c:manualLayout>
                  <c:x val="1.3672655252156397E-3"/>
                  <c:y val="-6.77244673977094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95-454E-B119-7989F42B11CC}"/>
                </c:ext>
              </c:extLst>
            </c:dLbl>
            <c:dLbl>
              <c:idx val="2"/>
              <c:layout>
                <c:manualLayout>
                  <c:x val="-1.0559333492404359E-2"/>
                  <c:y val="3.6597244871018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5-454E-B119-7989F42B11CC}"/>
                </c:ext>
              </c:extLst>
            </c:dLbl>
            <c:dLbl>
              <c:idx val="3"/>
              <c:layout>
                <c:manualLayout>
                  <c:x val="-2.6539211007714943E-2"/>
                  <c:y val="1.569131323373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5-454E-B119-7989F42B11CC}"/>
                </c:ext>
              </c:extLst>
            </c:dLbl>
            <c:dLbl>
              <c:idx val="4"/>
              <c:layout>
                <c:manualLayout>
                  <c:x val="7.2036092550313994E-3"/>
                  <c:y val="1.5358045572891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95-454E-B119-7989F42B11CC}"/>
                </c:ext>
              </c:extLst>
            </c:dLbl>
            <c:spPr>
              <a:solidFill>
                <a:srgbClr val="E7E6E6">
                  <a:lumMod val="25000"/>
                </a:srgb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Tab 2'!$A$14:$A$18</c:f>
              <c:strCache>
                <c:ptCount val="5"/>
                <c:pt idx="0">
                  <c:v>Holiday</c:v>
                </c:pt>
                <c:pt idx="1">
                  <c:v>Visiting Friends and Relatives</c:v>
                </c:pt>
                <c:pt idx="2">
                  <c:v>Other,Education, Sports</c:v>
                </c:pt>
                <c:pt idx="3">
                  <c:v>Business Meetings/Official/Conference</c:v>
                </c:pt>
                <c:pt idx="4">
                  <c:v>Stop Over</c:v>
                </c:pt>
              </c:strCache>
            </c:strRef>
          </c:cat>
          <c:val>
            <c:numRef>
              <c:f>'Chart Tab 2'!$D$14:$D$18</c:f>
              <c:numCache>
                <c:formatCode>0%</c:formatCode>
                <c:ptCount val="5"/>
                <c:pt idx="0">
                  <c:v>0.79700000000000004</c:v>
                </c:pt>
                <c:pt idx="1">
                  <c:v>5.8000000000000003E-2</c:v>
                </c:pt>
                <c:pt idx="2">
                  <c:v>0.10100000000000001</c:v>
                </c:pt>
                <c:pt idx="3">
                  <c:v>0.04</c:v>
                </c:pt>
                <c:pt idx="4" formatCode="0.0%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95-454E-B119-7989F42B1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204147776982419"/>
          <c:y val="0.14159934150243053"/>
          <c:w val="0.37588781515946873"/>
          <c:h val="0.69828293652642537"/>
        </c:manualLayout>
      </c:layout>
      <c:overlay val="0"/>
      <c:txPr>
        <a:bodyPr/>
        <a:lstStyle/>
        <a:p>
          <a:pPr rtl="0">
            <a:defRPr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580392319200964E-2"/>
          <c:y val="3.7542560533812844E-2"/>
          <c:w val="0.96074233242533003"/>
          <c:h val="0.81391654072485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'COU_waterfall '!$B$16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AB-46EC-9C3E-A4A8129B276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9AB-46EC-9C3E-A4A8129B276C}"/>
              </c:ext>
            </c:extLst>
          </c:dPt>
          <c:dLbls>
            <c:dLbl>
              <c:idx val="0"/>
              <c:layout>
                <c:manualLayout>
                  <c:x val="0"/>
                  <c:y val="-0.325140576818429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AB-46EC-9C3E-A4A8129B27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'COU_waterfall '!$A$17:$A$26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New Zealand</c:v>
                </c:pt>
                <c:pt idx="4">
                  <c:v>China</c:v>
                </c:pt>
                <c:pt idx="5">
                  <c:v>Other Pacific Countries </c:v>
                </c:pt>
                <c:pt idx="6">
                  <c:v>New Caledonia </c:v>
                </c:pt>
                <c:pt idx="7">
                  <c:v>Other Countries</c:v>
                </c:pt>
                <c:pt idx="8">
                  <c:v>North America</c:v>
                </c:pt>
                <c:pt idx="9">
                  <c:v>Japan </c:v>
                </c:pt>
              </c:strCache>
            </c:strRef>
          </c:cat>
          <c:val>
            <c:numRef>
              <c:f>'COU_waterfall '!$B$17:$B$26</c:f>
              <c:numCache>
                <c:formatCode>0</c:formatCode>
                <c:ptCount val="10"/>
                <c:pt idx="0" formatCode="General">
                  <c:v>100</c:v>
                </c:pt>
                <c:pt idx="1">
                  <c:v>36.263957348355291</c:v>
                </c:pt>
                <c:pt idx="2">
                  <c:v>27.21054219897394</c:v>
                </c:pt>
                <c:pt idx="3" formatCode="0.0">
                  <c:v>20.279649934614216</c:v>
                </c:pt>
                <c:pt idx="4" formatCode="_(* #,##0.0_);_(* \(#,##0.0\);_(* &quot;-&quot;??_);_(@_)">
                  <c:v>14.988431747309116</c:v>
                </c:pt>
                <c:pt idx="5">
                  <c:v>10.864098179257613</c:v>
                </c:pt>
                <c:pt idx="6">
                  <c:v>7.051604466351467</c:v>
                </c:pt>
                <c:pt idx="7">
                  <c:v>3.5006538577607822</c:v>
                </c:pt>
                <c:pt idx="8">
                  <c:v>0.82486671361029407</c:v>
                </c:pt>
                <c:pt idx="9">
                  <c:v>-6.7723604502134549E-15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B-46EC-9C3E-A4A8129B276C}"/>
            </c:ext>
          </c:extLst>
        </c:ser>
        <c:ser>
          <c:idx val="1"/>
          <c:order val="1"/>
          <c:tx>
            <c:strRef>
              <c:f>'COU_waterfall '!$C$16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5430076442157288E-3"/>
                  <c:y val="-0.20046706377664053"/>
                </c:manualLayout>
              </c:layout>
              <c:tx>
                <c:rich>
                  <a:bodyPr/>
                  <a:lstStyle/>
                  <a:p>
                    <a:fld id="{9F32EE25-D644-45D3-A853-756A4CFBF526}" type="VALUE">
                      <a:rPr lang="en-US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9AB-46EC-9C3E-A4A8129B276C}"/>
                </c:ext>
              </c:extLst>
            </c:dLbl>
            <c:dLbl>
              <c:idx val="2"/>
              <c:layout>
                <c:manualLayout>
                  <c:x val="-9.4837302156806729E-4"/>
                  <c:y val="-5.04360927927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AB-46EC-9C3E-A4A8129B276C}"/>
                </c:ext>
              </c:extLst>
            </c:dLbl>
            <c:dLbl>
              <c:idx val="3"/>
              <c:layout>
                <c:manualLayout>
                  <c:x val="-1.545376706457411E-3"/>
                  <c:y val="-4.3425362736767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9AB-46EC-9C3E-A4A8129B276C}"/>
                </c:ext>
              </c:extLst>
            </c:dLbl>
            <c:dLbl>
              <c:idx val="4"/>
              <c:layout>
                <c:manualLayout>
                  <c:x val="5.8062135428782089E-17"/>
                  <c:y val="-3.9164395554779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AB-46EC-9C3E-A4A8129B276C}"/>
                </c:ext>
              </c:extLst>
            </c:dLbl>
            <c:dLbl>
              <c:idx val="5"/>
              <c:layout>
                <c:manualLayout>
                  <c:x val="0"/>
                  <c:y val="-4.0675880651362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AB-46EC-9C3E-A4A8129B276C}"/>
                </c:ext>
              </c:extLst>
            </c:dLbl>
            <c:dLbl>
              <c:idx val="6"/>
              <c:layout>
                <c:manualLayout>
                  <c:x val="2.4554941682012606E-3"/>
                  <c:y val="-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AB-46EC-9C3E-A4A8129B276C}"/>
                </c:ext>
              </c:extLst>
            </c:dLbl>
            <c:dLbl>
              <c:idx val="7"/>
              <c:layout>
                <c:manualLayout>
                  <c:x val="0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AB-46EC-9C3E-A4A8129B276C}"/>
                </c:ext>
              </c:extLst>
            </c:dLbl>
            <c:dLbl>
              <c:idx val="8"/>
              <c:layout>
                <c:manualLayout>
                  <c:x val="0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AB-46EC-9C3E-A4A8129B276C}"/>
                </c:ext>
              </c:extLst>
            </c:dLbl>
            <c:dLbl>
              <c:idx val="9"/>
              <c:layout>
                <c:manualLayout>
                  <c:x val="-6.2796417726260288E-4"/>
                  <c:y val="-3.15469805448603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9AB-46EC-9C3E-A4A8129B27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'COU_waterfall '!$A$17:$A$26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New Zealand</c:v>
                </c:pt>
                <c:pt idx="4">
                  <c:v>China</c:v>
                </c:pt>
                <c:pt idx="5">
                  <c:v>Other Pacific Countries </c:v>
                </c:pt>
                <c:pt idx="6">
                  <c:v>New Caledonia </c:v>
                </c:pt>
                <c:pt idx="7">
                  <c:v>Other Countries</c:v>
                </c:pt>
                <c:pt idx="8">
                  <c:v>North America</c:v>
                </c:pt>
                <c:pt idx="9">
                  <c:v>Japan </c:v>
                </c:pt>
              </c:strCache>
            </c:strRef>
          </c:cat>
          <c:val>
            <c:numRef>
              <c:f>'COU_waterfall '!$C$17:$C$26</c:f>
              <c:numCache>
                <c:formatCode>0</c:formatCode>
                <c:ptCount val="10"/>
                <c:pt idx="1">
                  <c:v>63.736042651644709</c:v>
                </c:pt>
                <c:pt idx="2">
                  <c:v>9.0534151493813493</c:v>
                </c:pt>
                <c:pt idx="3">
                  <c:v>6.9308922643597226</c:v>
                </c:pt>
                <c:pt idx="4">
                  <c:v>5.2912181873051001</c:v>
                </c:pt>
                <c:pt idx="5">
                  <c:v>4.1243335680515036</c:v>
                </c:pt>
                <c:pt idx="6" formatCode="0.0">
                  <c:v>3.812493712906146</c:v>
                </c:pt>
                <c:pt idx="7" formatCode="0.0">
                  <c:v>3.5509506085906848</c:v>
                </c:pt>
                <c:pt idx="8">
                  <c:v>2.6757871441504881</c:v>
                </c:pt>
                <c:pt idx="9" formatCode="0.0">
                  <c:v>0.82486671361030084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B-46EC-9C3E-A4A8129B2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096063"/>
        <c:axId val="205776703"/>
      </c:barChart>
      <c:catAx>
        <c:axId val="76909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76703"/>
        <c:crosses val="autoZero"/>
        <c:auto val="1"/>
        <c:lblAlgn val="ctr"/>
        <c:lblOffset val="100"/>
        <c:noMultiLvlLbl val="0"/>
      </c:catAx>
      <c:valAx>
        <c:axId val="205776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09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347129170722844"/>
          <c:y val="7.0614064351732703E-2"/>
          <c:w val="0.70751380896779792"/>
          <c:h val="0.716136149054929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E8B5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COR by LOS chart'!$A$19:$A$27</c:f>
              <c:strCache>
                <c:ptCount val="9"/>
                <c:pt idx="0">
                  <c:v>Japan</c:v>
                </c:pt>
                <c:pt idx="1">
                  <c:v>New Caledonia</c:v>
                </c:pt>
                <c:pt idx="2">
                  <c:v>Australia</c:v>
                </c:pt>
                <c:pt idx="3">
                  <c:v>China</c:v>
                </c:pt>
                <c:pt idx="4">
                  <c:v>Europe</c:v>
                </c:pt>
                <c:pt idx="5">
                  <c:v>Other countries</c:v>
                </c:pt>
                <c:pt idx="6">
                  <c:v>New Zealand</c:v>
                </c:pt>
                <c:pt idx="7">
                  <c:v>Other Pacific Countries</c:v>
                </c:pt>
                <c:pt idx="8">
                  <c:v>North America</c:v>
                </c:pt>
              </c:strCache>
            </c:strRef>
          </c:cat>
          <c:val>
            <c:numRef>
              <c:f>' COR by LOS chart'!$B$19:$B$27</c:f>
              <c:numCache>
                <c:formatCode>_(* #,##0_);_(* \(#,##0\);_(* "-"??_);_(@_)</c:formatCode>
                <c:ptCount val="9"/>
                <c:pt idx="0">
                  <c:v>6.5124259928774197</c:v>
                </c:pt>
                <c:pt idx="1">
                  <c:v>7.1485917118151914</c:v>
                </c:pt>
                <c:pt idx="2">
                  <c:v>7.6014342120847802</c:v>
                </c:pt>
                <c:pt idx="3">
                  <c:v>8.6305772217736383</c:v>
                </c:pt>
                <c:pt idx="4">
                  <c:v>8.8128512441544995</c:v>
                </c:pt>
                <c:pt idx="5">
                  <c:v>8.9291199670433503</c:v>
                </c:pt>
                <c:pt idx="6">
                  <c:v>9.3164855379080525</c:v>
                </c:pt>
                <c:pt idx="7">
                  <c:v>9.3586779726205371</c:v>
                </c:pt>
                <c:pt idx="8">
                  <c:v>10.8035292643579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A-4DD3-B7C6-B1EB1891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385232"/>
        <c:axId val="1"/>
      </c:barChart>
      <c:catAx>
        <c:axId val="67838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85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rgbClr val="7F7F7F"/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41199304109975"/>
          <c:y val="9.2917760279965012E-2"/>
          <c:w val="0.45206745708510576"/>
          <c:h val="0.81937226596675417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C-4699-BB13-F0510DD0AD6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2-4904-8B88-2C0655D7DF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F2-4904-8B88-2C0655D7DF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1C-4699-BB13-F0510DD0AD65}"/>
              </c:ext>
            </c:extLst>
          </c:dPt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'My Age Gat'!$A$10:$A$13</c:f>
              <c:strCache>
                <c:ptCount val="4"/>
                <c:pt idx="0">
                  <c:v>0 to 14 years</c:v>
                </c:pt>
                <c:pt idx="1">
                  <c:v>15 to 29 years</c:v>
                </c:pt>
                <c:pt idx="2">
                  <c:v>30 to 49 years</c:v>
                </c:pt>
                <c:pt idx="3">
                  <c:v>50+ years</c:v>
                </c:pt>
              </c:strCache>
            </c:strRef>
          </c:cat>
          <c:val>
            <c:numRef>
              <c:f>'My Age Gat'!$D$10:$D$13</c:f>
              <c:numCache>
                <c:formatCode>0%</c:formatCode>
                <c:ptCount val="4"/>
                <c:pt idx="0">
                  <c:v>0.13100000000000001</c:v>
                </c:pt>
                <c:pt idx="1">
                  <c:v>0.193</c:v>
                </c:pt>
                <c:pt idx="2">
                  <c:v>0.39700000000000002</c:v>
                </c:pt>
                <c:pt idx="3">
                  <c:v>0.27800000000000002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2-4904-8B88-2C0655D7D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604965004374456"/>
          <c:y val="0.24594852726742492"/>
          <c:w val="0.21678958880139984"/>
          <c:h val="0.38831073199183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317102</xdr:colOff>
      <xdr:row>4</xdr:row>
      <xdr:rowOff>148828</xdr:rowOff>
    </xdr:from>
    <xdr:to>
      <xdr:col>20</xdr:col>
      <xdr:colOff>484186</xdr:colOff>
      <xdr:row>106</xdr:row>
      <xdr:rowOff>158353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20</xdr:row>
      <xdr:rowOff>66675</xdr:rowOff>
    </xdr:from>
    <xdr:to>
      <xdr:col>3</xdr:col>
      <xdr:colOff>533400</xdr:colOff>
      <xdr:row>40</xdr:row>
      <xdr:rowOff>47625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DD1E1B58-C873-43C8-B9B7-24F8454DD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327659</xdr:colOff>
      <xdr:row>14</xdr:row>
      <xdr:rowOff>164781</xdr:rowOff>
    </xdr:from>
    <xdr:to>
      <xdr:col>17</xdr:col>
      <xdr:colOff>422910</xdr:colOff>
      <xdr:row>37</xdr:row>
      <xdr:rowOff>1904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EB1EB2-B928-AEB4-48E2-953BC07DD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332962</xdr:colOff>
      <xdr:row>17</xdr:row>
      <xdr:rowOff>13252</xdr:rowOff>
    </xdr:from>
    <xdr:to>
      <xdr:col>6</xdr:col>
      <xdr:colOff>935935</xdr:colOff>
      <xdr:row>32</xdr:row>
      <xdr:rowOff>51353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7665F-4296-407E-82A0-87561C3C1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15</xdr:row>
      <xdr:rowOff>61912</xdr:rowOff>
    </xdr:from>
    <xdr:to>
      <xdr:col>5</xdr:col>
      <xdr:colOff>352425</xdr:colOff>
      <xdr:row>32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DDFF4-EFB7-307B-8280-8FA982664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Apothecary">
    <a:dk1>
      <a:sysClr val="windowText" lastClr="000000"/>
    </a:dk1>
    <a:lt1>
      <a:sysClr val="window" lastClr="FFFFFF"/>
    </a:lt1>
    <a:dk2>
      <a:srgbClr val="564B3C"/>
    </a:dk2>
    <a:lt2>
      <a:srgbClr val="ECEDD1"/>
    </a:lt2>
    <a:accent1>
      <a:srgbClr val="93A299"/>
    </a:accent1>
    <a:accent2>
      <a:srgbClr val="CF543F"/>
    </a:accent2>
    <a:accent3>
      <a:srgbClr val="B5AE53"/>
    </a:accent3>
    <a:accent4>
      <a:srgbClr val="848058"/>
    </a:accent4>
    <a:accent5>
      <a:srgbClr val="E8B54D"/>
    </a:accent5>
    <a:accent6>
      <a:srgbClr val="786C71"/>
    </a:accent6>
    <a:hlink>
      <a:srgbClr val="CCCC00"/>
    </a:hlink>
    <a:folHlink>
      <a:srgbClr val="B2B2B2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2.75"/>
  <cols>
    <col min="1" max="1" width="0.85546875" customWidth="1"/>
    <col min="2" max="2" width="5.85546875" customWidth="1"/>
    <col min="3" max="3" width="7.85546875" style="1" customWidth="1"/>
    <col min="4" max="13" width="10.7109375" customWidth="1"/>
    <col min="14" max="14" width="0.85546875" customWidth="1"/>
  </cols>
  <sheetData>
    <row r="1" spans="1:16" s="5" customFormat="1" ht="15.75" customHeight="1">
      <c r="A1" s="1214" t="s">
        <v>51</v>
      </c>
      <c r="B1" s="1214"/>
      <c r="C1" s="1214"/>
      <c r="D1" s="1214"/>
      <c r="E1" s="1214"/>
      <c r="F1" s="1214"/>
      <c r="G1" s="1214"/>
      <c r="H1" s="1214"/>
      <c r="I1" s="1214"/>
      <c r="J1" s="1214"/>
      <c r="K1" s="1214"/>
      <c r="L1" s="1214"/>
      <c r="M1" s="1214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 ht="13.5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3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AO418"/>
  <sheetViews>
    <sheetView showGridLines="0" tabSelected="1" zoomScaleNormal="100" workbookViewId="0">
      <pane ySplit="7" topLeftCell="A24" activePane="bottomLeft" state="frozen"/>
      <selection activeCell="B1" sqref="B1"/>
      <selection pane="bottomLeft" activeCell="AF289" sqref="AF289"/>
    </sheetView>
  </sheetViews>
  <sheetFormatPr defaultColWidth="5.7109375" defaultRowHeight="12.75"/>
  <cols>
    <col min="1" max="1" width="2.42578125" style="55" customWidth="1"/>
    <col min="2" max="2" width="6.7109375" style="55" customWidth="1"/>
    <col min="3" max="3" width="8" style="55" customWidth="1"/>
    <col min="4" max="4" width="9.7109375" style="55" bestFit="1" customWidth="1"/>
    <col min="5" max="5" width="1.85546875" style="55" customWidth="1"/>
    <col min="6" max="6" width="8.85546875" style="55" bestFit="1" customWidth="1"/>
    <col min="7" max="7" width="3.5703125" style="55" customWidth="1"/>
    <col min="8" max="8" width="9.7109375" style="55" bestFit="1" customWidth="1"/>
    <col min="9" max="9" width="2.42578125" style="55" customWidth="1"/>
    <col min="10" max="10" width="11.28515625" style="55" bestFit="1" customWidth="1"/>
    <col min="11" max="11" width="1" style="55" hidden="1" customWidth="1"/>
    <col min="12" max="12" width="11" style="55" bestFit="1" customWidth="1"/>
    <col min="13" max="13" width="1.7109375" style="55" customWidth="1"/>
    <col min="14" max="14" width="11.7109375" style="55" bestFit="1" customWidth="1"/>
    <col min="15" max="15" width="2.140625" style="55" customWidth="1"/>
    <col min="16" max="16" width="9.7109375" style="55" bestFit="1" customWidth="1"/>
    <col min="17" max="17" width="2.28515625" style="55" customWidth="1"/>
    <col min="18" max="18" width="8.7109375" style="55" customWidth="1"/>
    <col min="19" max="19" width="2.28515625" style="55" customWidth="1"/>
    <col min="20" max="20" width="10.5703125" style="55" bestFit="1" customWidth="1"/>
    <col min="21" max="21" width="10.28515625" style="55" bestFit="1" customWidth="1"/>
    <col min="22" max="22" width="15.140625" style="55" bestFit="1" customWidth="1"/>
    <col min="23" max="23" width="1.85546875" style="55" customWidth="1"/>
    <col min="24" max="24" width="8.85546875" style="55" bestFit="1" customWidth="1"/>
    <col min="25" max="25" width="2.140625" style="55" customWidth="1"/>
    <col min="26" max="26" width="12.140625" style="55" customWidth="1"/>
    <col min="27" max="27" width="2.140625" style="55" customWidth="1"/>
    <col min="28" max="28" width="14.7109375" style="55" customWidth="1"/>
    <col min="29" max="29" width="1.85546875" style="55" customWidth="1"/>
    <col min="30" max="30" width="9.140625" style="55" customWidth="1"/>
    <col min="31" max="31" width="2.5703125" style="55" customWidth="1"/>
    <col min="32" max="32" width="7.5703125" style="134" customWidth="1"/>
    <col min="33" max="33" width="8.5703125" style="55" bestFit="1" customWidth="1"/>
    <col min="34" max="34" width="7" style="55" bestFit="1" customWidth="1"/>
    <col min="35" max="36" width="5.7109375" style="55"/>
    <col min="37" max="37" width="9" style="55" bestFit="1" customWidth="1"/>
    <col min="38" max="38" width="6.85546875" style="55" bestFit="1" customWidth="1"/>
    <col min="39" max="39" width="7.7109375" style="55" bestFit="1" customWidth="1"/>
    <col min="40" max="40" width="9" style="55" bestFit="1" customWidth="1"/>
    <col min="41" max="41" width="7.7109375" style="55" bestFit="1" customWidth="1"/>
    <col min="42" max="44" width="5.7109375" style="55"/>
    <col min="45" max="45" width="7.42578125" style="55" bestFit="1" customWidth="1"/>
    <col min="46" max="16384" width="5.7109375" style="55"/>
  </cols>
  <sheetData>
    <row r="1" spans="1:34" ht="14.25" customHeight="1">
      <c r="B1" s="116" t="s">
        <v>284</v>
      </c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117"/>
      <c r="N1" s="117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4" ht="14.25" customHeight="1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117"/>
      <c r="N2" s="117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34" t="s">
        <v>141</v>
      </c>
    </row>
    <row r="3" spans="1:34" ht="6" customHeight="1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34" s="50" customFormat="1" ht="19.5" customHeight="1">
      <c r="B4" s="461"/>
      <c r="C4" s="725"/>
      <c r="D4" s="1217" t="s">
        <v>72</v>
      </c>
      <c r="E4" s="1218"/>
      <c r="F4" s="1218"/>
      <c r="G4" s="1218"/>
      <c r="H4" s="1218"/>
      <c r="I4" s="1218"/>
      <c r="J4" s="1218"/>
      <c r="K4" s="1218"/>
      <c r="L4" s="1218"/>
      <c r="M4" s="1218"/>
      <c r="N4" s="1218"/>
      <c r="O4" s="1219"/>
      <c r="P4" s="1217" t="s">
        <v>130</v>
      </c>
      <c r="Q4" s="1218"/>
      <c r="R4" s="1218"/>
      <c r="S4" s="1218"/>
      <c r="T4" s="1218"/>
      <c r="U4" s="1218"/>
      <c r="V4" s="1218"/>
      <c r="W4" s="1218"/>
      <c r="X4" s="1218"/>
      <c r="Y4" s="773"/>
      <c r="Z4" s="1175" t="s">
        <v>410</v>
      </c>
      <c r="AA4" s="1176"/>
      <c r="AB4" s="1080" t="s">
        <v>17</v>
      </c>
      <c r="AC4" s="1164"/>
      <c r="AD4" s="1080"/>
      <c r="AE4" s="1164"/>
      <c r="AF4" s="752"/>
      <c r="AG4" s="431"/>
    </row>
    <row r="5" spans="1:34" s="50" customFormat="1" ht="17.25" customHeight="1">
      <c r="B5" s="168"/>
      <c r="C5" s="96"/>
      <c r="D5" s="1223" t="s">
        <v>124</v>
      </c>
      <c r="E5" s="1220"/>
      <c r="F5" s="1220"/>
      <c r="G5" s="747"/>
      <c r="H5" s="1220" t="s">
        <v>125</v>
      </c>
      <c r="I5" s="1220"/>
      <c r="J5" s="1220"/>
      <c r="K5" s="747"/>
      <c r="L5" s="1220" t="s">
        <v>14</v>
      </c>
      <c r="M5" s="1220"/>
      <c r="N5" s="1220"/>
      <c r="O5" s="1221"/>
      <c r="P5" s="1222" t="s">
        <v>124</v>
      </c>
      <c r="Q5" s="1216"/>
      <c r="R5" s="1216"/>
      <c r="S5" s="747"/>
      <c r="T5" s="1216" t="s">
        <v>125</v>
      </c>
      <c r="U5" s="1216"/>
      <c r="V5" s="1216" t="s">
        <v>14</v>
      </c>
      <c r="W5" s="1216"/>
      <c r="X5" s="1216"/>
      <c r="Y5" s="774"/>
      <c r="AA5" s="1181"/>
      <c r="AB5" s="97" t="s">
        <v>137</v>
      </c>
      <c r="AC5" s="653"/>
      <c r="AD5" s="1215" t="s">
        <v>225</v>
      </c>
      <c r="AE5" s="1174"/>
      <c r="AF5" s="98"/>
      <c r="AG5" s="93"/>
    </row>
    <row r="6" spans="1:34" s="50" customFormat="1" ht="15" customHeight="1">
      <c r="B6" s="432" t="s">
        <v>75</v>
      </c>
      <c r="C6" s="98" t="s">
        <v>120</v>
      </c>
      <c r="D6" s="433" t="s">
        <v>5</v>
      </c>
      <c r="E6" s="98"/>
      <c r="F6" s="97" t="s">
        <v>6</v>
      </c>
      <c r="G6" s="97"/>
      <c r="H6" s="98" t="s">
        <v>5</v>
      </c>
      <c r="I6" s="98"/>
      <c r="J6" s="97" t="s">
        <v>6</v>
      </c>
      <c r="K6" s="97"/>
      <c r="L6" s="97" t="s">
        <v>5</v>
      </c>
      <c r="M6" s="97"/>
      <c r="N6" s="97" t="s">
        <v>6</v>
      </c>
      <c r="O6" s="653"/>
      <c r="P6" s="433" t="s">
        <v>127</v>
      </c>
      <c r="Q6" s="98"/>
      <c r="R6" s="97" t="s">
        <v>126</v>
      </c>
      <c r="S6" s="97"/>
      <c r="T6" s="97" t="s">
        <v>127</v>
      </c>
      <c r="U6" s="97" t="s">
        <v>6</v>
      </c>
      <c r="V6" s="97" t="s">
        <v>127</v>
      </c>
      <c r="W6" s="97"/>
      <c r="X6" s="97" t="s">
        <v>6</v>
      </c>
      <c r="Y6" s="653"/>
      <c r="Z6" s="747" t="s">
        <v>382</v>
      </c>
      <c r="AA6" s="774"/>
      <c r="AB6" s="97" t="s">
        <v>138</v>
      </c>
      <c r="AC6" s="653"/>
      <c r="AD6" s="1215"/>
      <c r="AE6" s="1174"/>
      <c r="AF6" s="98" t="s">
        <v>76</v>
      </c>
      <c r="AG6" s="93" t="s">
        <v>121</v>
      </c>
    </row>
    <row r="7" spans="1:34" s="50" customFormat="1" ht="19.5" customHeight="1">
      <c r="B7" s="462"/>
      <c r="C7" s="726"/>
      <c r="D7" s="655" t="s">
        <v>73</v>
      </c>
      <c r="E7" s="287"/>
      <c r="F7" s="278" t="s">
        <v>74</v>
      </c>
      <c r="G7" s="278"/>
      <c r="H7" s="287" t="s">
        <v>73</v>
      </c>
      <c r="I7" s="287"/>
      <c r="J7" s="278" t="s">
        <v>74</v>
      </c>
      <c r="K7" s="278"/>
      <c r="L7" s="278" t="s">
        <v>73</v>
      </c>
      <c r="M7" s="278"/>
      <c r="N7" s="278" t="s">
        <v>74</v>
      </c>
      <c r="O7" s="654"/>
      <c r="P7" s="655" t="s">
        <v>73</v>
      </c>
      <c r="Q7" s="287"/>
      <c r="R7" s="278" t="s">
        <v>74</v>
      </c>
      <c r="S7" s="278"/>
      <c r="T7" s="278" t="s">
        <v>73</v>
      </c>
      <c r="U7" s="278" t="s">
        <v>74</v>
      </c>
      <c r="V7" s="278" t="s">
        <v>73</v>
      </c>
      <c r="W7" s="278"/>
      <c r="X7" s="278" t="s">
        <v>74</v>
      </c>
      <c r="Y7" s="654"/>
      <c r="Z7" s="462" t="s">
        <v>381</v>
      </c>
      <c r="AA7" s="1182"/>
      <c r="AB7" s="1177"/>
      <c r="AC7" s="653"/>
      <c r="AD7" s="1177"/>
      <c r="AE7" s="653"/>
      <c r="AF7" s="753"/>
      <c r="AG7" s="99"/>
    </row>
    <row r="8" spans="1:34" s="50" customFormat="1" hidden="1">
      <c r="A8" s="389"/>
      <c r="B8" s="874">
        <v>2005</v>
      </c>
      <c r="C8" s="370"/>
      <c r="D8" s="1005">
        <f>SUM(D30:D41)</f>
        <v>13788</v>
      </c>
      <c r="E8" s="1006"/>
      <c r="F8" s="1006">
        <f>SUM(F30:F41)</f>
        <v>62082</v>
      </c>
      <c r="G8" s="1006"/>
      <c r="H8" s="965" t="s">
        <v>43</v>
      </c>
      <c r="I8" s="1006">
        <f>SUM(I30:I41)</f>
        <v>0</v>
      </c>
      <c r="J8" s="965" t="s">
        <v>43</v>
      </c>
      <c r="K8" s="1006">
        <f>SUM(K30:K41)</f>
        <v>0</v>
      </c>
      <c r="L8" s="1006">
        <f>SUM(L30:L41)</f>
        <v>13788</v>
      </c>
      <c r="M8" s="1006">
        <f>SUM(M30:M41)</f>
        <v>0</v>
      </c>
      <c r="N8" s="1006">
        <f>SUM(N30:N41)</f>
        <v>62082</v>
      </c>
      <c r="O8" s="1007"/>
      <c r="P8" s="1005">
        <f>SUM(P30:P41)</f>
        <v>13608</v>
      </c>
      <c r="Q8" s="1006">
        <f>SUM(Q30:Q41)</f>
        <v>0</v>
      </c>
      <c r="R8" s="1006">
        <f>SUM(R30:R41)</f>
        <v>62364</v>
      </c>
      <c r="S8" s="1006">
        <f>SUM(S30:S41)</f>
        <v>0</v>
      </c>
      <c r="T8" s="965" t="s">
        <v>43</v>
      </c>
      <c r="U8" s="965" t="s">
        <v>43</v>
      </c>
      <c r="V8" s="1006">
        <f>SUM(V30:V41)</f>
        <v>13608</v>
      </c>
      <c r="W8" s="1006">
        <f>SUM(W30:W41)</f>
        <v>0</v>
      </c>
      <c r="X8" s="1006">
        <f>SUM(X30:X41)</f>
        <v>62364</v>
      </c>
      <c r="Y8" s="1007"/>
      <c r="Z8" s="965" t="s">
        <v>43</v>
      </c>
      <c r="AA8" s="1011"/>
      <c r="AB8" s="1006">
        <f>SUM(AB30:AB41)</f>
        <v>63554</v>
      </c>
      <c r="AC8" s="1008"/>
      <c r="AD8" s="1006"/>
      <c r="AE8" s="1008"/>
      <c r="AF8" s="768">
        <v>2005</v>
      </c>
      <c r="AG8" s="892"/>
      <c r="AH8" s="285" t="s">
        <v>198</v>
      </c>
    </row>
    <row r="9" spans="1:34" s="50" customFormat="1" hidden="1">
      <c r="A9" s="389"/>
      <c r="B9" s="874">
        <v>2006</v>
      </c>
      <c r="C9" s="370"/>
      <c r="D9" s="1005">
        <f>SUM(D42:D53)</f>
        <v>14841</v>
      </c>
      <c r="E9" s="1006"/>
      <c r="F9" s="1006">
        <f>SUM(F42:F53)</f>
        <v>67787</v>
      </c>
      <c r="G9" s="1006"/>
      <c r="H9" s="1006">
        <f t="shared" ref="H9:S9" si="0">SUM(H42:H53)</f>
        <v>85</v>
      </c>
      <c r="I9" s="1006">
        <f t="shared" si="0"/>
        <v>0</v>
      </c>
      <c r="J9" s="1006">
        <f t="shared" si="0"/>
        <v>392</v>
      </c>
      <c r="K9" s="1006">
        <f t="shared" si="0"/>
        <v>0</v>
      </c>
      <c r="L9" s="1006">
        <f t="shared" si="0"/>
        <v>14926</v>
      </c>
      <c r="M9" s="1006">
        <f t="shared" si="0"/>
        <v>0</v>
      </c>
      <c r="N9" s="1006">
        <f t="shared" si="0"/>
        <v>68179</v>
      </c>
      <c r="O9" s="1008">
        <f t="shared" si="0"/>
        <v>83105</v>
      </c>
      <c r="P9" s="1005">
        <f t="shared" si="0"/>
        <v>11557</v>
      </c>
      <c r="Q9" s="1006">
        <f t="shared" si="0"/>
        <v>0</v>
      </c>
      <c r="R9" s="1006">
        <f t="shared" si="0"/>
        <v>55835</v>
      </c>
      <c r="S9" s="1006">
        <f t="shared" si="0"/>
        <v>0</v>
      </c>
      <c r="T9" s="965" t="s">
        <v>43</v>
      </c>
      <c r="U9" s="965" t="s">
        <v>43</v>
      </c>
      <c r="V9" s="1006">
        <f>SUM(V42:V53)</f>
        <v>11557</v>
      </c>
      <c r="W9" s="1006">
        <f>SUM(W42:W53)</f>
        <v>0</v>
      </c>
      <c r="X9" s="1006">
        <f>SUM(X42:X53)</f>
        <v>55835</v>
      </c>
      <c r="Y9" s="1008">
        <f>SUM(Y42:Y53)</f>
        <v>0</v>
      </c>
      <c r="Z9" s="965" t="s">
        <v>43</v>
      </c>
      <c r="AA9" s="1011"/>
      <c r="AB9" s="1006">
        <f>SUM(AB42:AB53)</f>
        <v>85922</v>
      </c>
      <c r="AC9" s="1008"/>
      <c r="AD9" s="1006"/>
      <c r="AE9" s="1008"/>
      <c r="AF9" s="768">
        <v>2006</v>
      </c>
      <c r="AG9" s="892"/>
      <c r="AH9" s="285" t="s">
        <v>198</v>
      </c>
    </row>
    <row r="10" spans="1:34" s="50" customFormat="1" hidden="1">
      <c r="A10" s="389"/>
      <c r="B10" s="874">
        <v>2007</v>
      </c>
      <c r="C10" s="370"/>
      <c r="D10" s="1005">
        <f>SUM(D54:D65)</f>
        <v>15186</v>
      </c>
      <c r="E10" s="1006"/>
      <c r="F10" s="1006">
        <f>SUM(F54:F65)</f>
        <v>80054</v>
      </c>
      <c r="G10" s="1006"/>
      <c r="H10" s="1006">
        <f t="shared" ref="H10:Y10" si="1">SUM(H54:H65)</f>
        <v>573</v>
      </c>
      <c r="I10" s="1006">
        <f t="shared" si="1"/>
        <v>0</v>
      </c>
      <c r="J10" s="1006">
        <f t="shared" si="1"/>
        <v>1291</v>
      </c>
      <c r="K10" s="1006">
        <f t="shared" si="1"/>
        <v>0</v>
      </c>
      <c r="L10" s="1006">
        <f t="shared" si="1"/>
        <v>15759</v>
      </c>
      <c r="M10" s="1006">
        <f t="shared" si="1"/>
        <v>0</v>
      </c>
      <c r="N10" s="1006">
        <f t="shared" si="1"/>
        <v>81345</v>
      </c>
      <c r="O10" s="1008">
        <f t="shared" si="1"/>
        <v>87518</v>
      </c>
      <c r="P10" s="1005">
        <f t="shared" si="1"/>
        <v>8889</v>
      </c>
      <c r="Q10" s="1006">
        <f t="shared" si="1"/>
        <v>0</v>
      </c>
      <c r="R10" s="1006">
        <f t="shared" si="1"/>
        <v>56729</v>
      </c>
      <c r="S10" s="1006">
        <f t="shared" si="1"/>
        <v>0</v>
      </c>
      <c r="T10" s="1006">
        <f t="shared" si="1"/>
        <v>391</v>
      </c>
      <c r="U10" s="1006">
        <f t="shared" si="1"/>
        <v>889</v>
      </c>
      <c r="V10" s="1006">
        <f t="shared" si="1"/>
        <v>9280</v>
      </c>
      <c r="W10" s="1006">
        <f t="shared" si="1"/>
        <v>0</v>
      </c>
      <c r="X10" s="1006">
        <f t="shared" si="1"/>
        <v>57618</v>
      </c>
      <c r="Y10" s="1008">
        <f t="shared" si="1"/>
        <v>0</v>
      </c>
      <c r="Z10" s="965" t="s">
        <v>43</v>
      </c>
      <c r="AA10" s="1011"/>
      <c r="AB10" s="1006">
        <f>SUM(AB54:AB65)</f>
        <v>85737</v>
      </c>
      <c r="AC10" s="1008"/>
      <c r="AD10" s="1006"/>
      <c r="AE10" s="1008"/>
      <c r="AF10" s="768">
        <v>2007</v>
      </c>
      <c r="AG10" s="892"/>
      <c r="AH10" s="285" t="s">
        <v>199</v>
      </c>
    </row>
    <row r="11" spans="1:34" s="50" customFormat="1" hidden="1">
      <c r="B11" s="874">
        <v>2008</v>
      </c>
      <c r="C11" s="370"/>
      <c r="D11" s="1014">
        <f>SUM(D66:D77)</f>
        <v>18547</v>
      </c>
      <c r="E11" s="1015"/>
      <c r="F11" s="1015">
        <f>SUM(F66:F77)</f>
        <v>88241</v>
      </c>
      <c r="G11" s="1015"/>
      <c r="H11" s="1016">
        <f>SUM(H66:H77)</f>
        <v>585</v>
      </c>
      <c r="I11" s="1016"/>
      <c r="J11" s="1016">
        <f>SUM(J66:J77)</f>
        <v>2416</v>
      </c>
      <c r="K11" s="1016"/>
      <c r="L11" s="1016">
        <f>SUM(L66:L77)</f>
        <v>19132</v>
      </c>
      <c r="M11" s="1016"/>
      <c r="N11" s="1016">
        <f>SUM(N66:N77)</f>
        <v>90657</v>
      </c>
      <c r="O11" s="1017"/>
      <c r="P11" s="1018">
        <f>SUM(P66:P77)</f>
        <v>15847</v>
      </c>
      <c r="Q11" s="1016"/>
      <c r="R11" s="1016">
        <f>SUM(R66:R77)</f>
        <v>92429</v>
      </c>
      <c r="S11" s="1016"/>
      <c r="T11" s="1016">
        <f>SUM(T66:T77)</f>
        <v>552</v>
      </c>
      <c r="U11" s="1016">
        <f>SUM(U66:U77)</f>
        <v>1960</v>
      </c>
      <c r="V11" s="1016">
        <f>SUM(V66:V77)</f>
        <v>16765</v>
      </c>
      <c r="W11" s="1016"/>
      <c r="X11" s="1016">
        <f>SUM(X66:X77)</f>
        <v>94389</v>
      </c>
      <c r="Y11" s="1017"/>
      <c r="Z11" s="965" t="s">
        <v>43</v>
      </c>
      <c r="AA11" s="1011"/>
      <c r="AB11" s="1015">
        <f>SUM(AB66:AB77)</f>
        <v>106138</v>
      </c>
      <c r="AC11" s="1020"/>
      <c r="AD11" s="965">
        <f t="shared" ref="AD11:AD18" si="2">AB11+N11</f>
        <v>196795</v>
      </c>
      <c r="AE11" s="1011"/>
      <c r="AF11" s="768">
        <v>2008</v>
      </c>
      <c r="AG11" s="892"/>
      <c r="AH11" s="285"/>
    </row>
    <row r="12" spans="1:34" s="50" customFormat="1" hidden="1">
      <c r="B12" s="874">
        <v>2009</v>
      </c>
      <c r="C12" s="370"/>
      <c r="D12" s="923">
        <f>SUM(D78:D89)</f>
        <v>19088</v>
      </c>
      <c r="E12" s="908"/>
      <c r="F12" s="908">
        <f>SUM(F78:F89)</f>
        <v>97824</v>
      </c>
      <c r="G12" s="908"/>
      <c r="H12" s="908">
        <f t="shared" ref="H12:Y12" si="3">SUM(H78:H89)</f>
        <v>594</v>
      </c>
      <c r="I12" s="908">
        <f t="shared" si="3"/>
        <v>0</v>
      </c>
      <c r="J12" s="908">
        <f t="shared" si="3"/>
        <v>2851</v>
      </c>
      <c r="K12" s="908">
        <f t="shared" si="3"/>
        <v>0</v>
      </c>
      <c r="L12" s="908">
        <f t="shared" si="3"/>
        <v>19682</v>
      </c>
      <c r="M12" s="908">
        <f t="shared" si="3"/>
        <v>0</v>
      </c>
      <c r="N12" s="908">
        <f t="shared" si="3"/>
        <v>100675</v>
      </c>
      <c r="O12" s="1020">
        <f t="shared" si="3"/>
        <v>0</v>
      </c>
      <c r="P12" s="923">
        <f t="shared" si="3"/>
        <v>14568</v>
      </c>
      <c r="Q12" s="908">
        <f t="shared" si="3"/>
        <v>0</v>
      </c>
      <c r="R12" s="908">
        <f t="shared" si="3"/>
        <v>101826</v>
      </c>
      <c r="S12" s="908">
        <f t="shared" si="3"/>
        <v>0</v>
      </c>
      <c r="T12" s="908">
        <f t="shared" si="3"/>
        <v>508</v>
      </c>
      <c r="U12" s="908">
        <f t="shared" si="3"/>
        <v>2430</v>
      </c>
      <c r="V12" s="908">
        <f t="shared" si="3"/>
        <v>15076</v>
      </c>
      <c r="W12" s="908">
        <f t="shared" si="3"/>
        <v>0</v>
      </c>
      <c r="X12" s="908">
        <f t="shared" si="3"/>
        <v>104256</v>
      </c>
      <c r="Y12" s="1020">
        <f t="shared" si="3"/>
        <v>0</v>
      </c>
      <c r="Z12" s="965" t="s">
        <v>43</v>
      </c>
      <c r="AA12" s="1011"/>
      <c r="AB12" s="965">
        <f>SUM(AB78:AB89)</f>
        <v>124818</v>
      </c>
      <c r="AC12" s="1011"/>
      <c r="AD12" s="965">
        <f t="shared" si="2"/>
        <v>225493</v>
      </c>
      <c r="AE12" s="1011"/>
      <c r="AF12" s="768">
        <v>2009</v>
      </c>
      <c r="AG12" s="892"/>
      <c r="AH12" s="285"/>
    </row>
    <row r="13" spans="1:34" s="50" customFormat="1" hidden="1">
      <c r="B13" s="874">
        <v>2010</v>
      </c>
      <c r="C13" s="370"/>
      <c r="D13" s="923">
        <f>SUM(D90:D101)</f>
        <v>20531</v>
      </c>
      <c r="E13" s="908"/>
      <c r="F13" s="908">
        <f>SUM(F90:F101)</f>
        <v>94909</v>
      </c>
      <c r="G13" s="908"/>
      <c r="H13" s="908">
        <f>SUM(H90:H101)</f>
        <v>522</v>
      </c>
      <c r="I13" s="908"/>
      <c r="J13" s="908">
        <f>SUM(J90:J101)</f>
        <v>2271</v>
      </c>
      <c r="K13" s="908"/>
      <c r="L13" s="908">
        <f>SUM(L90:L101)</f>
        <v>21053</v>
      </c>
      <c r="M13" s="908"/>
      <c r="N13" s="908">
        <f>SUM(N90:N101)</f>
        <v>97180</v>
      </c>
      <c r="O13" s="1020"/>
      <c r="P13" s="923">
        <f>SUM(P90:P101)</f>
        <v>13133</v>
      </c>
      <c r="Q13" s="908"/>
      <c r="R13" s="908">
        <f>SUM(R90:R101)</f>
        <v>104573</v>
      </c>
      <c r="S13" s="908"/>
      <c r="T13" s="908">
        <f>SUM(T90:T101)</f>
        <v>188</v>
      </c>
      <c r="U13" s="908">
        <f>SUM(U90:U101)</f>
        <v>1999</v>
      </c>
      <c r="V13" s="908">
        <f>SUM(V90:V101)</f>
        <v>13321</v>
      </c>
      <c r="W13" s="908"/>
      <c r="X13" s="908">
        <f>SUM(X90:X101)</f>
        <v>106572</v>
      </c>
      <c r="Y13" s="1020"/>
      <c r="Z13" s="965" t="s">
        <v>43</v>
      </c>
      <c r="AA13" s="1011"/>
      <c r="AB13" s="965">
        <f>SUM(AB90:AB101)</f>
        <v>140468</v>
      </c>
      <c r="AC13" s="1011"/>
      <c r="AD13" s="965">
        <f t="shared" si="2"/>
        <v>237648</v>
      </c>
      <c r="AE13" s="1011"/>
      <c r="AF13" s="768">
        <v>2010</v>
      </c>
      <c r="AG13" s="892"/>
      <c r="AH13" s="285"/>
    </row>
    <row r="14" spans="1:34" s="50" customFormat="1" hidden="1">
      <c r="B14" s="874">
        <v>2011</v>
      </c>
      <c r="C14" s="370"/>
      <c r="D14" s="923">
        <f>SUM(D102:D113)</f>
        <v>21752</v>
      </c>
      <c r="E14" s="908"/>
      <c r="F14" s="908">
        <f>SUM(F102:F113)</f>
        <v>91107</v>
      </c>
      <c r="G14" s="908"/>
      <c r="H14" s="908">
        <f>SUM(H102:H113)</f>
        <v>521</v>
      </c>
      <c r="I14" s="908"/>
      <c r="J14" s="908">
        <f>SUM(J102:J113)</f>
        <v>2853</v>
      </c>
      <c r="K14" s="908"/>
      <c r="L14" s="908">
        <f>SUM(L102:L113)</f>
        <v>22273</v>
      </c>
      <c r="M14" s="908"/>
      <c r="N14" s="908">
        <f>SUM(N102:N113)</f>
        <v>93960</v>
      </c>
      <c r="O14" s="1020"/>
      <c r="P14" s="923">
        <f>SUM(P102:P113)</f>
        <v>12958</v>
      </c>
      <c r="Q14" s="908"/>
      <c r="R14" s="908">
        <f>SUM(R102:R113)</f>
        <v>96836</v>
      </c>
      <c r="S14" s="908"/>
      <c r="T14" s="908">
        <f>SUM(T102:T113)</f>
        <v>156</v>
      </c>
      <c r="U14" s="908">
        <f>SUM(U102:U113)</f>
        <v>1954</v>
      </c>
      <c r="V14" s="908">
        <f>SUM(V102:V113)</f>
        <v>13114</v>
      </c>
      <c r="W14" s="908"/>
      <c r="X14" s="908">
        <f>SUM(X102:X113)</f>
        <v>98790</v>
      </c>
      <c r="Y14" s="1020"/>
      <c r="Z14" s="965" t="s">
        <v>43</v>
      </c>
      <c r="AA14" s="1011"/>
      <c r="AB14" s="965">
        <f>SUM(AB102:AB113)</f>
        <v>154938</v>
      </c>
      <c r="AC14" s="1011"/>
      <c r="AD14" s="965">
        <f t="shared" si="2"/>
        <v>248898</v>
      </c>
      <c r="AE14" s="1011"/>
      <c r="AF14" s="768">
        <v>2011</v>
      </c>
      <c r="AG14" s="892"/>
      <c r="AH14" s="285"/>
    </row>
    <row r="15" spans="1:34" s="50" customFormat="1" hidden="1">
      <c r="B15" s="874">
        <v>2012</v>
      </c>
      <c r="C15" s="370"/>
      <c r="D15" s="923">
        <f>SUM(D114:D125)</f>
        <v>22594</v>
      </c>
      <c r="E15" s="908"/>
      <c r="F15" s="908">
        <f>SUM(F114:F125)</f>
        <v>105611</v>
      </c>
      <c r="G15" s="908"/>
      <c r="H15" s="908">
        <f>SUM(H114:H125)</f>
        <v>364</v>
      </c>
      <c r="I15" s="908"/>
      <c r="J15" s="908">
        <f>SUM(J114:J125)</f>
        <v>2550</v>
      </c>
      <c r="K15" s="908"/>
      <c r="L15" s="908">
        <f>D15+H15</f>
        <v>22958</v>
      </c>
      <c r="M15" s="908"/>
      <c r="N15" s="908">
        <f>J15+F15</f>
        <v>108161</v>
      </c>
      <c r="O15" s="1020"/>
      <c r="P15" s="923">
        <f>SUM(P114:P125)</f>
        <v>14803</v>
      </c>
      <c r="Q15" s="908"/>
      <c r="R15" s="908">
        <f>SUM(R114:R125)</f>
        <v>113158</v>
      </c>
      <c r="S15" s="908"/>
      <c r="T15" s="908">
        <f>SUM(T114:T125)</f>
        <v>134</v>
      </c>
      <c r="U15" s="908">
        <f>SUM(U114:U125)</f>
        <v>2339</v>
      </c>
      <c r="V15" s="908">
        <f>P15+T15</f>
        <v>14937</v>
      </c>
      <c r="W15" s="908"/>
      <c r="X15" s="908">
        <f>R15+U15</f>
        <v>115497</v>
      </c>
      <c r="Y15" s="1015"/>
      <c r="Z15" s="1012" t="s">
        <v>43</v>
      </c>
      <c r="AA15" s="1011"/>
      <c r="AB15" s="965">
        <f>SUM(AB114:AB125)</f>
        <v>213243</v>
      </c>
      <c r="AC15" s="1011"/>
      <c r="AD15" s="965">
        <f t="shared" si="2"/>
        <v>321404</v>
      </c>
      <c r="AE15" s="1011"/>
      <c r="AF15" s="768">
        <v>2012</v>
      </c>
      <c r="AG15" s="892"/>
      <c r="AH15" s="285"/>
    </row>
    <row r="16" spans="1:34" s="50" customFormat="1" hidden="1">
      <c r="B16" s="874">
        <v>2013</v>
      </c>
      <c r="C16" s="370"/>
      <c r="D16" s="923">
        <f>SUM(D126:D137)</f>
        <v>25116</v>
      </c>
      <c r="E16" s="908"/>
      <c r="F16" s="908">
        <f>SUM(F126:F137)</f>
        <v>106466</v>
      </c>
      <c r="G16" s="908"/>
      <c r="H16" s="908">
        <f>SUM(H126:H137)</f>
        <v>495</v>
      </c>
      <c r="I16" s="908"/>
      <c r="J16" s="908">
        <f>SUM(J126:J137)</f>
        <v>3643</v>
      </c>
      <c r="K16" s="908"/>
      <c r="L16" s="908">
        <f>D16+H16</f>
        <v>25611</v>
      </c>
      <c r="M16" s="908"/>
      <c r="N16" s="908">
        <f>J16+F16</f>
        <v>110109</v>
      </c>
      <c r="O16" s="1021"/>
      <c r="P16" s="923">
        <f>SUM(P126:P137)</f>
        <v>16380</v>
      </c>
      <c r="Q16" s="908"/>
      <c r="R16" s="908">
        <f>SUM(R126:R137)</f>
        <v>118753</v>
      </c>
      <c r="S16" s="908"/>
      <c r="T16" s="908">
        <f>SUM(T126:T137)</f>
        <v>164</v>
      </c>
      <c r="U16" s="908">
        <f>SUM(U126:U137)</f>
        <v>3496</v>
      </c>
      <c r="V16" s="908">
        <f>P16+T16</f>
        <v>16544</v>
      </c>
      <c r="W16" s="908">
        <f>SUM(W126:W137)</f>
        <v>0</v>
      </c>
      <c r="X16" s="908">
        <f>R16+U16</f>
        <v>122249</v>
      </c>
      <c r="Y16" s="1015"/>
      <c r="Z16" s="1012" t="s">
        <v>43</v>
      </c>
      <c r="AA16" s="1011"/>
      <c r="AB16" s="965">
        <f>SUM(AB126:AB137)</f>
        <v>247296</v>
      </c>
      <c r="AC16" s="1011"/>
      <c r="AD16" s="965">
        <f t="shared" si="2"/>
        <v>357405</v>
      </c>
      <c r="AE16" s="1011"/>
      <c r="AF16" s="768">
        <v>2013</v>
      </c>
      <c r="AG16" s="892"/>
      <c r="AH16" s="285"/>
    </row>
    <row r="17" spans="1:34" s="50" customFormat="1" hidden="1">
      <c r="B17" s="874">
        <v>2014</v>
      </c>
      <c r="C17" s="370"/>
      <c r="D17" s="923">
        <f>SUM(D138:D149)</f>
        <v>25268</v>
      </c>
      <c r="E17" s="908"/>
      <c r="F17" s="908">
        <f>SUM(F138:F149)</f>
        <v>104471</v>
      </c>
      <c r="G17" s="908"/>
      <c r="H17" s="908">
        <f>SUM(H138:H149)</f>
        <v>616</v>
      </c>
      <c r="I17" s="908"/>
      <c r="J17" s="908">
        <f>SUM(J138:J149)</f>
        <v>4337</v>
      </c>
      <c r="K17" s="908">
        <f>SUM(K138:K149)</f>
        <v>0</v>
      </c>
      <c r="L17" s="908">
        <f>D17+H17</f>
        <v>25884</v>
      </c>
      <c r="M17" s="908"/>
      <c r="N17" s="908">
        <f>J17+F17</f>
        <v>108808</v>
      </c>
      <c r="O17" s="1021"/>
      <c r="P17" s="923">
        <f>SUM(P138:P149)</f>
        <v>18705</v>
      </c>
      <c r="Q17" s="908">
        <f>SUM(Q138:Q149)</f>
        <v>0</v>
      </c>
      <c r="R17" s="908">
        <f>SUM(R138:R149)</f>
        <v>117236</v>
      </c>
      <c r="S17" s="908"/>
      <c r="T17" s="908">
        <f>SUM(T138:T149)</f>
        <v>375</v>
      </c>
      <c r="U17" s="908">
        <f>SUM(U138:U149)</f>
        <v>3531</v>
      </c>
      <c r="V17" s="908">
        <f>P17+T17</f>
        <v>19080</v>
      </c>
      <c r="W17" s="908">
        <f>SUM(W138:W149)</f>
        <v>0</v>
      </c>
      <c r="X17" s="908">
        <f>R17+U17</f>
        <v>120767</v>
      </c>
      <c r="Y17" s="1015"/>
      <c r="Z17" s="1012" t="s">
        <v>43</v>
      </c>
      <c r="AA17" s="1011"/>
      <c r="AB17" s="965">
        <f>SUM(AB138:AB149)</f>
        <v>220205</v>
      </c>
      <c r="AC17" s="1011"/>
      <c r="AD17" s="908">
        <f t="shared" si="2"/>
        <v>329013</v>
      </c>
      <c r="AE17" s="1021"/>
      <c r="AF17" s="768">
        <v>2014</v>
      </c>
      <c r="AG17" s="892"/>
      <c r="AH17" s="285"/>
    </row>
    <row r="18" spans="1:34" s="50" customFormat="1" hidden="1">
      <c r="B18" s="874">
        <v>2015</v>
      </c>
      <c r="C18" s="370"/>
      <c r="D18" s="923">
        <f>SUM(D150:D161)</f>
        <v>26655</v>
      </c>
      <c r="E18" s="908"/>
      <c r="F18" s="908">
        <f>SUM(F150:F161)</f>
        <v>85527</v>
      </c>
      <c r="G18" s="908"/>
      <c r="H18" s="908">
        <f>SUM(H150:H161)</f>
        <v>307</v>
      </c>
      <c r="I18" s="908"/>
      <c r="J18" s="908">
        <f>SUM(J150:J161)</f>
        <v>4425</v>
      </c>
      <c r="K18" s="908">
        <f>SUM(K150:K161)</f>
        <v>0</v>
      </c>
      <c r="L18" s="908">
        <f>D18+H18</f>
        <v>26962</v>
      </c>
      <c r="M18" s="908"/>
      <c r="N18" s="908">
        <f>J18+F18</f>
        <v>89952</v>
      </c>
      <c r="O18" s="1021">
        <f t="shared" ref="O18:U18" si="4">SUM(O150:O161)</f>
        <v>0</v>
      </c>
      <c r="P18" s="923">
        <f t="shared" si="4"/>
        <v>19116</v>
      </c>
      <c r="Q18" s="908">
        <f t="shared" si="4"/>
        <v>0</v>
      </c>
      <c r="R18" s="908">
        <f t="shared" si="4"/>
        <v>95301</v>
      </c>
      <c r="S18" s="908">
        <f t="shared" si="4"/>
        <v>0</v>
      </c>
      <c r="T18" s="908">
        <f t="shared" si="4"/>
        <v>161</v>
      </c>
      <c r="U18" s="908">
        <f t="shared" si="4"/>
        <v>3030</v>
      </c>
      <c r="V18" s="908">
        <f>P18+T18</f>
        <v>19277</v>
      </c>
      <c r="W18" s="908">
        <f>SUM(W150:W161)</f>
        <v>0</v>
      </c>
      <c r="X18" s="908">
        <f>R18+U18</f>
        <v>98331</v>
      </c>
      <c r="Y18" s="908">
        <f>SUM(Y150:Y161)</f>
        <v>0</v>
      </c>
      <c r="Z18" s="1012" t="s">
        <v>43</v>
      </c>
      <c r="AA18" s="1011"/>
      <c r="AB18" s="908">
        <f>SUM(AB150:AB161)</f>
        <v>201873</v>
      </c>
      <c r="AC18" s="1021"/>
      <c r="AD18" s="908">
        <f t="shared" si="2"/>
        <v>291825</v>
      </c>
      <c r="AE18" s="1021"/>
      <c r="AF18" s="768">
        <v>2015</v>
      </c>
      <c r="AG18" s="892"/>
      <c r="AH18" s="285"/>
    </row>
    <row r="19" spans="1:34" s="50" customFormat="1" hidden="1">
      <c r="B19" s="874">
        <v>2016</v>
      </c>
      <c r="C19" s="370"/>
      <c r="D19" s="923">
        <f>SUM(D162:D173)</f>
        <v>24801</v>
      </c>
      <c r="E19" s="908"/>
      <c r="F19" s="908">
        <f>SUM(F162:F173)</f>
        <v>89358</v>
      </c>
      <c r="G19" s="908"/>
      <c r="H19" s="908">
        <f>SUM(H162:H173)</f>
        <v>359</v>
      </c>
      <c r="I19" s="908"/>
      <c r="J19" s="908">
        <f>SUM(J162:J173)</f>
        <v>5759</v>
      </c>
      <c r="K19" s="908">
        <f>SUM(K162:K173)</f>
        <v>0</v>
      </c>
      <c r="L19" s="908">
        <f>D19+H19</f>
        <v>25160</v>
      </c>
      <c r="M19" s="908"/>
      <c r="N19" s="908">
        <f>J19+F19</f>
        <v>95117</v>
      </c>
      <c r="O19" s="1021"/>
      <c r="P19" s="908">
        <v>20118</v>
      </c>
      <c r="Q19" s="908">
        <f>SUM(Q162:Q173)</f>
        <v>0</v>
      </c>
      <c r="R19" s="908">
        <v>91064</v>
      </c>
      <c r="S19" s="908">
        <f>SUM(S162:S173)</f>
        <v>0</v>
      </c>
      <c r="T19" s="908">
        <v>165</v>
      </c>
      <c r="U19" s="908">
        <v>4406</v>
      </c>
      <c r="V19" s="908">
        <f>P19+T19</f>
        <v>20283</v>
      </c>
      <c r="W19" s="908">
        <f>SUM(W162:W173)</f>
        <v>0</v>
      </c>
      <c r="X19" s="908">
        <f>R19+U19</f>
        <v>95470</v>
      </c>
      <c r="Y19" s="1021"/>
      <c r="Z19" s="965" t="s">
        <v>43</v>
      </c>
      <c r="AA19" s="1011"/>
      <c r="AB19" s="908">
        <f>SUM(AB162:AB173)</f>
        <v>256482</v>
      </c>
      <c r="AC19" s="1021"/>
      <c r="AD19" s="908">
        <f>N19+AB19</f>
        <v>351599</v>
      </c>
      <c r="AE19" s="1021"/>
      <c r="AF19" s="768">
        <v>2016</v>
      </c>
      <c r="AG19" s="892"/>
      <c r="AH19" s="285"/>
    </row>
    <row r="20" spans="1:34" s="50" customFormat="1" hidden="1">
      <c r="B20" s="874">
        <v>2017</v>
      </c>
      <c r="C20" s="370"/>
      <c r="D20" s="923">
        <f>SUM(D174:D185)</f>
        <v>27418</v>
      </c>
      <c r="E20" s="908"/>
      <c r="F20" s="908">
        <f>SUM(F174:F185)</f>
        <v>103463</v>
      </c>
      <c r="G20" s="908"/>
      <c r="H20" s="908">
        <f>SUM(H174:H185)</f>
        <v>830</v>
      </c>
      <c r="I20" s="908"/>
      <c r="J20" s="908">
        <f>SUM(J174:J185)</f>
        <v>5707</v>
      </c>
      <c r="K20" s="908">
        <f>SUM(K174:K185)</f>
        <v>0</v>
      </c>
      <c r="L20" s="908">
        <f>SUM(L174:L185)</f>
        <v>28248</v>
      </c>
      <c r="M20" s="908"/>
      <c r="N20" s="908">
        <f>SUM(N174:N185)</f>
        <v>109170</v>
      </c>
      <c r="O20" s="1021"/>
      <c r="P20" s="923">
        <f t="shared" ref="P20:Y20" si="5">SUM(P174:P185)</f>
        <v>25845</v>
      </c>
      <c r="Q20" s="908">
        <f t="shared" si="5"/>
        <v>0</v>
      </c>
      <c r="R20" s="908">
        <f t="shared" si="5"/>
        <v>108427</v>
      </c>
      <c r="S20" s="908">
        <f t="shared" si="5"/>
        <v>0</v>
      </c>
      <c r="T20" s="908">
        <f t="shared" si="5"/>
        <v>441</v>
      </c>
      <c r="U20" s="908">
        <f t="shared" si="5"/>
        <v>3831</v>
      </c>
      <c r="V20" s="908">
        <f t="shared" si="5"/>
        <v>26286</v>
      </c>
      <c r="W20" s="908">
        <f t="shared" si="5"/>
        <v>0</v>
      </c>
      <c r="X20" s="908">
        <f t="shared" si="5"/>
        <v>112258</v>
      </c>
      <c r="Y20" s="908">
        <f t="shared" si="5"/>
        <v>0</v>
      </c>
      <c r="Z20" s="1012" t="s">
        <v>43</v>
      </c>
      <c r="AA20" s="1011"/>
      <c r="AB20" s="908">
        <f>SUM(AB174:AB185)</f>
        <v>223551</v>
      </c>
      <c r="AC20" s="1021"/>
      <c r="AD20" s="908">
        <f>SUM(AD174:AD185)</f>
        <v>332721</v>
      </c>
      <c r="AE20" s="1021"/>
      <c r="AF20" s="768">
        <v>2017</v>
      </c>
      <c r="AG20" s="892"/>
      <c r="AH20" s="285"/>
    </row>
    <row r="21" spans="1:34" s="50" customFormat="1" hidden="1">
      <c r="B21" s="874">
        <v>2018</v>
      </c>
      <c r="C21" s="370"/>
      <c r="D21" s="923">
        <f>SUM(D186:D197)</f>
        <v>28426</v>
      </c>
      <c r="E21" s="908"/>
      <c r="F21" s="908">
        <f>SUM(F186:F197)</f>
        <v>111296</v>
      </c>
      <c r="G21" s="908"/>
      <c r="H21" s="908">
        <f>SUM(H186:H197)</f>
        <v>510</v>
      </c>
      <c r="I21" s="908"/>
      <c r="J21" s="908">
        <f>SUM(J186:J197)</f>
        <v>4338</v>
      </c>
      <c r="K21" s="908">
        <f>SUM(K186:K197)</f>
        <v>0</v>
      </c>
      <c r="L21" s="908">
        <f>SUM(L186:L197)</f>
        <v>28936</v>
      </c>
      <c r="M21" s="908"/>
      <c r="N21" s="908">
        <f>SUM(N186:N197)</f>
        <v>115634</v>
      </c>
      <c r="O21" s="1021"/>
      <c r="P21" s="923">
        <f>SUM(P186:P197)</f>
        <v>28160</v>
      </c>
      <c r="Q21" s="908"/>
      <c r="R21" s="908">
        <f>SUM(R186:R197)</f>
        <v>120736</v>
      </c>
      <c r="S21" s="908"/>
      <c r="T21" s="908">
        <f>SUM(T186:T197)</f>
        <v>231</v>
      </c>
      <c r="U21" s="908">
        <f>SUM(U186:U197)</f>
        <v>3840</v>
      </c>
      <c r="V21" s="908">
        <f>SUM(V186:V197)</f>
        <v>28391</v>
      </c>
      <c r="W21" s="908"/>
      <c r="X21" s="908">
        <f>SUM(X186:X197)</f>
        <v>124576</v>
      </c>
      <c r="Y21" s="908">
        <f>SUM(Y186:Y197)</f>
        <v>0</v>
      </c>
      <c r="Z21" s="1012" t="s">
        <v>43</v>
      </c>
      <c r="AA21" s="1011"/>
      <c r="AB21" s="908">
        <f>SUM(AB186:AB197)</f>
        <v>234567</v>
      </c>
      <c r="AC21" s="1021"/>
      <c r="AD21" s="908">
        <f>SUM(AD186:AD197)</f>
        <v>350201</v>
      </c>
      <c r="AE21" s="1021"/>
      <c r="AF21" s="768">
        <v>2018</v>
      </c>
      <c r="AG21" s="892"/>
      <c r="AH21" s="285"/>
    </row>
    <row r="22" spans="1:34" s="50" customFormat="1" hidden="1">
      <c r="B22" s="874">
        <v>2019</v>
      </c>
      <c r="C22" s="370"/>
      <c r="D22" s="923">
        <f>SUM(D198:D209)</f>
        <v>34575</v>
      </c>
      <c r="E22" s="908">
        <f>SUM(E198:E209)</f>
        <v>0</v>
      </c>
      <c r="F22" s="908">
        <f>SUM(F198:F209)</f>
        <v>117154</v>
      </c>
      <c r="G22" s="908"/>
      <c r="H22" s="908">
        <f t="shared" ref="H22:Y22" si="6">SUM(H198:H209)</f>
        <v>326</v>
      </c>
      <c r="I22" s="908">
        <f t="shared" si="6"/>
        <v>0</v>
      </c>
      <c r="J22" s="908">
        <f t="shared" si="6"/>
        <v>3474</v>
      </c>
      <c r="K22" s="908">
        <f t="shared" si="6"/>
        <v>0</v>
      </c>
      <c r="L22" s="908">
        <f t="shared" si="6"/>
        <v>34901</v>
      </c>
      <c r="M22" s="908">
        <f t="shared" si="6"/>
        <v>0</v>
      </c>
      <c r="N22" s="908">
        <f t="shared" si="6"/>
        <v>120628</v>
      </c>
      <c r="O22" s="1021">
        <f t="shared" si="6"/>
        <v>0</v>
      </c>
      <c r="P22" s="923">
        <f t="shared" si="6"/>
        <v>35876</v>
      </c>
      <c r="Q22" s="908">
        <f t="shared" si="6"/>
        <v>0</v>
      </c>
      <c r="R22" s="908">
        <f t="shared" si="6"/>
        <v>142012</v>
      </c>
      <c r="S22" s="908">
        <f t="shared" si="6"/>
        <v>0</v>
      </c>
      <c r="T22" s="908">
        <f t="shared" si="6"/>
        <v>529</v>
      </c>
      <c r="U22" s="908">
        <f t="shared" si="6"/>
        <v>3303</v>
      </c>
      <c r="V22" s="908">
        <f t="shared" si="6"/>
        <v>36405</v>
      </c>
      <c r="W22" s="908">
        <f t="shared" si="6"/>
        <v>0</v>
      </c>
      <c r="X22" s="908">
        <f t="shared" si="6"/>
        <v>145315</v>
      </c>
      <c r="Y22" s="908">
        <f t="shared" si="6"/>
        <v>0</v>
      </c>
      <c r="Z22" s="1012" t="s">
        <v>43</v>
      </c>
      <c r="AA22" s="1011"/>
      <c r="AB22" s="908">
        <f>SUM(AB198:AB209)</f>
        <v>135357</v>
      </c>
      <c r="AC22" s="1021"/>
      <c r="AD22" s="908">
        <f>SUM(AD198:AD209)</f>
        <v>255985</v>
      </c>
      <c r="AE22" s="1021"/>
      <c r="AF22" s="883">
        <v>2019</v>
      </c>
      <c r="AG22" s="892"/>
      <c r="AH22" s="285"/>
    </row>
    <row r="23" spans="1:34" s="50" customFormat="1" hidden="1">
      <c r="B23" s="874">
        <v>2020</v>
      </c>
      <c r="C23" s="370"/>
      <c r="D23" s="923">
        <f>SUM(D210:D221)</f>
        <v>10392</v>
      </c>
      <c r="E23" s="908">
        <f>SUM(E210:E221)</f>
        <v>0</v>
      </c>
      <c r="F23" s="908">
        <f>SUM(F210:F221)</f>
        <v>21764</v>
      </c>
      <c r="G23" s="908"/>
      <c r="H23" s="908">
        <f t="shared" ref="H23:Y23" si="7">SUM(H210:H221)</f>
        <v>17</v>
      </c>
      <c r="I23" s="908">
        <f t="shared" si="7"/>
        <v>0</v>
      </c>
      <c r="J23" s="908">
        <f t="shared" si="7"/>
        <v>201</v>
      </c>
      <c r="K23" s="908">
        <f t="shared" si="7"/>
        <v>0</v>
      </c>
      <c r="L23" s="908">
        <f t="shared" si="7"/>
        <v>10409</v>
      </c>
      <c r="M23" s="908">
        <f t="shared" si="7"/>
        <v>0</v>
      </c>
      <c r="N23" s="908">
        <f t="shared" si="7"/>
        <v>21965</v>
      </c>
      <c r="O23" s="1021">
        <f t="shared" si="7"/>
        <v>0</v>
      </c>
      <c r="P23" s="923">
        <f t="shared" si="7"/>
        <v>9122</v>
      </c>
      <c r="Q23" s="908">
        <f t="shared" si="7"/>
        <v>0</v>
      </c>
      <c r="R23" s="908">
        <f t="shared" si="7"/>
        <v>28095</v>
      </c>
      <c r="S23" s="908">
        <f t="shared" si="7"/>
        <v>0</v>
      </c>
      <c r="T23" s="908">
        <f t="shared" si="7"/>
        <v>253</v>
      </c>
      <c r="U23" s="908">
        <f t="shared" si="7"/>
        <v>39</v>
      </c>
      <c r="V23" s="908">
        <f t="shared" si="7"/>
        <v>9375</v>
      </c>
      <c r="W23" s="908">
        <f t="shared" si="7"/>
        <v>0</v>
      </c>
      <c r="X23" s="908">
        <f t="shared" si="7"/>
        <v>28134</v>
      </c>
      <c r="Y23" s="908">
        <f t="shared" si="7"/>
        <v>0</v>
      </c>
      <c r="Z23" s="1012" t="s">
        <v>43</v>
      </c>
      <c r="AA23" s="1011"/>
      <c r="AB23" s="908">
        <f>SUM(AB210:AB221)</f>
        <v>60401</v>
      </c>
      <c r="AC23" s="1021"/>
      <c r="AD23" s="908">
        <f>SUM(AD210:AD221)</f>
        <v>82366</v>
      </c>
      <c r="AE23" s="1021"/>
      <c r="AF23" s="883">
        <v>2020</v>
      </c>
      <c r="AG23" s="892"/>
      <c r="AH23" s="285"/>
    </row>
    <row r="24" spans="1:34" s="50" customFormat="1">
      <c r="B24" s="874">
        <v>2021</v>
      </c>
      <c r="C24" s="370"/>
      <c r="D24" s="923">
        <f>SUM(D222:D233)</f>
        <v>3495</v>
      </c>
      <c r="E24" s="908">
        <f>SUM(E222:E233)</f>
        <v>0</v>
      </c>
      <c r="F24" s="908">
        <f>SUM(F222:F233)</f>
        <v>0</v>
      </c>
      <c r="G24" s="908"/>
      <c r="H24" s="908">
        <f>SUM(H222:H233)</f>
        <v>0</v>
      </c>
      <c r="I24" s="908">
        <f>SUM(I222:I233)</f>
        <v>0</v>
      </c>
      <c r="J24" s="908">
        <f>SUM(J222:J233)</f>
        <v>0</v>
      </c>
      <c r="K24" s="923">
        <f>SUM(K222:K233)</f>
        <v>0</v>
      </c>
      <c r="L24" s="908">
        <f>SUM(L222:L233)</f>
        <v>3495</v>
      </c>
      <c r="M24" s="908" t="s">
        <v>41</v>
      </c>
      <c r="N24" s="908">
        <f>SUM(N222:N233)</f>
        <v>0</v>
      </c>
      <c r="O24" s="1021"/>
      <c r="P24" s="923">
        <f>SUM(P222:P233)</f>
        <v>8964</v>
      </c>
      <c r="Q24" s="908">
        <f>SUM(Q222:Q233)</f>
        <v>0</v>
      </c>
      <c r="R24" s="908">
        <f>SUM(R222:R233)</f>
        <v>0</v>
      </c>
      <c r="S24" s="908">
        <f>SUM(S222:S233)</f>
        <v>0</v>
      </c>
      <c r="T24" s="965" t="s">
        <v>43</v>
      </c>
      <c r="U24" s="965" t="s">
        <v>43</v>
      </c>
      <c r="V24" s="908">
        <f>SUM(V222:V233)</f>
        <v>8964</v>
      </c>
      <c r="W24" s="908"/>
      <c r="X24" s="908">
        <f>SUM(X222:X233)</f>
        <v>0</v>
      </c>
      <c r="Y24" s="908">
        <f>SUM(Y222:Y233)</f>
        <v>0</v>
      </c>
      <c r="Z24" s="1012" t="s">
        <v>43</v>
      </c>
      <c r="AA24" s="1011"/>
      <c r="AB24" s="908">
        <f>SUM(AB222:AB233)</f>
        <v>0</v>
      </c>
      <c r="AC24" s="1021"/>
      <c r="AD24" s="908">
        <f>SUM(AD222:AD233)</f>
        <v>0</v>
      </c>
      <c r="AE24" s="1021"/>
      <c r="AF24" s="883">
        <v>2021</v>
      </c>
      <c r="AG24" s="892"/>
      <c r="AH24" s="285"/>
    </row>
    <row r="25" spans="1:34" s="50" customFormat="1">
      <c r="B25" s="874">
        <v>2022</v>
      </c>
      <c r="C25" s="370"/>
      <c r="D25" s="923">
        <f>SUM(D234:D245)</f>
        <v>18547</v>
      </c>
      <c r="E25" s="908">
        <f>SUM(E234:E245)</f>
        <v>0</v>
      </c>
      <c r="F25" s="908">
        <f>SUM(F234:F245)</f>
        <v>30374</v>
      </c>
      <c r="G25" s="908"/>
      <c r="H25" s="908">
        <f t="shared" ref="H25:S25" si="8">SUM(H234:H245)</f>
        <v>0</v>
      </c>
      <c r="I25" s="908">
        <f t="shared" si="8"/>
        <v>0</v>
      </c>
      <c r="J25" s="908">
        <f t="shared" si="8"/>
        <v>0</v>
      </c>
      <c r="K25" s="923">
        <f t="shared" si="8"/>
        <v>0</v>
      </c>
      <c r="L25" s="908">
        <f t="shared" si="8"/>
        <v>18547</v>
      </c>
      <c r="M25" s="908">
        <f t="shared" si="8"/>
        <v>0</v>
      </c>
      <c r="N25" s="908">
        <f t="shared" si="8"/>
        <v>30374</v>
      </c>
      <c r="O25" s="908">
        <f t="shared" si="8"/>
        <v>0</v>
      </c>
      <c r="P25" s="923">
        <f t="shared" si="8"/>
        <v>18172</v>
      </c>
      <c r="Q25" s="908">
        <f t="shared" si="8"/>
        <v>0</v>
      </c>
      <c r="R25" s="908">
        <f t="shared" si="8"/>
        <v>27637</v>
      </c>
      <c r="S25" s="908">
        <f t="shared" si="8"/>
        <v>0</v>
      </c>
      <c r="T25" s="965" t="s">
        <v>43</v>
      </c>
      <c r="U25" s="908">
        <f>SUM(U234:U245)</f>
        <v>12</v>
      </c>
      <c r="V25" s="908">
        <f>SUM(V234:V245)</f>
        <v>18172</v>
      </c>
      <c r="W25" s="908">
        <f>SUM(W234:W245)</f>
        <v>0</v>
      </c>
      <c r="X25" s="908">
        <f>SUM(X234:X245)</f>
        <v>27637</v>
      </c>
      <c r="Y25" s="908">
        <f>SUM(Y234:Y245)</f>
        <v>0</v>
      </c>
      <c r="Z25" s="1012" t="s">
        <v>43</v>
      </c>
      <c r="AA25" s="1011"/>
      <c r="AB25" s="908">
        <f>SUM(AB234:AB245)</f>
        <v>34554</v>
      </c>
      <c r="AC25" s="1021"/>
      <c r="AD25" s="908">
        <f>SUM(AD234:AD245)</f>
        <v>65086</v>
      </c>
      <c r="AE25" s="1021"/>
      <c r="AF25" s="883">
        <v>2022</v>
      </c>
      <c r="AG25" s="892"/>
      <c r="AH25" s="285"/>
    </row>
    <row r="26" spans="1:34" s="50" customFormat="1">
      <c r="B26" s="874">
        <v>2023</v>
      </c>
      <c r="C26" s="370"/>
      <c r="D26" s="923">
        <f>SUM(D246:D257)</f>
        <v>29087</v>
      </c>
      <c r="E26" s="908">
        <f>SUM(E246:E257)</f>
        <v>0</v>
      </c>
      <c r="F26" s="908">
        <f>SUM(F246:F257)</f>
        <v>75302</v>
      </c>
      <c r="G26" s="908"/>
      <c r="H26" s="908">
        <f t="shared" ref="H26:Y26" si="9">SUM(H246:H257)</f>
        <v>350</v>
      </c>
      <c r="I26" s="908">
        <f t="shared" si="9"/>
        <v>0</v>
      </c>
      <c r="J26" s="908">
        <f t="shared" si="9"/>
        <v>1697</v>
      </c>
      <c r="K26" s="908">
        <f t="shared" si="9"/>
        <v>0</v>
      </c>
      <c r="L26" s="908">
        <f t="shared" si="9"/>
        <v>29437</v>
      </c>
      <c r="M26" s="908">
        <f t="shared" si="9"/>
        <v>0</v>
      </c>
      <c r="N26" s="908">
        <f t="shared" si="9"/>
        <v>76999</v>
      </c>
      <c r="O26" s="908">
        <f t="shared" si="9"/>
        <v>0</v>
      </c>
      <c r="P26" s="923">
        <f t="shared" si="9"/>
        <v>27855</v>
      </c>
      <c r="Q26" s="908">
        <f t="shared" si="9"/>
        <v>0</v>
      </c>
      <c r="R26" s="908">
        <f t="shared" si="9"/>
        <v>88150</v>
      </c>
      <c r="S26" s="908">
        <f t="shared" si="9"/>
        <v>0</v>
      </c>
      <c r="T26" s="908">
        <f t="shared" si="9"/>
        <v>156</v>
      </c>
      <c r="U26" s="908">
        <f t="shared" si="9"/>
        <v>1231</v>
      </c>
      <c r="V26" s="908">
        <f t="shared" si="9"/>
        <v>28011</v>
      </c>
      <c r="W26" s="908">
        <f t="shared" si="9"/>
        <v>0</v>
      </c>
      <c r="X26" s="908">
        <f t="shared" si="9"/>
        <v>89381</v>
      </c>
      <c r="Y26" s="908">
        <f t="shared" si="9"/>
        <v>0</v>
      </c>
      <c r="Z26" s="1012" t="s">
        <v>43</v>
      </c>
      <c r="AA26" s="1011"/>
      <c r="AB26" s="908">
        <f>SUM(AB246:AB257)</f>
        <v>263578</v>
      </c>
      <c r="AC26" s="1021"/>
      <c r="AD26" s="908">
        <f>SUM(AD246:AD257)</f>
        <v>341605</v>
      </c>
      <c r="AE26" s="1021"/>
      <c r="AF26" s="883">
        <v>2023</v>
      </c>
      <c r="AG26" s="892"/>
      <c r="AH26" s="285"/>
    </row>
    <row r="27" spans="1:34" s="50" customFormat="1">
      <c r="B27" s="874">
        <v>2024</v>
      </c>
      <c r="C27" s="370"/>
      <c r="D27" s="923">
        <f>SUM(D258:D269)</f>
        <v>29385</v>
      </c>
      <c r="E27" s="908">
        <f t="shared" ref="E27:AB27" si="10">SUM(E258:E269)</f>
        <v>0</v>
      </c>
      <c r="F27" s="908">
        <f t="shared" si="10"/>
        <v>56685</v>
      </c>
      <c r="G27" s="908"/>
      <c r="H27" s="908">
        <f t="shared" si="10"/>
        <v>539</v>
      </c>
      <c r="I27" s="908">
        <f t="shared" si="10"/>
        <v>0</v>
      </c>
      <c r="J27" s="908">
        <f t="shared" si="10"/>
        <v>2393</v>
      </c>
      <c r="K27" s="908">
        <f t="shared" si="10"/>
        <v>0</v>
      </c>
      <c r="L27" s="908">
        <f t="shared" si="10"/>
        <v>29924</v>
      </c>
      <c r="M27" s="908">
        <f t="shared" si="10"/>
        <v>0</v>
      </c>
      <c r="N27" s="908">
        <f t="shared" si="10"/>
        <v>59078</v>
      </c>
      <c r="O27" s="908">
        <f t="shared" si="10"/>
        <v>0</v>
      </c>
      <c r="P27" s="923">
        <f t="shared" si="10"/>
        <v>22986</v>
      </c>
      <c r="Q27" s="908">
        <f t="shared" si="10"/>
        <v>0</v>
      </c>
      <c r="R27" s="908">
        <f t="shared" si="10"/>
        <v>67863</v>
      </c>
      <c r="S27" s="908">
        <f t="shared" si="10"/>
        <v>0</v>
      </c>
      <c r="T27" s="908">
        <f t="shared" si="10"/>
        <v>256</v>
      </c>
      <c r="U27" s="908">
        <f t="shared" si="10"/>
        <v>2348</v>
      </c>
      <c r="V27" s="908">
        <f t="shared" si="10"/>
        <v>23242</v>
      </c>
      <c r="W27" s="908">
        <f t="shared" si="10"/>
        <v>0</v>
      </c>
      <c r="X27" s="908">
        <f t="shared" si="10"/>
        <v>70498</v>
      </c>
      <c r="Y27" s="908">
        <f t="shared" si="10"/>
        <v>0</v>
      </c>
      <c r="Z27" s="923">
        <f t="shared" si="10"/>
        <v>419</v>
      </c>
      <c r="AA27" s="1021"/>
      <c r="AB27" s="908">
        <f t="shared" si="10"/>
        <v>204798</v>
      </c>
      <c r="AC27" s="1021"/>
      <c r="AD27" s="908">
        <f>SUM(AD258:AD269)</f>
        <v>264295</v>
      </c>
      <c r="AE27" s="1021"/>
      <c r="AF27" s="883">
        <v>2024</v>
      </c>
      <c r="AG27" s="892"/>
      <c r="AH27" s="285"/>
    </row>
    <row r="28" spans="1:34" s="50" customFormat="1">
      <c r="B28" s="874">
        <v>2025</v>
      </c>
      <c r="C28" s="370"/>
      <c r="D28" s="923">
        <f>SUM(D270:D281)</f>
        <v>36822</v>
      </c>
      <c r="E28" s="908">
        <f t="shared" ref="E28:AD28" si="11">SUM(E270:E281)</f>
        <v>0</v>
      </c>
      <c r="F28" s="908">
        <f t="shared" si="11"/>
        <v>95318</v>
      </c>
      <c r="G28" s="908"/>
      <c r="H28" s="908">
        <f t="shared" si="11"/>
        <v>164</v>
      </c>
      <c r="I28" s="908">
        <f t="shared" si="11"/>
        <v>0</v>
      </c>
      <c r="J28" s="908">
        <f t="shared" si="11"/>
        <v>601</v>
      </c>
      <c r="K28" s="923">
        <f t="shared" si="11"/>
        <v>0</v>
      </c>
      <c r="L28" s="908">
        <f t="shared" si="11"/>
        <v>36986</v>
      </c>
      <c r="M28" s="908">
        <f t="shared" si="11"/>
        <v>0</v>
      </c>
      <c r="N28" s="908">
        <f t="shared" si="11"/>
        <v>95919</v>
      </c>
      <c r="O28" s="908">
        <f t="shared" si="11"/>
        <v>0</v>
      </c>
      <c r="P28" s="923">
        <f t="shared" si="11"/>
        <v>35264</v>
      </c>
      <c r="Q28" s="908">
        <f t="shared" si="11"/>
        <v>0</v>
      </c>
      <c r="R28" s="908">
        <f t="shared" si="11"/>
        <v>96743</v>
      </c>
      <c r="S28" s="908">
        <f t="shared" si="11"/>
        <v>0</v>
      </c>
      <c r="T28" s="908">
        <f t="shared" si="11"/>
        <v>101</v>
      </c>
      <c r="U28" s="908">
        <f t="shared" si="11"/>
        <v>792</v>
      </c>
      <c r="V28" s="908">
        <f t="shared" si="11"/>
        <v>35419</v>
      </c>
      <c r="W28" s="908">
        <f t="shared" si="11"/>
        <v>0</v>
      </c>
      <c r="X28" s="908">
        <f t="shared" si="11"/>
        <v>96932</v>
      </c>
      <c r="Y28" s="1021">
        <f t="shared" si="11"/>
        <v>0</v>
      </c>
      <c r="Z28" s="908">
        <f>SUM(Z270:Z281)</f>
        <v>1114</v>
      </c>
      <c r="AA28" s="1021">
        <f t="shared" si="11"/>
        <v>0</v>
      </c>
      <c r="AB28" s="908">
        <f t="shared" si="11"/>
        <v>178929</v>
      </c>
      <c r="AC28" s="908">
        <f t="shared" si="11"/>
        <v>0</v>
      </c>
      <c r="AD28" s="923">
        <f t="shared" si="11"/>
        <v>275962</v>
      </c>
      <c r="AE28" s="1021"/>
      <c r="AF28" s="883">
        <v>2025</v>
      </c>
      <c r="AG28" s="892"/>
      <c r="AH28" s="285"/>
    </row>
    <row r="29" spans="1:34" s="50" customFormat="1">
      <c r="A29" s="389"/>
      <c r="B29" s="874"/>
      <c r="C29" s="370"/>
      <c r="D29" s="1005"/>
      <c r="E29" s="1006"/>
      <c r="F29" s="1006"/>
      <c r="G29" s="1006"/>
      <c r="H29" s="1006"/>
      <c r="I29" s="1006"/>
      <c r="J29" s="1006"/>
      <c r="K29" s="1006"/>
      <c r="L29" s="1006"/>
      <c r="M29" s="1006"/>
      <c r="N29" s="1006"/>
      <c r="O29" s="1008"/>
      <c r="P29" s="1009"/>
      <c r="Q29" s="1010"/>
      <c r="R29" s="1010"/>
      <c r="S29" s="1010"/>
      <c r="T29" s="1010"/>
      <c r="U29" s="1010"/>
      <c r="V29" s="1010"/>
      <c r="W29" s="1010"/>
      <c r="X29" s="1010"/>
      <c r="Y29" s="1008"/>
      <c r="Z29" s="965"/>
      <c r="AA29" s="1011"/>
      <c r="AB29" s="1006"/>
      <c r="AC29" s="1008"/>
      <c r="AD29" s="1006"/>
      <c r="AE29" s="1008"/>
      <c r="AF29" s="768"/>
      <c r="AG29" s="892"/>
      <c r="AH29" s="285"/>
    </row>
    <row r="30" spans="1:34" ht="13.5" hidden="1" customHeight="1">
      <c r="A30" s="864"/>
      <c r="B30" s="874">
        <v>2005</v>
      </c>
      <c r="C30" s="370" t="s">
        <v>33</v>
      </c>
      <c r="D30" s="923">
        <v>1505</v>
      </c>
      <c r="E30" s="908"/>
      <c r="F30" s="908">
        <v>4994</v>
      </c>
      <c r="G30" s="908"/>
      <c r="H30" s="965" t="s">
        <v>43</v>
      </c>
      <c r="I30" s="965"/>
      <c r="J30" s="965" t="s">
        <v>43</v>
      </c>
      <c r="K30" s="965"/>
      <c r="L30" s="965">
        <f t="shared" ref="L30:L41" si="12">D30</f>
        <v>1505</v>
      </c>
      <c r="M30" s="965"/>
      <c r="N30" s="965">
        <f t="shared" ref="N30:N41" si="13">F30</f>
        <v>4994</v>
      </c>
      <c r="O30" s="1011">
        <f t="shared" ref="O30:O73" si="14">L30+N30</f>
        <v>6499</v>
      </c>
      <c r="P30" s="1012">
        <v>1403</v>
      </c>
      <c r="Q30" s="965"/>
      <c r="R30" s="965">
        <v>7103</v>
      </c>
      <c r="S30" s="965"/>
      <c r="T30" s="965" t="s">
        <v>43</v>
      </c>
      <c r="U30" s="965" t="s">
        <v>43</v>
      </c>
      <c r="V30" s="965">
        <f t="shared" ref="V30:V41" si="15">P30</f>
        <v>1403</v>
      </c>
      <c r="W30" s="965"/>
      <c r="X30" s="965">
        <f t="shared" ref="X30:X41" si="16">R30</f>
        <v>7103</v>
      </c>
      <c r="Y30" s="1011"/>
      <c r="Z30" s="965" t="s">
        <v>43</v>
      </c>
      <c r="AA30" s="1011"/>
      <c r="AB30" s="908">
        <v>7585</v>
      </c>
      <c r="AC30" s="1021"/>
      <c r="AD30" s="965"/>
      <c r="AE30" s="1011"/>
      <c r="AF30" s="883">
        <v>2005</v>
      </c>
      <c r="AG30" s="892" t="s">
        <v>33</v>
      </c>
    </row>
    <row r="31" spans="1:34" ht="14.25" hidden="1" customHeight="1">
      <c r="A31" s="864"/>
      <c r="B31" s="874">
        <v>2005</v>
      </c>
      <c r="C31" s="370" t="s">
        <v>34</v>
      </c>
      <c r="D31" s="923">
        <v>903</v>
      </c>
      <c r="E31" s="908"/>
      <c r="F31" s="908">
        <v>3440</v>
      </c>
      <c r="G31" s="908"/>
      <c r="H31" s="965" t="s">
        <v>43</v>
      </c>
      <c r="I31" s="965"/>
      <c r="J31" s="965" t="s">
        <v>43</v>
      </c>
      <c r="K31" s="965"/>
      <c r="L31" s="965">
        <f t="shared" si="12"/>
        <v>903</v>
      </c>
      <c r="M31" s="965"/>
      <c r="N31" s="965">
        <f t="shared" si="13"/>
        <v>3440</v>
      </c>
      <c r="O31" s="1011">
        <f t="shared" si="14"/>
        <v>4343</v>
      </c>
      <c r="P31" s="1012">
        <v>1120</v>
      </c>
      <c r="Q31" s="965"/>
      <c r="R31" s="965">
        <v>3367</v>
      </c>
      <c r="S31" s="965"/>
      <c r="T31" s="965" t="s">
        <v>43</v>
      </c>
      <c r="U31" s="965" t="s">
        <v>43</v>
      </c>
      <c r="V31" s="965">
        <f t="shared" si="15"/>
        <v>1120</v>
      </c>
      <c r="W31" s="965"/>
      <c r="X31" s="965">
        <f t="shared" si="16"/>
        <v>3367</v>
      </c>
      <c r="Y31" s="1011"/>
      <c r="Z31" s="965" t="s">
        <v>43</v>
      </c>
      <c r="AA31" s="1011"/>
      <c r="AB31" s="908">
        <v>3533</v>
      </c>
      <c r="AC31" s="1021"/>
      <c r="AD31" s="965"/>
      <c r="AE31" s="1011"/>
      <c r="AF31" s="883">
        <v>2005</v>
      </c>
      <c r="AG31" s="892" t="s">
        <v>77</v>
      </c>
    </row>
    <row r="32" spans="1:34" ht="15" hidden="1" customHeight="1">
      <c r="A32" s="864"/>
      <c r="B32" s="874">
        <v>2005</v>
      </c>
      <c r="C32" s="370" t="s">
        <v>29</v>
      </c>
      <c r="D32" s="923">
        <v>1058</v>
      </c>
      <c r="E32" s="908"/>
      <c r="F32" s="908">
        <v>4214</v>
      </c>
      <c r="G32" s="908"/>
      <c r="H32" s="965" t="s">
        <v>43</v>
      </c>
      <c r="I32" s="965"/>
      <c r="J32" s="965" t="s">
        <v>43</v>
      </c>
      <c r="K32" s="965"/>
      <c r="L32" s="965">
        <f t="shared" si="12"/>
        <v>1058</v>
      </c>
      <c r="M32" s="965"/>
      <c r="N32" s="965">
        <f t="shared" si="13"/>
        <v>4214</v>
      </c>
      <c r="O32" s="1011">
        <f t="shared" si="14"/>
        <v>5272</v>
      </c>
      <c r="P32" s="1012">
        <v>1103</v>
      </c>
      <c r="Q32" s="965"/>
      <c r="R32" s="965">
        <v>4014</v>
      </c>
      <c r="S32" s="965"/>
      <c r="T32" s="965" t="s">
        <v>43</v>
      </c>
      <c r="U32" s="965" t="s">
        <v>43</v>
      </c>
      <c r="V32" s="965">
        <f t="shared" si="15"/>
        <v>1103</v>
      </c>
      <c r="W32" s="965"/>
      <c r="X32" s="965">
        <f t="shared" si="16"/>
        <v>4014</v>
      </c>
      <c r="Y32" s="1011"/>
      <c r="Z32" s="965" t="s">
        <v>43</v>
      </c>
      <c r="AA32" s="1011"/>
      <c r="AB32" s="908">
        <v>8336</v>
      </c>
      <c r="AC32" s="1021"/>
      <c r="AD32" s="965"/>
      <c r="AE32" s="1011"/>
      <c r="AF32" s="883">
        <v>2005</v>
      </c>
      <c r="AG32" s="892" t="s">
        <v>29</v>
      </c>
    </row>
    <row r="33" spans="1:33" ht="14.25" hidden="1" customHeight="1">
      <c r="A33" s="864"/>
      <c r="B33" s="874">
        <v>2005</v>
      </c>
      <c r="C33" s="370" t="s">
        <v>35</v>
      </c>
      <c r="D33" s="923">
        <v>1186</v>
      </c>
      <c r="E33" s="908"/>
      <c r="F33" s="908">
        <v>4186</v>
      </c>
      <c r="G33" s="908"/>
      <c r="H33" s="965" t="s">
        <v>43</v>
      </c>
      <c r="I33" s="965"/>
      <c r="J33" s="965" t="s">
        <v>43</v>
      </c>
      <c r="K33" s="965"/>
      <c r="L33" s="965">
        <f t="shared" si="12"/>
        <v>1186</v>
      </c>
      <c r="M33" s="965"/>
      <c r="N33" s="965">
        <f t="shared" si="13"/>
        <v>4186</v>
      </c>
      <c r="O33" s="1011">
        <f t="shared" si="14"/>
        <v>5372</v>
      </c>
      <c r="P33" s="1012">
        <v>947</v>
      </c>
      <c r="Q33" s="965"/>
      <c r="R33" s="965">
        <v>4244</v>
      </c>
      <c r="S33" s="965"/>
      <c r="T33" s="965" t="s">
        <v>43</v>
      </c>
      <c r="U33" s="965" t="s">
        <v>43</v>
      </c>
      <c r="V33" s="965">
        <f t="shared" si="15"/>
        <v>947</v>
      </c>
      <c r="W33" s="965"/>
      <c r="X33" s="965">
        <f t="shared" si="16"/>
        <v>4244</v>
      </c>
      <c r="Y33" s="1011"/>
      <c r="Z33" s="965" t="s">
        <v>43</v>
      </c>
      <c r="AA33" s="1011"/>
      <c r="AB33" s="908">
        <v>7949</v>
      </c>
      <c r="AC33" s="1021"/>
      <c r="AD33" s="965"/>
      <c r="AE33" s="1011"/>
      <c r="AF33" s="883">
        <v>2005</v>
      </c>
      <c r="AG33" s="892" t="s">
        <v>78</v>
      </c>
    </row>
    <row r="34" spans="1:33" ht="13.5" hidden="1" customHeight="1">
      <c r="A34" s="864"/>
      <c r="B34" s="874">
        <v>2005</v>
      </c>
      <c r="C34" s="370" t="s">
        <v>4</v>
      </c>
      <c r="D34" s="923">
        <v>860</v>
      </c>
      <c r="E34" s="908"/>
      <c r="F34" s="908">
        <v>4008</v>
      </c>
      <c r="G34" s="908"/>
      <c r="H34" s="965" t="s">
        <v>43</v>
      </c>
      <c r="I34" s="965"/>
      <c r="J34" s="965" t="s">
        <v>43</v>
      </c>
      <c r="K34" s="965"/>
      <c r="L34" s="965">
        <f t="shared" si="12"/>
        <v>860</v>
      </c>
      <c r="M34" s="965"/>
      <c r="N34" s="965">
        <f t="shared" si="13"/>
        <v>4008</v>
      </c>
      <c r="O34" s="1011">
        <f t="shared" si="14"/>
        <v>4868</v>
      </c>
      <c r="P34" s="1012">
        <v>979</v>
      </c>
      <c r="Q34" s="965"/>
      <c r="R34" s="965">
        <v>4391</v>
      </c>
      <c r="S34" s="965"/>
      <c r="T34" s="965" t="s">
        <v>43</v>
      </c>
      <c r="U34" s="965" t="s">
        <v>43</v>
      </c>
      <c r="V34" s="965">
        <f t="shared" si="15"/>
        <v>979</v>
      </c>
      <c r="W34" s="965"/>
      <c r="X34" s="965">
        <f t="shared" si="16"/>
        <v>4391</v>
      </c>
      <c r="Y34" s="1011"/>
      <c r="Z34" s="965" t="s">
        <v>43</v>
      </c>
      <c r="AA34" s="1011"/>
      <c r="AB34" s="908">
        <v>3562</v>
      </c>
      <c r="AC34" s="1021"/>
      <c r="AD34" s="965"/>
      <c r="AE34" s="1011"/>
      <c r="AF34" s="883">
        <v>2005</v>
      </c>
      <c r="AG34" s="892" t="s">
        <v>79</v>
      </c>
    </row>
    <row r="35" spans="1:33" ht="13.5" hidden="1" customHeight="1">
      <c r="A35" s="864"/>
      <c r="B35" s="874">
        <v>2005</v>
      </c>
      <c r="C35" s="370" t="s">
        <v>30</v>
      </c>
      <c r="D35" s="923">
        <v>1111</v>
      </c>
      <c r="E35" s="908"/>
      <c r="F35" s="908">
        <v>5115</v>
      </c>
      <c r="G35" s="908"/>
      <c r="H35" s="965" t="s">
        <v>43</v>
      </c>
      <c r="I35" s="965"/>
      <c r="J35" s="965" t="s">
        <v>43</v>
      </c>
      <c r="K35" s="965"/>
      <c r="L35" s="965">
        <f t="shared" si="12"/>
        <v>1111</v>
      </c>
      <c r="M35" s="965"/>
      <c r="N35" s="965">
        <f t="shared" si="13"/>
        <v>5115</v>
      </c>
      <c r="O35" s="1011">
        <f t="shared" si="14"/>
        <v>6226</v>
      </c>
      <c r="P35" s="1012">
        <v>859</v>
      </c>
      <c r="Q35" s="965"/>
      <c r="R35" s="965">
        <v>4304</v>
      </c>
      <c r="S35" s="965"/>
      <c r="T35" s="965" t="s">
        <v>43</v>
      </c>
      <c r="U35" s="965" t="s">
        <v>43</v>
      </c>
      <c r="V35" s="965">
        <f t="shared" si="15"/>
        <v>859</v>
      </c>
      <c r="W35" s="965"/>
      <c r="X35" s="965">
        <f t="shared" si="16"/>
        <v>4304</v>
      </c>
      <c r="Y35" s="1011"/>
      <c r="Z35" s="965" t="s">
        <v>43</v>
      </c>
      <c r="AA35" s="1011"/>
      <c r="AB35" s="908">
        <v>1775</v>
      </c>
      <c r="AC35" s="1021"/>
      <c r="AD35" s="965"/>
      <c r="AE35" s="1011"/>
      <c r="AF35" s="883">
        <v>2005</v>
      </c>
      <c r="AG35" s="892" t="s">
        <v>80</v>
      </c>
    </row>
    <row r="36" spans="1:33" ht="13.5" hidden="1" customHeight="1">
      <c r="A36" s="864"/>
      <c r="B36" s="874">
        <v>2005</v>
      </c>
      <c r="C36" s="370" t="s">
        <v>131</v>
      </c>
      <c r="D36" s="923">
        <v>1307</v>
      </c>
      <c r="E36" s="908"/>
      <c r="F36" s="908">
        <v>6428</v>
      </c>
      <c r="G36" s="908"/>
      <c r="H36" s="965" t="s">
        <v>43</v>
      </c>
      <c r="I36" s="965"/>
      <c r="J36" s="965" t="s">
        <v>43</v>
      </c>
      <c r="K36" s="965"/>
      <c r="L36" s="965">
        <f t="shared" si="12"/>
        <v>1307</v>
      </c>
      <c r="M36" s="965"/>
      <c r="N36" s="965">
        <f t="shared" si="13"/>
        <v>6428</v>
      </c>
      <c r="O36" s="1011">
        <f t="shared" si="14"/>
        <v>7735</v>
      </c>
      <c r="P36" s="1012">
        <v>1023</v>
      </c>
      <c r="Q36" s="965"/>
      <c r="R36" s="965">
        <v>6499</v>
      </c>
      <c r="S36" s="965"/>
      <c r="T36" s="965" t="s">
        <v>43</v>
      </c>
      <c r="U36" s="965" t="s">
        <v>43</v>
      </c>
      <c r="V36" s="965">
        <f t="shared" si="15"/>
        <v>1023</v>
      </c>
      <c r="W36" s="965"/>
      <c r="X36" s="965">
        <f t="shared" si="16"/>
        <v>6499</v>
      </c>
      <c r="Y36" s="1011"/>
      <c r="Z36" s="965" t="s">
        <v>43</v>
      </c>
      <c r="AA36" s="1011"/>
      <c r="AB36" s="908">
        <v>2984</v>
      </c>
      <c r="AC36" s="1021"/>
      <c r="AD36" s="965"/>
      <c r="AE36" s="1011"/>
      <c r="AF36" s="883">
        <v>2005</v>
      </c>
      <c r="AG36" s="892" t="s">
        <v>81</v>
      </c>
    </row>
    <row r="37" spans="1:33" ht="14.25" hidden="1" customHeight="1">
      <c r="A37" s="864"/>
      <c r="B37" s="874">
        <v>2005</v>
      </c>
      <c r="C37" s="370" t="s">
        <v>37</v>
      </c>
      <c r="D37" s="923">
        <v>1168</v>
      </c>
      <c r="E37" s="908"/>
      <c r="F37" s="908">
        <v>5394</v>
      </c>
      <c r="G37" s="908"/>
      <c r="H37" s="965" t="s">
        <v>43</v>
      </c>
      <c r="I37" s="965"/>
      <c r="J37" s="965" t="s">
        <v>43</v>
      </c>
      <c r="K37" s="965"/>
      <c r="L37" s="965">
        <f t="shared" si="12"/>
        <v>1168</v>
      </c>
      <c r="M37" s="965"/>
      <c r="N37" s="965">
        <f t="shared" si="13"/>
        <v>5394</v>
      </c>
      <c r="O37" s="1011">
        <f t="shared" si="14"/>
        <v>6562</v>
      </c>
      <c r="P37" s="1012">
        <v>1122</v>
      </c>
      <c r="Q37" s="965"/>
      <c r="R37" s="965">
        <v>5777</v>
      </c>
      <c r="S37" s="965"/>
      <c r="T37" s="965" t="s">
        <v>43</v>
      </c>
      <c r="U37" s="965" t="s">
        <v>43</v>
      </c>
      <c r="V37" s="965">
        <f t="shared" si="15"/>
        <v>1122</v>
      </c>
      <c r="W37" s="965"/>
      <c r="X37" s="965">
        <f t="shared" si="16"/>
        <v>5777</v>
      </c>
      <c r="Y37" s="1011"/>
      <c r="Z37" s="965" t="s">
        <v>43</v>
      </c>
      <c r="AA37" s="1011"/>
      <c r="AB37" s="908">
        <v>9350</v>
      </c>
      <c r="AC37" s="1021"/>
      <c r="AD37" s="965"/>
      <c r="AE37" s="1011"/>
      <c r="AF37" s="883">
        <v>2005</v>
      </c>
      <c r="AG37" s="892" t="s">
        <v>82</v>
      </c>
    </row>
    <row r="38" spans="1:33" ht="13.5" hidden="1" customHeight="1">
      <c r="A38" s="864"/>
      <c r="B38" s="874">
        <v>2005</v>
      </c>
      <c r="C38" s="370" t="s">
        <v>31</v>
      </c>
      <c r="D38" s="923">
        <v>1034</v>
      </c>
      <c r="E38" s="908"/>
      <c r="F38" s="908">
        <v>6685</v>
      </c>
      <c r="G38" s="908"/>
      <c r="H38" s="965" t="s">
        <v>43</v>
      </c>
      <c r="I38" s="965"/>
      <c r="J38" s="965" t="s">
        <v>43</v>
      </c>
      <c r="K38" s="965"/>
      <c r="L38" s="965">
        <f t="shared" si="12"/>
        <v>1034</v>
      </c>
      <c r="M38" s="965"/>
      <c r="N38" s="965">
        <f t="shared" si="13"/>
        <v>6685</v>
      </c>
      <c r="O38" s="1011">
        <f t="shared" si="14"/>
        <v>7719</v>
      </c>
      <c r="P38" s="1012">
        <v>981</v>
      </c>
      <c r="Q38" s="965"/>
      <c r="R38" s="965">
        <v>6257</v>
      </c>
      <c r="S38" s="965"/>
      <c r="T38" s="965" t="s">
        <v>43</v>
      </c>
      <c r="U38" s="965" t="s">
        <v>43</v>
      </c>
      <c r="V38" s="965">
        <f t="shared" si="15"/>
        <v>981</v>
      </c>
      <c r="W38" s="965"/>
      <c r="X38" s="965">
        <f t="shared" si="16"/>
        <v>6257</v>
      </c>
      <c r="Y38" s="1011"/>
      <c r="Z38" s="965" t="s">
        <v>43</v>
      </c>
      <c r="AA38" s="1011"/>
      <c r="AB38" s="908">
        <v>4683</v>
      </c>
      <c r="AC38" s="1021"/>
      <c r="AD38" s="965"/>
      <c r="AE38" s="1011"/>
      <c r="AF38" s="883">
        <v>2005</v>
      </c>
      <c r="AG38" s="892" t="s">
        <v>31</v>
      </c>
    </row>
    <row r="39" spans="1:33" ht="13.5" hidden="1" customHeight="1">
      <c r="A39" s="864"/>
      <c r="B39" s="874">
        <v>2005</v>
      </c>
      <c r="C39" s="370" t="s">
        <v>49</v>
      </c>
      <c r="D39" s="923">
        <v>1008</v>
      </c>
      <c r="E39" s="908"/>
      <c r="F39" s="908">
        <v>5897</v>
      </c>
      <c r="G39" s="908"/>
      <c r="H39" s="965" t="s">
        <v>43</v>
      </c>
      <c r="I39" s="965"/>
      <c r="J39" s="965" t="s">
        <v>43</v>
      </c>
      <c r="K39" s="965"/>
      <c r="L39" s="965">
        <f t="shared" si="12"/>
        <v>1008</v>
      </c>
      <c r="M39" s="965"/>
      <c r="N39" s="965">
        <f t="shared" si="13"/>
        <v>5897</v>
      </c>
      <c r="O39" s="1011">
        <f t="shared" si="14"/>
        <v>6905</v>
      </c>
      <c r="P39" s="1012">
        <v>1006</v>
      </c>
      <c r="Q39" s="965"/>
      <c r="R39" s="965">
        <v>6502</v>
      </c>
      <c r="S39" s="965"/>
      <c r="T39" s="965" t="s">
        <v>43</v>
      </c>
      <c r="U39" s="965" t="s">
        <v>43</v>
      </c>
      <c r="V39" s="965">
        <f t="shared" si="15"/>
        <v>1006</v>
      </c>
      <c r="W39" s="965"/>
      <c r="X39" s="965">
        <f t="shared" si="16"/>
        <v>6502</v>
      </c>
      <c r="Y39" s="1011"/>
      <c r="Z39" s="965" t="s">
        <v>43</v>
      </c>
      <c r="AA39" s="1011"/>
      <c r="AB39" s="908">
        <v>6823</v>
      </c>
      <c r="AC39" s="1021"/>
      <c r="AD39" s="965"/>
      <c r="AE39" s="1011"/>
      <c r="AF39" s="883">
        <v>2005</v>
      </c>
      <c r="AG39" s="892" t="s">
        <v>49</v>
      </c>
    </row>
    <row r="40" spans="1:33" ht="12.75" hidden="1" customHeight="1">
      <c r="A40" s="864"/>
      <c r="B40" s="874">
        <v>2005</v>
      </c>
      <c r="C40" s="370" t="s">
        <v>39</v>
      </c>
      <c r="D40" s="923">
        <v>1195</v>
      </c>
      <c r="E40" s="908"/>
      <c r="F40" s="908">
        <v>5544</v>
      </c>
      <c r="G40" s="908"/>
      <c r="H40" s="965" t="s">
        <v>43</v>
      </c>
      <c r="I40" s="965"/>
      <c r="J40" s="965" t="s">
        <v>43</v>
      </c>
      <c r="K40" s="965"/>
      <c r="L40" s="965">
        <f t="shared" si="12"/>
        <v>1195</v>
      </c>
      <c r="M40" s="965"/>
      <c r="N40" s="965">
        <f t="shared" si="13"/>
        <v>5544</v>
      </c>
      <c r="O40" s="1011">
        <f t="shared" si="14"/>
        <v>6739</v>
      </c>
      <c r="P40" s="1012">
        <v>1250</v>
      </c>
      <c r="Q40" s="965"/>
      <c r="R40" s="965">
        <v>4830</v>
      </c>
      <c r="S40" s="965"/>
      <c r="T40" s="965" t="s">
        <v>43</v>
      </c>
      <c r="U40" s="965" t="s">
        <v>43</v>
      </c>
      <c r="V40" s="965">
        <f t="shared" si="15"/>
        <v>1250</v>
      </c>
      <c r="W40" s="965"/>
      <c r="X40" s="965">
        <f t="shared" si="16"/>
        <v>4830</v>
      </c>
      <c r="Y40" s="1011"/>
      <c r="Z40" s="965" t="s">
        <v>43</v>
      </c>
      <c r="AA40" s="1011"/>
      <c r="AB40" s="908">
        <v>2371</v>
      </c>
      <c r="AC40" s="1021"/>
      <c r="AD40" s="965"/>
      <c r="AE40" s="1011"/>
      <c r="AF40" s="883">
        <v>2005</v>
      </c>
      <c r="AG40" s="892" t="s">
        <v>39</v>
      </c>
    </row>
    <row r="41" spans="1:33" ht="13.5" hidden="1" customHeight="1">
      <c r="A41" s="864"/>
      <c r="B41" s="874">
        <v>2005</v>
      </c>
      <c r="C41" s="370" t="s">
        <v>32</v>
      </c>
      <c r="D41" s="923">
        <v>1453</v>
      </c>
      <c r="E41" s="908"/>
      <c r="F41" s="908">
        <v>6177</v>
      </c>
      <c r="G41" s="908"/>
      <c r="H41" s="965" t="s">
        <v>43</v>
      </c>
      <c r="I41" s="965"/>
      <c r="J41" s="965" t="s">
        <v>43</v>
      </c>
      <c r="K41" s="965"/>
      <c r="L41" s="965">
        <f t="shared" si="12"/>
        <v>1453</v>
      </c>
      <c r="M41" s="965"/>
      <c r="N41" s="965">
        <f t="shared" si="13"/>
        <v>6177</v>
      </c>
      <c r="O41" s="1011">
        <f t="shared" si="14"/>
        <v>7630</v>
      </c>
      <c r="P41" s="1012">
        <v>1815</v>
      </c>
      <c r="Q41" s="965"/>
      <c r="R41" s="965">
        <v>5076</v>
      </c>
      <c r="S41" s="965"/>
      <c r="T41" s="965" t="s">
        <v>43</v>
      </c>
      <c r="U41" s="965" t="s">
        <v>43</v>
      </c>
      <c r="V41" s="965">
        <f t="shared" si="15"/>
        <v>1815</v>
      </c>
      <c r="W41" s="965"/>
      <c r="X41" s="965">
        <f t="shared" si="16"/>
        <v>5076</v>
      </c>
      <c r="Y41" s="1011"/>
      <c r="Z41" s="965" t="s">
        <v>43</v>
      </c>
      <c r="AA41" s="1011"/>
      <c r="AB41" s="908">
        <v>4603</v>
      </c>
      <c r="AC41" s="1021"/>
      <c r="AD41" s="965"/>
      <c r="AE41" s="1011"/>
      <c r="AF41" s="883">
        <v>2005</v>
      </c>
      <c r="AG41" s="892" t="s">
        <v>83</v>
      </c>
    </row>
    <row r="42" spans="1:33" ht="13.5" hidden="1">
      <c r="A42" s="864"/>
      <c r="B42" s="874">
        <v>2006</v>
      </c>
      <c r="C42" s="370" t="s">
        <v>33</v>
      </c>
      <c r="D42" s="1014">
        <v>1496</v>
      </c>
      <c r="E42" s="1015"/>
      <c r="F42" s="1015">
        <v>5662</v>
      </c>
      <c r="G42" s="1015"/>
      <c r="H42" s="1016" t="s">
        <v>43</v>
      </c>
      <c r="I42" s="1016"/>
      <c r="J42" s="1016" t="s">
        <v>43</v>
      </c>
      <c r="K42" s="1016"/>
      <c r="L42" s="1016">
        <f>D42</f>
        <v>1496</v>
      </c>
      <c r="M42" s="1016"/>
      <c r="N42" s="1016">
        <f t="shared" ref="N42:N51" si="17">F42</f>
        <v>5662</v>
      </c>
      <c r="O42" s="1017">
        <f t="shared" si="14"/>
        <v>7158</v>
      </c>
      <c r="P42" s="1018">
        <v>1471</v>
      </c>
      <c r="Q42" s="1016"/>
      <c r="R42" s="1016">
        <v>7090</v>
      </c>
      <c r="S42" s="1016"/>
      <c r="T42" s="1016" t="s">
        <v>43</v>
      </c>
      <c r="U42" s="1016" t="s">
        <v>43</v>
      </c>
      <c r="V42" s="1016">
        <f t="shared" ref="V42:V51" si="18">P42</f>
        <v>1471</v>
      </c>
      <c r="W42" s="1016"/>
      <c r="X42" s="1016">
        <f t="shared" ref="X42:X51" si="19">R42</f>
        <v>7090</v>
      </c>
      <c r="Y42" s="1017"/>
      <c r="Z42" s="965" t="s">
        <v>43</v>
      </c>
      <c r="AA42" s="1011"/>
      <c r="AB42" s="1015">
        <v>10705</v>
      </c>
      <c r="AC42" s="1020"/>
      <c r="AD42" s="1016"/>
      <c r="AE42" s="1017"/>
      <c r="AF42" s="768">
        <v>2006</v>
      </c>
      <c r="AG42" s="892" t="s">
        <v>33</v>
      </c>
    </row>
    <row r="43" spans="1:33" ht="14.25" hidden="1" customHeight="1">
      <c r="A43" s="864"/>
      <c r="B43" s="874">
        <v>2006</v>
      </c>
      <c r="C43" s="370" t="s">
        <v>34</v>
      </c>
      <c r="D43" s="1014">
        <v>1167</v>
      </c>
      <c r="E43" s="1015"/>
      <c r="F43" s="1015">
        <v>3948</v>
      </c>
      <c r="G43" s="1015"/>
      <c r="H43" s="1016" t="s">
        <v>43</v>
      </c>
      <c r="I43" s="1016"/>
      <c r="J43" s="1016" t="s">
        <v>43</v>
      </c>
      <c r="K43" s="1016"/>
      <c r="L43" s="1016">
        <f t="shared" ref="L43:L51" si="20">D43</f>
        <v>1167</v>
      </c>
      <c r="M43" s="1016"/>
      <c r="N43" s="1016">
        <f t="shared" si="17"/>
        <v>3948</v>
      </c>
      <c r="O43" s="1017">
        <f t="shared" si="14"/>
        <v>5115</v>
      </c>
      <c r="P43" s="1018">
        <v>1108</v>
      </c>
      <c r="Q43" s="1016"/>
      <c r="R43" s="1016">
        <v>4118</v>
      </c>
      <c r="S43" s="1016"/>
      <c r="T43" s="1016" t="s">
        <v>43</v>
      </c>
      <c r="U43" s="1016" t="s">
        <v>43</v>
      </c>
      <c r="V43" s="1016">
        <f t="shared" si="18"/>
        <v>1108</v>
      </c>
      <c r="W43" s="1016"/>
      <c r="X43" s="1016">
        <f t="shared" si="19"/>
        <v>4118</v>
      </c>
      <c r="Y43" s="1017"/>
      <c r="Z43" s="965" t="s">
        <v>43</v>
      </c>
      <c r="AA43" s="1011"/>
      <c r="AB43" s="1015">
        <v>9297</v>
      </c>
      <c r="AC43" s="1020"/>
      <c r="AD43" s="1016"/>
      <c r="AE43" s="1017"/>
      <c r="AF43" s="768">
        <v>2006</v>
      </c>
      <c r="AG43" s="892" t="s">
        <v>77</v>
      </c>
    </row>
    <row r="44" spans="1:33" ht="12.75" hidden="1" customHeight="1">
      <c r="A44" s="864"/>
      <c r="B44" s="874">
        <v>2006</v>
      </c>
      <c r="C44" s="370" t="s">
        <v>29</v>
      </c>
      <c r="D44" s="1014">
        <v>987</v>
      </c>
      <c r="E44" s="1015"/>
      <c r="F44" s="1015">
        <v>4179</v>
      </c>
      <c r="G44" s="1015"/>
      <c r="H44" s="1016" t="s">
        <v>43</v>
      </c>
      <c r="I44" s="1016"/>
      <c r="J44" s="1016" t="s">
        <v>43</v>
      </c>
      <c r="K44" s="1016"/>
      <c r="L44" s="1016">
        <f t="shared" si="20"/>
        <v>987</v>
      </c>
      <c r="M44" s="1016"/>
      <c r="N44" s="1016">
        <f t="shared" si="17"/>
        <v>4179</v>
      </c>
      <c r="O44" s="1017">
        <f t="shared" si="14"/>
        <v>5166</v>
      </c>
      <c r="P44" s="1018">
        <v>1018</v>
      </c>
      <c r="Q44" s="1016"/>
      <c r="R44" s="1016">
        <v>4510</v>
      </c>
      <c r="S44" s="1016"/>
      <c r="T44" s="1016" t="s">
        <v>43</v>
      </c>
      <c r="U44" s="1016" t="s">
        <v>43</v>
      </c>
      <c r="V44" s="1016">
        <f t="shared" si="18"/>
        <v>1018</v>
      </c>
      <c r="W44" s="1016"/>
      <c r="X44" s="1016">
        <f t="shared" si="19"/>
        <v>4510</v>
      </c>
      <c r="Y44" s="1017"/>
      <c r="Z44" s="965" t="s">
        <v>43</v>
      </c>
      <c r="AA44" s="1011"/>
      <c r="AB44" s="1015">
        <v>7943</v>
      </c>
      <c r="AC44" s="1020"/>
      <c r="AD44" s="1016"/>
      <c r="AE44" s="1017"/>
      <c r="AF44" s="768">
        <v>2006</v>
      </c>
      <c r="AG44" s="892" t="s">
        <v>29</v>
      </c>
    </row>
    <row r="45" spans="1:33" ht="13.5" hidden="1" customHeight="1">
      <c r="A45" s="864"/>
      <c r="B45" s="874">
        <v>2006</v>
      </c>
      <c r="C45" s="370" t="s">
        <v>35</v>
      </c>
      <c r="D45" s="1014">
        <v>1351</v>
      </c>
      <c r="E45" s="1015"/>
      <c r="F45" s="1015">
        <v>4742</v>
      </c>
      <c r="G45" s="1015"/>
      <c r="H45" s="1016" t="s">
        <v>43</v>
      </c>
      <c r="I45" s="1016"/>
      <c r="J45" s="1016" t="s">
        <v>43</v>
      </c>
      <c r="K45" s="1016"/>
      <c r="L45" s="1016">
        <f t="shared" si="20"/>
        <v>1351</v>
      </c>
      <c r="M45" s="1016"/>
      <c r="N45" s="1016">
        <f t="shared" si="17"/>
        <v>4742</v>
      </c>
      <c r="O45" s="1017">
        <f t="shared" si="14"/>
        <v>6093</v>
      </c>
      <c r="P45" s="1018">
        <v>1251</v>
      </c>
      <c r="Q45" s="1016"/>
      <c r="R45" s="1016">
        <v>4388</v>
      </c>
      <c r="S45" s="1016"/>
      <c r="T45" s="1016" t="s">
        <v>43</v>
      </c>
      <c r="U45" s="1016" t="s">
        <v>43</v>
      </c>
      <c r="V45" s="1016">
        <f t="shared" si="18"/>
        <v>1251</v>
      </c>
      <c r="W45" s="1016"/>
      <c r="X45" s="1016">
        <f t="shared" si="19"/>
        <v>4388</v>
      </c>
      <c r="Y45" s="1017"/>
      <c r="Z45" s="965" t="s">
        <v>43</v>
      </c>
      <c r="AA45" s="1011"/>
      <c r="AB45" s="1015">
        <v>9615</v>
      </c>
      <c r="AC45" s="1020"/>
      <c r="AD45" s="1016"/>
      <c r="AE45" s="1017"/>
      <c r="AF45" s="768">
        <v>2006</v>
      </c>
      <c r="AG45" s="892" t="s">
        <v>78</v>
      </c>
    </row>
    <row r="46" spans="1:33" ht="13.5" hidden="1" customHeight="1">
      <c r="A46" s="864"/>
      <c r="B46" s="874">
        <v>2006</v>
      </c>
      <c r="C46" s="370" t="s">
        <v>4</v>
      </c>
      <c r="D46" s="1014">
        <v>1224</v>
      </c>
      <c r="E46" s="1015"/>
      <c r="F46" s="1015">
        <v>4653</v>
      </c>
      <c r="G46" s="1015"/>
      <c r="H46" s="1016" t="s">
        <v>43</v>
      </c>
      <c r="I46" s="1016"/>
      <c r="J46" s="1016" t="s">
        <v>43</v>
      </c>
      <c r="K46" s="1016"/>
      <c r="L46" s="1016">
        <f t="shared" si="20"/>
        <v>1224</v>
      </c>
      <c r="M46" s="1016"/>
      <c r="N46" s="1016">
        <f t="shared" si="17"/>
        <v>4653</v>
      </c>
      <c r="O46" s="1017">
        <f t="shared" si="14"/>
        <v>5877</v>
      </c>
      <c r="P46" s="1018">
        <v>1159</v>
      </c>
      <c r="Q46" s="1016"/>
      <c r="R46" s="1016">
        <v>4300</v>
      </c>
      <c r="S46" s="1016"/>
      <c r="T46" s="1016" t="s">
        <v>43</v>
      </c>
      <c r="U46" s="1016" t="s">
        <v>43</v>
      </c>
      <c r="V46" s="1016">
        <f t="shared" si="18"/>
        <v>1159</v>
      </c>
      <c r="W46" s="1016"/>
      <c r="X46" s="1016">
        <f t="shared" si="19"/>
        <v>4300</v>
      </c>
      <c r="Y46" s="1017"/>
      <c r="Z46" s="965" t="s">
        <v>43</v>
      </c>
      <c r="AA46" s="1011"/>
      <c r="AB46" s="1015">
        <v>6902</v>
      </c>
      <c r="AC46" s="1020"/>
      <c r="AD46" s="1016"/>
      <c r="AE46" s="1017"/>
      <c r="AF46" s="768">
        <v>2006</v>
      </c>
      <c r="AG46" s="892" t="s">
        <v>79</v>
      </c>
    </row>
    <row r="47" spans="1:33" ht="13.5" hidden="1" customHeight="1">
      <c r="A47" s="864"/>
      <c r="B47" s="874">
        <v>2006</v>
      </c>
      <c r="C47" s="370" t="s">
        <v>68</v>
      </c>
      <c r="D47" s="1014">
        <v>1055</v>
      </c>
      <c r="E47" s="1015"/>
      <c r="F47" s="1015">
        <v>5749</v>
      </c>
      <c r="G47" s="1015"/>
      <c r="H47" s="1016" t="s">
        <v>43</v>
      </c>
      <c r="I47" s="1016"/>
      <c r="J47" s="1016" t="s">
        <v>43</v>
      </c>
      <c r="K47" s="1016"/>
      <c r="L47" s="1016">
        <f t="shared" si="20"/>
        <v>1055</v>
      </c>
      <c r="M47" s="1016"/>
      <c r="N47" s="1016">
        <f t="shared" si="17"/>
        <v>5749</v>
      </c>
      <c r="O47" s="1017">
        <f t="shared" si="14"/>
        <v>6804</v>
      </c>
      <c r="P47" s="1018">
        <v>1107</v>
      </c>
      <c r="Q47" s="1016"/>
      <c r="R47" s="1016">
        <v>5140</v>
      </c>
      <c r="S47" s="1016"/>
      <c r="T47" s="1016" t="s">
        <v>43</v>
      </c>
      <c r="U47" s="1016" t="s">
        <v>43</v>
      </c>
      <c r="V47" s="1016">
        <f t="shared" si="18"/>
        <v>1107</v>
      </c>
      <c r="W47" s="1016"/>
      <c r="X47" s="1016">
        <f t="shared" si="19"/>
        <v>5140</v>
      </c>
      <c r="Y47" s="1017"/>
      <c r="Z47" s="965" t="s">
        <v>43</v>
      </c>
      <c r="AA47" s="1011"/>
      <c r="AB47" s="1015">
        <v>2928</v>
      </c>
      <c r="AC47" s="1020"/>
      <c r="AD47" s="1015"/>
      <c r="AE47" s="1020"/>
      <c r="AF47" s="768">
        <v>2006</v>
      </c>
      <c r="AG47" s="892" t="s">
        <v>80</v>
      </c>
    </row>
    <row r="48" spans="1:33" ht="13.5" hidden="1" customHeight="1">
      <c r="A48" s="864"/>
      <c r="B48" s="874">
        <v>2006</v>
      </c>
      <c r="C48" s="370" t="s">
        <v>131</v>
      </c>
      <c r="D48" s="1014">
        <v>1358</v>
      </c>
      <c r="E48" s="1015"/>
      <c r="F48" s="1015">
        <v>6712</v>
      </c>
      <c r="G48" s="1015"/>
      <c r="H48" s="1016" t="s">
        <v>43</v>
      </c>
      <c r="I48" s="1016"/>
      <c r="J48" s="1016" t="s">
        <v>43</v>
      </c>
      <c r="K48" s="1016"/>
      <c r="L48" s="1016">
        <f t="shared" si="20"/>
        <v>1358</v>
      </c>
      <c r="M48" s="1016"/>
      <c r="N48" s="1016">
        <f t="shared" si="17"/>
        <v>6712</v>
      </c>
      <c r="O48" s="1017">
        <f t="shared" si="14"/>
        <v>8070</v>
      </c>
      <c r="P48" s="1018">
        <v>1123</v>
      </c>
      <c r="Q48" s="1016"/>
      <c r="R48" s="1016">
        <v>6533</v>
      </c>
      <c r="S48" s="1016"/>
      <c r="T48" s="1016" t="s">
        <v>43</v>
      </c>
      <c r="U48" s="1016" t="s">
        <v>43</v>
      </c>
      <c r="V48" s="1016">
        <f t="shared" si="18"/>
        <v>1123</v>
      </c>
      <c r="W48" s="1016"/>
      <c r="X48" s="1016">
        <f t="shared" si="19"/>
        <v>6533</v>
      </c>
      <c r="Y48" s="1017"/>
      <c r="Z48" s="965" t="s">
        <v>43</v>
      </c>
      <c r="AA48" s="1011"/>
      <c r="AB48" s="1015">
        <v>4506</v>
      </c>
      <c r="AC48" s="1020"/>
      <c r="AD48" s="1015"/>
      <c r="AE48" s="1020"/>
      <c r="AF48" s="768">
        <v>2006</v>
      </c>
      <c r="AG48" s="892" t="s">
        <v>81</v>
      </c>
    </row>
    <row r="49" spans="1:33" ht="13.5" hidden="1">
      <c r="A49" s="864"/>
      <c r="B49" s="874">
        <v>2006</v>
      </c>
      <c r="C49" s="370" t="s">
        <v>37</v>
      </c>
      <c r="D49" s="1014">
        <v>987</v>
      </c>
      <c r="E49" s="1015"/>
      <c r="F49" s="1015">
        <v>5817</v>
      </c>
      <c r="G49" s="1015"/>
      <c r="H49" s="1016" t="s">
        <v>43</v>
      </c>
      <c r="I49" s="1016"/>
      <c r="J49" s="1016" t="s">
        <v>43</v>
      </c>
      <c r="K49" s="1016"/>
      <c r="L49" s="1016">
        <f t="shared" si="20"/>
        <v>987</v>
      </c>
      <c r="M49" s="1016"/>
      <c r="N49" s="1016">
        <f t="shared" si="17"/>
        <v>5817</v>
      </c>
      <c r="O49" s="1017">
        <f t="shared" si="14"/>
        <v>6804</v>
      </c>
      <c r="P49" s="1018">
        <v>1133</v>
      </c>
      <c r="Q49" s="1016"/>
      <c r="R49" s="1016">
        <v>5771</v>
      </c>
      <c r="S49" s="1016"/>
      <c r="T49" s="1016" t="s">
        <v>43</v>
      </c>
      <c r="U49" s="1016" t="s">
        <v>43</v>
      </c>
      <c r="V49" s="1016">
        <f t="shared" si="18"/>
        <v>1133</v>
      </c>
      <c r="W49" s="1016"/>
      <c r="X49" s="1016">
        <f t="shared" si="19"/>
        <v>5771</v>
      </c>
      <c r="Y49" s="1017"/>
      <c r="Z49" s="965" t="s">
        <v>43</v>
      </c>
      <c r="AA49" s="1011"/>
      <c r="AB49" s="1015">
        <v>6068</v>
      </c>
      <c r="AC49" s="1020"/>
      <c r="AD49" s="1015"/>
      <c r="AE49" s="1020"/>
      <c r="AF49" s="768">
        <v>2006</v>
      </c>
      <c r="AG49" s="892" t="s">
        <v>82</v>
      </c>
    </row>
    <row r="50" spans="1:33" ht="13.5" hidden="1">
      <c r="A50" s="864"/>
      <c r="B50" s="874">
        <v>2006</v>
      </c>
      <c r="C50" s="370" t="s">
        <v>31</v>
      </c>
      <c r="D50" s="1014">
        <v>1211</v>
      </c>
      <c r="E50" s="1015"/>
      <c r="F50" s="1015">
        <v>7231</v>
      </c>
      <c r="G50" s="1015"/>
      <c r="H50" s="1016" t="s">
        <v>43</v>
      </c>
      <c r="I50" s="1016"/>
      <c r="J50" s="1016" t="s">
        <v>43</v>
      </c>
      <c r="K50" s="1016"/>
      <c r="L50" s="1016">
        <f t="shared" si="20"/>
        <v>1211</v>
      </c>
      <c r="M50" s="1016"/>
      <c r="N50" s="1016">
        <f t="shared" si="17"/>
        <v>7231</v>
      </c>
      <c r="O50" s="1017">
        <f t="shared" si="14"/>
        <v>8442</v>
      </c>
      <c r="P50" s="1018">
        <v>1127</v>
      </c>
      <c r="Q50" s="1016"/>
      <c r="R50" s="1016">
        <v>6650</v>
      </c>
      <c r="S50" s="1016"/>
      <c r="T50" s="1016" t="s">
        <v>43</v>
      </c>
      <c r="U50" s="1016" t="s">
        <v>43</v>
      </c>
      <c r="V50" s="1016">
        <f t="shared" si="18"/>
        <v>1127</v>
      </c>
      <c r="W50" s="1016"/>
      <c r="X50" s="1016">
        <f t="shared" si="19"/>
        <v>6650</v>
      </c>
      <c r="Y50" s="1017"/>
      <c r="Z50" s="965" t="s">
        <v>43</v>
      </c>
      <c r="AA50" s="1011"/>
      <c r="AB50" s="1015">
        <v>9333</v>
      </c>
      <c r="AC50" s="1020"/>
      <c r="AD50" s="1015"/>
      <c r="AE50" s="1020"/>
      <c r="AF50" s="768">
        <v>2006</v>
      </c>
      <c r="AG50" s="892" t="s">
        <v>31</v>
      </c>
    </row>
    <row r="51" spans="1:33" ht="13.5" hidden="1">
      <c r="A51" s="864"/>
      <c r="B51" s="874">
        <v>2006</v>
      </c>
      <c r="C51" s="370" t="s">
        <v>38</v>
      </c>
      <c r="D51" s="1014">
        <v>1212</v>
      </c>
      <c r="E51" s="1015"/>
      <c r="F51" s="1015">
        <v>6239</v>
      </c>
      <c r="G51" s="1015"/>
      <c r="H51" s="1016" t="s">
        <v>43</v>
      </c>
      <c r="I51" s="1015"/>
      <c r="J51" s="1016" t="s">
        <v>43</v>
      </c>
      <c r="K51" s="1015"/>
      <c r="L51" s="1015">
        <f t="shared" si="20"/>
        <v>1212</v>
      </c>
      <c r="M51" s="1015"/>
      <c r="N51" s="1015">
        <f t="shared" si="17"/>
        <v>6239</v>
      </c>
      <c r="O51" s="892">
        <f t="shared" si="14"/>
        <v>7451</v>
      </c>
      <c r="P51" s="1018">
        <v>1060</v>
      </c>
      <c r="Q51" s="1016"/>
      <c r="R51" s="1016">
        <v>7335</v>
      </c>
      <c r="S51" s="1016"/>
      <c r="T51" s="1016" t="s">
        <v>43</v>
      </c>
      <c r="U51" s="1016" t="s">
        <v>43</v>
      </c>
      <c r="V51" s="1016">
        <f t="shared" si="18"/>
        <v>1060</v>
      </c>
      <c r="W51" s="1016"/>
      <c r="X51" s="1016">
        <f t="shared" si="19"/>
        <v>7335</v>
      </c>
      <c r="Y51" s="1017"/>
      <c r="Z51" s="965" t="s">
        <v>43</v>
      </c>
      <c r="AA51" s="1011"/>
      <c r="AB51" s="1016">
        <v>9204</v>
      </c>
      <c r="AC51" s="1017"/>
      <c r="AD51" s="1015"/>
      <c r="AE51" s="1020"/>
      <c r="AF51" s="768">
        <v>2006</v>
      </c>
      <c r="AG51" s="892" t="s">
        <v>49</v>
      </c>
    </row>
    <row r="52" spans="1:33" ht="13.5" hidden="1">
      <c r="A52" s="864"/>
      <c r="B52" s="874">
        <v>2006</v>
      </c>
      <c r="C52" s="370" t="s">
        <v>39</v>
      </c>
      <c r="D52" s="1014">
        <v>1237</v>
      </c>
      <c r="E52" s="1015"/>
      <c r="F52" s="1015">
        <v>5870</v>
      </c>
      <c r="G52" s="1015"/>
      <c r="H52" s="1015">
        <v>35</v>
      </c>
      <c r="I52" s="1015"/>
      <c r="J52" s="1015">
        <v>166</v>
      </c>
      <c r="K52" s="1015"/>
      <c r="L52" s="1015">
        <f t="shared" ref="L52:L73" si="21">D52+H52</f>
        <v>1272</v>
      </c>
      <c r="M52" s="1015"/>
      <c r="N52" s="1015">
        <f t="shared" ref="N52:N73" si="22">F52+J52</f>
        <v>6036</v>
      </c>
      <c r="O52" s="892">
        <f t="shared" si="14"/>
        <v>7308</v>
      </c>
      <c r="P52" s="1018" t="s">
        <v>123</v>
      </c>
      <c r="Q52" s="1016"/>
      <c r="R52" s="1016" t="s">
        <v>123</v>
      </c>
      <c r="S52" s="1016"/>
      <c r="T52" s="1016" t="s">
        <v>123</v>
      </c>
      <c r="U52" s="1016" t="s">
        <v>123</v>
      </c>
      <c r="V52" s="1016" t="s">
        <v>123</v>
      </c>
      <c r="W52" s="1016"/>
      <c r="X52" s="1016" t="s">
        <v>123</v>
      </c>
      <c r="Y52" s="1017"/>
      <c r="Z52" s="965" t="s">
        <v>43</v>
      </c>
      <c r="AA52" s="1011"/>
      <c r="AB52" s="1016">
        <v>4219</v>
      </c>
      <c r="AC52" s="1017"/>
      <c r="AD52" s="1015"/>
      <c r="AE52" s="1020"/>
      <c r="AF52" s="768">
        <v>2006</v>
      </c>
      <c r="AG52" s="892" t="s">
        <v>39</v>
      </c>
    </row>
    <row r="53" spans="1:33" ht="13.5" hidden="1">
      <c r="A53" s="864"/>
      <c r="B53" s="874">
        <v>2006</v>
      </c>
      <c r="C53" s="370" t="s">
        <v>32</v>
      </c>
      <c r="D53" s="1014">
        <v>1556</v>
      </c>
      <c r="E53" s="1015"/>
      <c r="F53" s="1015">
        <v>6985</v>
      </c>
      <c r="G53" s="1015"/>
      <c r="H53" s="1015">
        <v>50</v>
      </c>
      <c r="I53" s="1015"/>
      <c r="J53" s="1015">
        <v>226</v>
      </c>
      <c r="K53" s="1015"/>
      <c r="L53" s="1015">
        <f t="shared" si="21"/>
        <v>1606</v>
      </c>
      <c r="M53" s="1015"/>
      <c r="N53" s="1015">
        <f t="shared" si="22"/>
        <v>7211</v>
      </c>
      <c r="O53" s="892">
        <f t="shared" si="14"/>
        <v>8817</v>
      </c>
      <c r="P53" s="1018" t="s">
        <v>123</v>
      </c>
      <c r="Q53" s="1016"/>
      <c r="R53" s="1016" t="s">
        <v>123</v>
      </c>
      <c r="S53" s="1016"/>
      <c r="T53" s="1016" t="s">
        <v>123</v>
      </c>
      <c r="U53" s="1016" t="s">
        <v>123</v>
      </c>
      <c r="V53" s="1016" t="s">
        <v>123</v>
      </c>
      <c r="W53" s="1016"/>
      <c r="X53" s="1016" t="s">
        <v>123</v>
      </c>
      <c r="Y53" s="1017"/>
      <c r="Z53" s="965" t="s">
        <v>43</v>
      </c>
      <c r="AA53" s="1011"/>
      <c r="AB53" s="1016">
        <v>5202</v>
      </c>
      <c r="AC53" s="1017"/>
      <c r="AD53" s="1015"/>
      <c r="AE53" s="1020"/>
      <c r="AF53" s="768">
        <v>2006</v>
      </c>
      <c r="AG53" s="892" t="s">
        <v>83</v>
      </c>
    </row>
    <row r="54" spans="1:33" ht="13.5" hidden="1">
      <c r="A54" s="864"/>
      <c r="B54" s="874">
        <v>2007</v>
      </c>
      <c r="C54" s="370" t="s">
        <v>33</v>
      </c>
      <c r="D54" s="1014">
        <v>1801</v>
      </c>
      <c r="E54" s="1015"/>
      <c r="F54" s="1015">
        <v>6393</v>
      </c>
      <c r="G54" s="1015"/>
      <c r="H54" s="1015">
        <v>77</v>
      </c>
      <c r="I54" s="1015"/>
      <c r="J54" s="1015">
        <v>86</v>
      </c>
      <c r="K54" s="1015"/>
      <c r="L54" s="1015">
        <f t="shared" si="21"/>
        <v>1878</v>
      </c>
      <c r="M54" s="1015"/>
      <c r="N54" s="1015">
        <f t="shared" si="22"/>
        <v>6479</v>
      </c>
      <c r="O54" s="892">
        <f t="shared" si="14"/>
        <v>8357</v>
      </c>
      <c r="P54" s="1018" t="s">
        <v>123</v>
      </c>
      <c r="Q54" s="1016"/>
      <c r="R54" s="1016" t="s">
        <v>123</v>
      </c>
      <c r="S54" s="1016"/>
      <c r="T54" s="1016" t="s">
        <v>123</v>
      </c>
      <c r="U54" s="1016" t="s">
        <v>123</v>
      </c>
      <c r="V54" s="1016" t="s">
        <v>123</v>
      </c>
      <c r="W54" s="1016"/>
      <c r="X54" s="1016" t="s">
        <v>123</v>
      </c>
      <c r="Y54" s="1017"/>
      <c r="Z54" s="965" t="s">
        <v>43</v>
      </c>
      <c r="AA54" s="1011"/>
      <c r="AB54" s="1016">
        <v>10571</v>
      </c>
      <c r="AC54" s="1017"/>
      <c r="AD54" s="1016"/>
      <c r="AE54" s="1017"/>
      <c r="AF54" s="883">
        <v>2007</v>
      </c>
      <c r="AG54" s="892" t="s">
        <v>33</v>
      </c>
    </row>
    <row r="55" spans="1:33" ht="13.5" hidden="1">
      <c r="A55" s="864"/>
      <c r="B55" s="874">
        <v>2007</v>
      </c>
      <c r="C55" s="370" t="s">
        <v>34</v>
      </c>
      <c r="D55" s="1014">
        <v>1111</v>
      </c>
      <c r="E55" s="1015"/>
      <c r="F55" s="1015">
        <v>4144</v>
      </c>
      <c r="G55" s="1015"/>
      <c r="H55" s="1015">
        <v>58</v>
      </c>
      <c r="I55" s="1015"/>
      <c r="J55" s="1015">
        <v>90</v>
      </c>
      <c r="K55" s="1015"/>
      <c r="L55" s="1015">
        <f t="shared" si="21"/>
        <v>1169</v>
      </c>
      <c r="M55" s="1015"/>
      <c r="N55" s="1015">
        <f t="shared" si="22"/>
        <v>4234</v>
      </c>
      <c r="O55" s="892">
        <f t="shared" si="14"/>
        <v>5403</v>
      </c>
      <c r="P55" s="1018" t="s">
        <v>123</v>
      </c>
      <c r="Q55" s="1016"/>
      <c r="R55" s="1016" t="s">
        <v>123</v>
      </c>
      <c r="S55" s="1016"/>
      <c r="T55" s="1016" t="s">
        <v>123</v>
      </c>
      <c r="U55" s="1016" t="s">
        <v>123</v>
      </c>
      <c r="V55" s="1016" t="s">
        <v>123</v>
      </c>
      <c r="W55" s="1016"/>
      <c r="X55" s="1016" t="s">
        <v>123</v>
      </c>
      <c r="Y55" s="1017"/>
      <c r="Z55" s="965" t="s">
        <v>43</v>
      </c>
      <c r="AA55" s="1011"/>
      <c r="AB55" s="1016">
        <v>9363</v>
      </c>
      <c r="AC55" s="1017"/>
      <c r="AD55" s="1016"/>
      <c r="AE55" s="1017"/>
      <c r="AF55" s="883">
        <v>2007</v>
      </c>
      <c r="AG55" s="892" t="s">
        <v>77</v>
      </c>
    </row>
    <row r="56" spans="1:33" ht="13.5" hidden="1">
      <c r="A56" s="864"/>
      <c r="B56" s="874">
        <v>2007</v>
      </c>
      <c r="C56" s="370" t="s">
        <v>29</v>
      </c>
      <c r="D56" s="1014">
        <v>963</v>
      </c>
      <c r="E56" s="1015"/>
      <c r="F56" s="1015">
        <v>5683</v>
      </c>
      <c r="G56" s="1015"/>
      <c r="H56" s="1015">
        <v>34</v>
      </c>
      <c r="I56" s="1015"/>
      <c r="J56" s="1015">
        <v>85</v>
      </c>
      <c r="K56" s="1015"/>
      <c r="L56" s="1015">
        <f t="shared" si="21"/>
        <v>997</v>
      </c>
      <c r="M56" s="1015"/>
      <c r="N56" s="1015">
        <f t="shared" si="22"/>
        <v>5768</v>
      </c>
      <c r="O56" s="892">
        <f t="shared" si="14"/>
        <v>6765</v>
      </c>
      <c r="P56" s="1018" t="s">
        <v>123</v>
      </c>
      <c r="Q56" s="1016"/>
      <c r="R56" s="1016" t="s">
        <v>123</v>
      </c>
      <c r="S56" s="1016"/>
      <c r="T56" s="1016" t="s">
        <v>123</v>
      </c>
      <c r="U56" s="1016" t="s">
        <v>123</v>
      </c>
      <c r="V56" s="1016" t="s">
        <v>123</v>
      </c>
      <c r="W56" s="1016"/>
      <c r="X56" s="1016" t="s">
        <v>123</v>
      </c>
      <c r="Y56" s="1017"/>
      <c r="Z56" s="965" t="s">
        <v>43</v>
      </c>
      <c r="AA56" s="1011"/>
      <c r="AB56" s="1016">
        <v>6281</v>
      </c>
      <c r="AC56" s="1017"/>
      <c r="AD56" s="1016"/>
      <c r="AE56" s="1017"/>
      <c r="AF56" s="883">
        <v>2007</v>
      </c>
      <c r="AG56" s="892" t="s">
        <v>29</v>
      </c>
    </row>
    <row r="57" spans="1:33" ht="13.5" hidden="1">
      <c r="A57" s="864"/>
      <c r="B57" s="874">
        <v>2007</v>
      </c>
      <c r="C57" s="370" t="s">
        <v>35</v>
      </c>
      <c r="D57" s="1014">
        <v>1215</v>
      </c>
      <c r="E57" s="1015"/>
      <c r="F57" s="1015">
        <v>6213</v>
      </c>
      <c r="G57" s="1015"/>
      <c r="H57" s="1015">
        <v>88</v>
      </c>
      <c r="I57" s="1015"/>
      <c r="J57" s="1015">
        <v>116</v>
      </c>
      <c r="K57" s="1015"/>
      <c r="L57" s="1015">
        <f t="shared" si="21"/>
        <v>1303</v>
      </c>
      <c r="M57" s="1015"/>
      <c r="N57" s="1015">
        <f t="shared" si="22"/>
        <v>6329</v>
      </c>
      <c r="O57" s="892">
        <f t="shared" si="14"/>
        <v>7632</v>
      </c>
      <c r="P57" s="1018">
        <v>1180</v>
      </c>
      <c r="Q57" s="1016"/>
      <c r="R57" s="1016">
        <v>6143</v>
      </c>
      <c r="S57" s="1016"/>
      <c r="T57" s="1016">
        <v>90</v>
      </c>
      <c r="U57" s="1016">
        <v>104</v>
      </c>
      <c r="V57" s="1016">
        <f t="shared" ref="V57:V67" si="23">P57+T57</f>
        <v>1270</v>
      </c>
      <c r="W57" s="1016"/>
      <c r="X57" s="1016">
        <f t="shared" ref="X57:X73" si="24">R57+U57</f>
        <v>6247</v>
      </c>
      <c r="Y57" s="1017"/>
      <c r="Z57" s="965" t="s">
        <v>43</v>
      </c>
      <c r="AA57" s="1011"/>
      <c r="AB57" s="1016">
        <v>9484</v>
      </c>
      <c r="AC57" s="1017"/>
      <c r="AD57" s="1016"/>
      <c r="AE57" s="1017"/>
      <c r="AF57" s="883">
        <v>2007</v>
      </c>
      <c r="AG57" s="892" t="s">
        <v>78</v>
      </c>
    </row>
    <row r="58" spans="1:33" ht="12.75" hidden="1" customHeight="1">
      <c r="A58" s="864"/>
      <c r="B58" s="874">
        <v>2007</v>
      </c>
      <c r="C58" s="370" t="s">
        <v>4</v>
      </c>
      <c r="D58" s="1014">
        <v>1056</v>
      </c>
      <c r="E58" s="1015"/>
      <c r="F58" s="1015">
        <v>5743</v>
      </c>
      <c r="G58" s="1015"/>
      <c r="H58" s="1015">
        <v>33</v>
      </c>
      <c r="I58" s="1015"/>
      <c r="J58" s="1015">
        <v>99</v>
      </c>
      <c r="K58" s="1015"/>
      <c r="L58" s="1015">
        <f t="shared" si="21"/>
        <v>1089</v>
      </c>
      <c r="M58" s="1015"/>
      <c r="N58" s="1015">
        <f t="shared" si="22"/>
        <v>5842</v>
      </c>
      <c r="O58" s="892">
        <f t="shared" si="14"/>
        <v>6931</v>
      </c>
      <c r="P58" s="1018">
        <v>1043</v>
      </c>
      <c r="Q58" s="1016"/>
      <c r="R58" s="1016">
        <v>5627</v>
      </c>
      <c r="S58" s="1016"/>
      <c r="T58" s="1016">
        <v>44</v>
      </c>
      <c r="U58" s="1016">
        <v>75</v>
      </c>
      <c r="V58" s="1016">
        <f t="shared" si="23"/>
        <v>1087</v>
      </c>
      <c r="W58" s="1016"/>
      <c r="X58" s="1016">
        <f t="shared" si="24"/>
        <v>5702</v>
      </c>
      <c r="Y58" s="1017"/>
      <c r="Z58" s="965" t="s">
        <v>43</v>
      </c>
      <c r="AA58" s="1011"/>
      <c r="AB58" s="1016">
        <v>7587</v>
      </c>
      <c r="AC58" s="1017"/>
      <c r="AD58" s="1016"/>
      <c r="AE58" s="1017"/>
      <c r="AF58" s="883">
        <v>2007</v>
      </c>
      <c r="AG58" s="892" t="s">
        <v>79</v>
      </c>
    </row>
    <row r="59" spans="1:33" ht="12.75" hidden="1" customHeight="1">
      <c r="A59" s="864"/>
      <c r="B59" s="874">
        <v>2007</v>
      </c>
      <c r="C59" s="370" t="s">
        <v>68</v>
      </c>
      <c r="D59" s="1014">
        <v>1041</v>
      </c>
      <c r="E59" s="1015"/>
      <c r="F59" s="1015">
        <v>6583</v>
      </c>
      <c r="G59" s="1015"/>
      <c r="H59" s="1015">
        <v>11</v>
      </c>
      <c r="I59" s="1015"/>
      <c r="J59" s="1015">
        <v>53</v>
      </c>
      <c r="K59" s="1015"/>
      <c r="L59" s="1015">
        <f t="shared" si="21"/>
        <v>1052</v>
      </c>
      <c r="M59" s="1015"/>
      <c r="N59" s="1015">
        <f t="shared" si="22"/>
        <v>6636</v>
      </c>
      <c r="O59" s="892">
        <f t="shared" si="14"/>
        <v>7688</v>
      </c>
      <c r="P59" s="1018">
        <v>1123</v>
      </c>
      <c r="Q59" s="1016"/>
      <c r="R59" s="1016">
        <v>6000</v>
      </c>
      <c r="S59" s="1016"/>
      <c r="T59" s="1016">
        <v>56</v>
      </c>
      <c r="U59" s="1016">
        <v>87</v>
      </c>
      <c r="V59" s="1016">
        <f t="shared" si="23"/>
        <v>1179</v>
      </c>
      <c r="W59" s="1016"/>
      <c r="X59" s="1016">
        <f t="shared" si="24"/>
        <v>6087</v>
      </c>
      <c r="Y59" s="1017"/>
      <c r="Z59" s="965" t="s">
        <v>43</v>
      </c>
      <c r="AA59" s="1011"/>
      <c r="AB59" s="1016">
        <v>4022</v>
      </c>
      <c r="AC59" s="1017"/>
      <c r="AD59" s="1016"/>
      <c r="AE59" s="1017"/>
      <c r="AF59" s="883">
        <v>2007</v>
      </c>
      <c r="AG59" s="892" t="s">
        <v>80</v>
      </c>
    </row>
    <row r="60" spans="1:33" ht="12.75" hidden="1" customHeight="1">
      <c r="A60" s="864"/>
      <c r="B60" s="874">
        <v>2007</v>
      </c>
      <c r="C60" s="370" t="s">
        <v>131</v>
      </c>
      <c r="D60" s="1014">
        <v>1227</v>
      </c>
      <c r="E60" s="1015"/>
      <c r="F60" s="1015">
        <v>9257</v>
      </c>
      <c r="G60" s="1015"/>
      <c r="H60" s="1015">
        <v>77</v>
      </c>
      <c r="I60" s="1015"/>
      <c r="J60" s="1015">
        <v>45</v>
      </c>
      <c r="K60" s="1015"/>
      <c r="L60" s="1015">
        <f t="shared" si="21"/>
        <v>1304</v>
      </c>
      <c r="M60" s="1015"/>
      <c r="N60" s="1015">
        <f t="shared" si="22"/>
        <v>9302</v>
      </c>
      <c r="O60" s="892">
        <f t="shared" si="14"/>
        <v>10606</v>
      </c>
      <c r="P60" s="1018">
        <v>1226</v>
      </c>
      <c r="Q60" s="1016"/>
      <c r="R60" s="1016">
        <v>9599</v>
      </c>
      <c r="S60" s="1016"/>
      <c r="T60" s="1016">
        <v>49</v>
      </c>
      <c r="U60" s="1016">
        <v>64</v>
      </c>
      <c r="V60" s="1016">
        <f t="shared" si="23"/>
        <v>1275</v>
      </c>
      <c r="W60" s="1016"/>
      <c r="X60" s="1016">
        <f t="shared" si="24"/>
        <v>9663</v>
      </c>
      <c r="Y60" s="1017"/>
      <c r="Z60" s="965" t="s">
        <v>43</v>
      </c>
      <c r="AA60" s="1011"/>
      <c r="AB60" s="1016">
        <v>4954</v>
      </c>
      <c r="AC60" s="1017"/>
      <c r="AD60" s="1016"/>
      <c r="AE60" s="1017"/>
      <c r="AF60" s="883">
        <v>2007</v>
      </c>
      <c r="AG60" s="892" t="s">
        <v>81</v>
      </c>
    </row>
    <row r="61" spans="1:33" ht="12.75" hidden="1" customHeight="1">
      <c r="A61" s="864"/>
      <c r="B61" s="874">
        <v>2007</v>
      </c>
      <c r="C61" s="370" t="s">
        <v>37</v>
      </c>
      <c r="D61" s="1014">
        <v>1042</v>
      </c>
      <c r="E61" s="1015"/>
      <c r="F61" s="1015">
        <v>6903</v>
      </c>
      <c r="G61" s="1015"/>
      <c r="H61" s="1015">
        <v>69</v>
      </c>
      <c r="I61" s="1015"/>
      <c r="J61" s="1015">
        <v>173</v>
      </c>
      <c r="K61" s="1015"/>
      <c r="L61" s="1015">
        <f t="shared" si="21"/>
        <v>1111</v>
      </c>
      <c r="M61" s="1015"/>
      <c r="N61" s="1015">
        <f t="shared" si="22"/>
        <v>7076</v>
      </c>
      <c r="O61" s="892">
        <f t="shared" si="14"/>
        <v>8187</v>
      </c>
      <c r="P61" s="1018">
        <v>1053</v>
      </c>
      <c r="Q61" s="1016"/>
      <c r="R61" s="1016">
        <v>7288</v>
      </c>
      <c r="S61" s="1016"/>
      <c r="T61" s="1016">
        <v>59</v>
      </c>
      <c r="U61" s="1016">
        <v>103</v>
      </c>
      <c r="V61" s="1016">
        <f t="shared" si="23"/>
        <v>1112</v>
      </c>
      <c r="W61" s="1016"/>
      <c r="X61" s="1016">
        <f t="shared" si="24"/>
        <v>7391</v>
      </c>
      <c r="Y61" s="1017"/>
      <c r="Z61" s="965" t="s">
        <v>43</v>
      </c>
      <c r="AA61" s="1011"/>
      <c r="AB61" s="1016">
        <v>2290</v>
      </c>
      <c r="AC61" s="1017"/>
      <c r="AD61" s="1016"/>
      <c r="AE61" s="1017"/>
      <c r="AF61" s="883">
        <v>2007</v>
      </c>
      <c r="AG61" s="892" t="s">
        <v>82</v>
      </c>
    </row>
    <row r="62" spans="1:33" ht="12.75" hidden="1" customHeight="1">
      <c r="A62" s="864"/>
      <c r="B62" s="874">
        <v>2007</v>
      </c>
      <c r="C62" s="370" t="s">
        <v>147</v>
      </c>
      <c r="D62" s="1014">
        <v>1262</v>
      </c>
      <c r="E62" s="1015"/>
      <c r="F62" s="1015">
        <v>8160</v>
      </c>
      <c r="G62" s="1015"/>
      <c r="H62" s="1015">
        <v>20</v>
      </c>
      <c r="I62" s="1015"/>
      <c r="J62" s="1015">
        <v>144</v>
      </c>
      <c r="K62" s="1015"/>
      <c r="L62" s="1015">
        <v>1282</v>
      </c>
      <c r="M62" s="1015"/>
      <c r="N62" s="1015">
        <v>8304</v>
      </c>
      <c r="O62" s="892"/>
      <c r="P62" s="1018" t="s">
        <v>391</v>
      </c>
      <c r="Q62" s="1016"/>
      <c r="R62" s="1016" t="s">
        <v>391</v>
      </c>
      <c r="S62" s="1016"/>
      <c r="T62" s="1016" t="s">
        <v>391</v>
      </c>
      <c r="U62" s="1016" t="s">
        <v>391</v>
      </c>
      <c r="V62" s="1016" t="s">
        <v>391</v>
      </c>
      <c r="W62" s="1016"/>
      <c r="X62" s="1016" t="s">
        <v>391</v>
      </c>
      <c r="Y62" s="1017"/>
      <c r="Z62" s="965" t="s">
        <v>43</v>
      </c>
      <c r="AA62" s="1011"/>
      <c r="AB62" s="1016">
        <v>5344</v>
      </c>
      <c r="AC62" s="1017"/>
      <c r="AD62" s="1016"/>
      <c r="AE62" s="1017"/>
      <c r="AF62" s="883">
        <v>2007</v>
      </c>
      <c r="AG62" s="892" t="s">
        <v>147</v>
      </c>
    </row>
    <row r="63" spans="1:33" ht="12.75" hidden="1" customHeight="1">
      <c r="A63" s="864"/>
      <c r="B63" s="874">
        <v>2007</v>
      </c>
      <c r="C63" s="370" t="s">
        <v>38</v>
      </c>
      <c r="D63" s="1014">
        <v>1165</v>
      </c>
      <c r="E63" s="1015"/>
      <c r="F63" s="1015">
        <v>6678</v>
      </c>
      <c r="G63" s="1015"/>
      <c r="H63" s="1015">
        <v>34</v>
      </c>
      <c r="I63" s="1015"/>
      <c r="J63" s="1015">
        <v>108</v>
      </c>
      <c r="K63" s="1015"/>
      <c r="L63" s="1015">
        <f t="shared" si="21"/>
        <v>1199</v>
      </c>
      <c r="M63" s="1015"/>
      <c r="N63" s="1015">
        <f t="shared" si="22"/>
        <v>6786</v>
      </c>
      <c r="O63" s="892">
        <f t="shared" si="14"/>
        <v>7985</v>
      </c>
      <c r="P63" s="1018">
        <v>1045</v>
      </c>
      <c r="Q63" s="1016"/>
      <c r="R63" s="1016">
        <v>7585</v>
      </c>
      <c r="S63" s="1016"/>
      <c r="T63" s="1016">
        <v>30</v>
      </c>
      <c r="U63" s="1016">
        <v>165</v>
      </c>
      <c r="V63" s="1016">
        <f t="shared" si="23"/>
        <v>1075</v>
      </c>
      <c r="W63" s="1016"/>
      <c r="X63" s="1016">
        <f t="shared" si="24"/>
        <v>7750</v>
      </c>
      <c r="Y63" s="1017"/>
      <c r="Z63" s="965" t="s">
        <v>43</v>
      </c>
      <c r="AA63" s="1011"/>
      <c r="AB63" s="1016">
        <v>7758</v>
      </c>
      <c r="AC63" s="1017"/>
      <c r="AD63" s="1016"/>
      <c r="AE63" s="1017"/>
      <c r="AF63" s="883">
        <v>2007</v>
      </c>
      <c r="AG63" s="892" t="s">
        <v>38</v>
      </c>
    </row>
    <row r="64" spans="1:33" ht="12.75" hidden="1" customHeight="1">
      <c r="A64" s="864"/>
      <c r="B64" s="874">
        <v>2007</v>
      </c>
      <c r="C64" s="370" t="s">
        <v>39</v>
      </c>
      <c r="D64" s="1014">
        <v>1390</v>
      </c>
      <c r="E64" s="1015"/>
      <c r="F64" s="1015">
        <v>6701</v>
      </c>
      <c r="G64" s="1015"/>
      <c r="H64" s="1015">
        <v>28</v>
      </c>
      <c r="I64" s="1015"/>
      <c r="J64" s="1015">
        <v>168</v>
      </c>
      <c r="K64" s="1015"/>
      <c r="L64" s="1015">
        <f>D64+H64</f>
        <v>1418</v>
      </c>
      <c r="M64" s="1015"/>
      <c r="N64" s="1015">
        <f>F64+J64</f>
        <v>6869</v>
      </c>
      <c r="O64" s="892">
        <f t="shared" si="14"/>
        <v>8287</v>
      </c>
      <c r="P64" s="1018">
        <v>1045</v>
      </c>
      <c r="Q64" s="1016"/>
      <c r="R64" s="1016">
        <v>7585</v>
      </c>
      <c r="S64" s="1016"/>
      <c r="T64" s="1016">
        <v>30</v>
      </c>
      <c r="U64" s="1016">
        <v>165</v>
      </c>
      <c r="V64" s="1016">
        <f t="shared" si="23"/>
        <v>1075</v>
      </c>
      <c r="W64" s="1016"/>
      <c r="X64" s="1016">
        <f t="shared" si="24"/>
        <v>7750</v>
      </c>
      <c r="Y64" s="1017"/>
      <c r="Z64" s="965" t="s">
        <v>43</v>
      </c>
      <c r="AA64" s="1011"/>
      <c r="AB64" s="1016">
        <v>6687</v>
      </c>
      <c r="AC64" s="1017"/>
      <c r="AD64" s="1016"/>
      <c r="AE64" s="1017"/>
      <c r="AF64" s="883">
        <v>2007</v>
      </c>
      <c r="AG64" s="892" t="s">
        <v>39</v>
      </c>
    </row>
    <row r="65" spans="1:37" ht="12.75" hidden="1" customHeight="1">
      <c r="A65" s="864"/>
      <c r="B65" s="874">
        <v>2007</v>
      </c>
      <c r="C65" s="370" t="s">
        <v>32</v>
      </c>
      <c r="D65" s="1014">
        <v>1913</v>
      </c>
      <c r="E65" s="1015"/>
      <c r="F65" s="1015">
        <v>7596</v>
      </c>
      <c r="G65" s="1015"/>
      <c r="H65" s="1015">
        <v>44</v>
      </c>
      <c r="I65" s="1015"/>
      <c r="J65" s="1015">
        <v>124</v>
      </c>
      <c r="K65" s="1015"/>
      <c r="L65" s="1015">
        <f t="shared" si="21"/>
        <v>1957</v>
      </c>
      <c r="M65" s="1015"/>
      <c r="N65" s="1015">
        <f t="shared" si="22"/>
        <v>7720</v>
      </c>
      <c r="O65" s="892">
        <f t="shared" si="14"/>
        <v>9677</v>
      </c>
      <c r="P65" s="1018">
        <v>1174</v>
      </c>
      <c r="Q65" s="1016"/>
      <c r="R65" s="1016">
        <v>6902</v>
      </c>
      <c r="S65" s="1016"/>
      <c r="T65" s="1016">
        <v>33</v>
      </c>
      <c r="U65" s="1016">
        <v>126</v>
      </c>
      <c r="V65" s="1016">
        <f t="shared" si="23"/>
        <v>1207</v>
      </c>
      <c r="W65" s="1016"/>
      <c r="X65" s="1016">
        <f t="shared" si="24"/>
        <v>7028</v>
      </c>
      <c r="Y65" s="1017"/>
      <c r="Z65" s="965" t="s">
        <v>43</v>
      </c>
      <c r="AA65" s="1011"/>
      <c r="AB65" s="1016">
        <v>11396</v>
      </c>
      <c r="AC65" s="1017"/>
      <c r="AD65" s="1016"/>
      <c r="AE65" s="1017"/>
      <c r="AF65" s="883">
        <v>2007</v>
      </c>
      <c r="AG65" s="892" t="s">
        <v>32</v>
      </c>
    </row>
    <row r="66" spans="1:37" ht="12.75" hidden="1" customHeight="1">
      <c r="A66" s="864"/>
      <c r="B66" s="874">
        <v>2008</v>
      </c>
      <c r="C66" s="370" t="s">
        <v>33</v>
      </c>
      <c r="D66" s="1014">
        <v>1569</v>
      </c>
      <c r="E66" s="1015"/>
      <c r="F66" s="1015">
        <v>6413</v>
      </c>
      <c r="G66" s="1015"/>
      <c r="H66" s="1015">
        <v>42</v>
      </c>
      <c r="I66" s="1015"/>
      <c r="J66" s="1015">
        <v>153</v>
      </c>
      <c r="K66" s="1015"/>
      <c r="L66" s="1015">
        <f t="shared" si="21"/>
        <v>1611</v>
      </c>
      <c r="M66" s="1015"/>
      <c r="N66" s="1015">
        <f t="shared" si="22"/>
        <v>6566</v>
      </c>
      <c r="O66" s="892">
        <f t="shared" si="14"/>
        <v>8177</v>
      </c>
      <c r="P66" s="1018">
        <v>1298</v>
      </c>
      <c r="Q66" s="1016"/>
      <c r="R66" s="1016">
        <v>8507</v>
      </c>
      <c r="S66" s="1016"/>
      <c r="T66" s="1016">
        <v>54</v>
      </c>
      <c r="U66" s="1016">
        <v>102</v>
      </c>
      <c r="V66" s="1016">
        <f t="shared" si="23"/>
        <v>1352</v>
      </c>
      <c r="W66" s="1016"/>
      <c r="X66" s="1016">
        <f t="shared" si="24"/>
        <v>8609</v>
      </c>
      <c r="Y66" s="1017"/>
      <c r="Z66" s="965" t="s">
        <v>43</v>
      </c>
      <c r="AA66" s="1011"/>
      <c r="AB66" s="1016">
        <v>15490</v>
      </c>
      <c r="AC66" s="1017"/>
      <c r="AD66" s="1016"/>
      <c r="AE66" s="1017"/>
      <c r="AF66" s="883">
        <v>2008</v>
      </c>
      <c r="AG66" s="892" t="s">
        <v>33</v>
      </c>
    </row>
    <row r="67" spans="1:37" ht="12.75" hidden="1" customHeight="1">
      <c r="A67" s="864"/>
      <c r="B67" s="874">
        <v>2008</v>
      </c>
      <c r="C67" s="370" t="s">
        <v>34</v>
      </c>
      <c r="D67" s="1014">
        <v>1393</v>
      </c>
      <c r="E67" s="1015"/>
      <c r="F67" s="1015">
        <v>4648</v>
      </c>
      <c r="G67" s="1015"/>
      <c r="H67" s="1015">
        <v>39</v>
      </c>
      <c r="I67" s="1015"/>
      <c r="J67" s="1015">
        <v>156</v>
      </c>
      <c r="K67" s="1015"/>
      <c r="L67" s="1015">
        <f t="shared" si="21"/>
        <v>1432</v>
      </c>
      <c r="M67" s="1015"/>
      <c r="N67" s="1015">
        <f t="shared" si="22"/>
        <v>4804</v>
      </c>
      <c r="O67" s="892">
        <f t="shared" si="14"/>
        <v>6236</v>
      </c>
      <c r="P67" s="1018">
        <v>1393</v>
      </c>
      <c r="Q67" s="1016"/>
      <c r="R67" s="1016">
        <v>5246</v>
      </c>
      <c r="S67" s="1016"/>
      <c r="T67" s="1016">
        <v>37</v>
      </c>
      <c r="U67" s="1016">
        <v>123</v>
      </c>
      <c r="V67" s="1016">
        <f t="shared" si="23"/>
        <v>1430</v>
      </c>
      <c r="W67" s="1016"/>
      <c r="X67" s="1016">
        <f t="shared" si="24"/>
        <v>5369</v>
      </c>
      <c r="Y67" s="1017"/>
      <c r="Z67" s="965" t="s">
        <v>43</v>
      </c>
      <c r="AA67" s="1011"/>
      <c r="AB67" s="1016">
        <v>10615</v>
      </c>
      <c r="AC67" s="1017"/>
      <c r="AD67" s="1016"/>
      <c r="AE67" s="1017"/>
      <c r="AF67" s="883">
        <v>2008</v>
      </c>
      <c r="AG67" s="892" t="s">
        <v>77</v>
      </c>
    </row>
    <row r="68" spans="1:37" ht="12.75" hidden="1" customHeight="1">
      <c r="A68" s="864"/>
      <c r="B68" s="874">
        <v>2008</v>
      </c>
      <c r="C68" s="370" t="s">
        <v>29</v>
      </c>
      <c r="D68" s="1014">
        <v>1167</v>
      </c>
      <c r="E68" s="1015"/>
      <c r="F68" s="1015">
        <v>6012</v>
      </c>
      <c r="G68" s="1015"/>
      <c r="H68" s="1015">
        <v>41</v>
      </c>
      <c r="I68" s="1015"/>
      <c r="J68" s="1015">
        <v>136</v>
      </c>
      <c r="K68" s="1015"/>
      <c r="L68" s="1015">
        <f t="shared" si="21"/>
        <v>1208</v>
      </c>
      <c r="M68" s="1015"/>
      <c r="N68" s="1015">
        <f t="shared" si="22"/>
        <v>6148</v>
      </c>
      <c r="O68" s="892">
        <f t="shared" si="14"/>
        <v>7356</v>
      </c>
      <c r="P68" s="1018">
        <v>1410</v>
      </c>
      <c r="Q68" s="1016"/>
      <c r="R68" s="1016">
        <v>6298</v>
      </c>
      <c r="S68" s="1016"/>
      <c r="T68" s="1016">
        <v>27</v>
      </c>
      <c r="U68" s="1016">
        <v>130</v>
      </c>
      <c r="V68" s="1016">
        <f>P68+U68</f>
        <v>1540</v>
      </c>
      <c r="W68" s="1016"/>
      <c r="X68" s="1016">
        <f t="shared" si="24"/>
        <v>6428</v>
      </c>
      <c r="Y68" s="1017"/>
      <c r="Z68" s="965" t="s">
        <v>43</v>
      </c>
      <c r="AA68" s="1011"/>
      <c r="AB68" s="1016">
        <v>5801</v>
      </c>
      <c r="AC68" s="1017"/>
      <c r="AD68" s="1016"/>
      <c r="AE68" s="1017"/>
      <c r="AF68" s="883">
        <v>2008</v>
      </c>
      <c r="AG68" s="892" t="s">
        <v>29</v>
      </c>
      <c r="AH68" s="114"/>
      <c r="AK68" s="114"/>
    </row>
    <row r="69" spans="1:37" ht="12.75" hidden="1" customHeight="1">
      <c r="A69" s="864"/>
      <c r="B69" s="874">
        <v>2008</v>
      </c>
      <c r="C69" s="370" t="s">
        <v>35</v>
      </c>
      <c r="D69" s="1014">
        <v>1175</v>
      </c>
      <c r="E69" s="1015"/>
      <c r="F69" s="1015">
        <v>5958</v>
      </c>
      <c r="G69" s="1015"/>
      <c r="H69" s="1015">
        <v>43</v>
      </c>
      <c r="I69" s="1015"/>
      <c r="J69" s="1015">
        <v>214</v>
      </c>
      <c r="K69" s="1015"/>
      <c r="L69" s="1015">
        <f t="shared" si="21"/>
        <v>1218</v>
      </c>
      <c r="M69" s="1015"/>
      <c r="N69" s="1015">
        <f t="shared" si="22"/>
        <v>6172</v>
      </c>
      <c r="O69" s="892">
        <f t="shared" si="14"/>
        <v>7390</v>
      </c>
      <c r="P69" s="1018">
        <v>1409</v>
      </c>
      <c r="Q69" s="1016"/>
      <c r="R69" s="1016">
        <v>5658</v>
      </c>
      <c r="S69" s="1016"/>
      <c r="T69" s="1016">
        <v>80</v>
      </c>
      <c r="U69" s="1016">
        <v>102</v>
      </c>
      <c r="V69" s="1016">
        <f>P69+U69</f>
        <v>1511</v>
      </c>
      <c r="W69" s="1016"/>
      <c r="X69" s="1016">
        <f t="shared" si="24"/>
        <v>5760</v>
      </c>
      <c r="Y69" s="1017"/>
      <c r="Z69" s="965" t="s">
        <v>43</v>
      </c>
      <c r="AA69" s="1011"/>
      <c r="AB69" s="1016">
        <v>5763</v>
      </c>
      <c r="AC69" s="1017"/>
      <c r="AD69" s="1016"/>
      <c r="AE69" s="1017"/>
      <c r="AF69" s="883">
        <v>2008</v>
      </c>
      <c r="AG69" s="892" t="s">
        <v>78</v>
      </c>
      <c r="AH69" s="114"/>
      <c r="AK69" s="114"/>
    </row>
    <row r="70" spans="1:37" ht="12.75" hidden="1" customHeight="1">
      <c r="A70" s="864"/>
      <c r="B70" s="874">
        <v>2008</v>
      </c>
      <c r="C70" s="370" t="s">
        <v>4</v>
      </c>
      <c r="D70" s="1014">
        <v>1583</v>
      </c>
      <c r="E70" s="1015"/>
      <c r="F70" s="1015">
        <v>6303</v>
      </c>
      <c r="G70" s="1015"/>
      <c r="H70" s="1015">
        <v>56</v>
      </c>
      <c r="I70" s="1015"/>
      <c r="J70" s="1015">
        <v>199</v>
      </c>
      <c r="K70" s="1015"/>
      <c r="L70" s="1015">
        <f t="shared" si="21"/>
        <v>1639</v>
      </c>
      <c r="M70" s="1015"/>
      <c r="N70" s="1015">
        <f t="shared" si="22"/>
        <v>6502</v>
      </c>
      <c r="O70" s="892">
        <f t="shared" si="14"/>
        <v>8141</v>
      </c>
      <c r="P70" s="1018">
        <v>1094</v>
      </c>
      <c r="Q70" s="1016"/>
      <c r="R70" s="1016">
        <v>6898</v>
      </c>
      <c r="S70" s="1016"/>
      <c r="T70" s="1016">
        <v>33</v>
      </c>
      <c r="U70" s="1016">
        <v>194</v>
      </c>
      <c r="V70" s="1016">
        <f>P70+U70</f>
        <v>1288</v>
      </c>
      <c r="W70" s="1016"/>
      <c r="X70" s="1016">
        <f t="shared" si="24"/>
        <v>7092</v>
      </c>
      <c r="Y70" s="1017"/>
      <c r="Z70" s="965" t="s">
        <v>43</v>
      </c>
      <c r="AA70" s="1011"/>
      <c r="AB70" s="1016">
        <v>7569</v>
      </c>
      <c r="AC70" s="1017"/>
      <c r="AD70" s="1016"/>
      <c r="AE70" s="1017"/>
      <c r="AF70" s="883">
        <v>2008</v>
      </c>
      <c r="AG70" s="892" t="s">
        <v>79</v>
      </c>
      <c r="AH70" s="114"/>
      <c r="AK70" s="114"/>
    </row>
    <row r="71" spans="1:37" ht="12.75" hidden="1" customHeight="1">
      <c r="A71" s="864"/>
      <c r="B71" s="874">
        <v>2008</v>
      </c>
      <c r="C71" s="370" t="s">
        <v>30</v>
      </c>
      <c r="D71" s="1014">
        <v>1549</v>
      </c>
      <c r="E71" s="1015"/>
      <c r="F71" s="1015">
        <v>7793</v>
      </c>
      <c r="G71" s="1015"/>
      <c r="H71" s="1015">
        <v>42</v>
      </c>
      <c r="I71" s="1015"/>
      <c r="J71" s="1015">
        <v>267</v>
      </c>
      <c r="K71" s="1015"/>
      <c r="L71" s="1015">
        <f t="shared" si="21"/>
        <v>1591</v>
      </c>
      <c r="M71" s="1015"/>
      <c r="N71" s="1015">
        <f t="shared" si="22"/>
        <v>8060</v>
      </c>
      <c r="O71" s="892">
        <f t="shared" si="14"/>
        <v>9651</v>
      </c>
      <c r="P71" s="1018">
        <v>1218</v>
      </c>
      <c r="Q71" s="1016"/>
      <c r="R71" s="1016">
        <v>6766</v>
      </c>
      <c r="S71" s="1016"/>
      <c r="T71" s="1016">
        <v>39</v>
      </c>
      <c r="U71" s="1016">
        <v>119</v>
      </c>
      <c r="V71" s="1016">
        <f>P71+U71</f>
        <v>1337</v>
      </c>
      <c r="W71" s="1016"/>
      <c r="X71" s="1016">
        <f t="shared" si="24"/>
        <v>6885</v>
      </c>
      <c r="Y71" s="1017"/>
      <c r="Z71" s="965" t="s">
        <v>43</v>
      </c>
      <c r="AA71" s="1011"/>
      <c r="AB71" s="1016">
        <v>3368</v>
      </c>
      <c r="AC71" s="1017"/>
      <c r="AD71" s="1016"/>
      <c r="AE71" s="1017"/>
      <c r="AF71" s="883">
        <v>2008</v>
      </c>
      <c r="AG71" s="892" t="s">
        <v>80</v>
      </c>
      <c r="AH71" s="114"/>
      <c r="AK71" s="114"/>
    </row>
    <row r="72" spans="1:37" ht="12.75" hidden="1" customHeight="1">
      <c r="A72" s="864"/>
      <c r="B72" s="874">
        <v>2008</v>
      </c>
      <c r="C72" s="370" t="s">
        <v>36</v>
      </c>
      <c r="D72" s="1014">
        <v>1669</v>
      </c>
      <c r="E72" s="1015"/>
      <c r="F72" s="1015">
        <v>9277</v>
      </c>
      <c r="G72" s="1015"/>
      <c r="H72" s="1015">
        <v>40</v>
      </c>
      <c r="I72" s="1015"/>
      <c r="J72" s="1015">
        <v>266</v>
      </c>
      <c r="K72" s="1015"/>
      <c r="L72" s="1015">
        <f t="shared" si="21"/>
        <v>1709</v>
      </c>
      <c r="M72" s="1015"/>
      <c r="N72" s="1015">
        <f t="shared" si="22"/>
        <v>9543</v>
      </c>
      <c r="O72" s="892">
        <f t="shared" si="14"/>
        <v>11252</v>
      </c>
      <c r="P72" s="1018">
        <v>1344</v>
      </c>
      <c r="Q72" s="1016"/>
      <c r="R72" s="1016">
        <v>9796</v>
      </c>
      <c r="S72" s="1016"/>
      <c r="T72" s="1016">
        <v>52</v>
      </c>
      <c r="U72" s="1016">
        <v>291</v>
      </c>
      <c r="V72" s="1016">
        <f>P72+T72</f>
        <v>1396</v>
      </c>
      <c r="W72" s="1016"/>
      <c r="X72" s="1016">
        <f t="shared" si="24"/>
        <v>10087</v>
      </c>
      <c r="Y72" s="1017"/>
      <c r="Z72" s="965" t="s">
        <v>43</v>
      </c>
      <c r="AA72" s="1011"/>
      <c r="AB72" s="1016">
        <v>9333</v>
      </c>
      <c r="AC72" s="1017"/>
      <c r="AD72" s="1016"/>
      <c r="AE72" s="1017"/>
      <c r="AF72" s="883">
        <v>2008</v>
      </c>
      <c r="AG72" s="892" t="s">
        <v>81</v>
      </c>
      <c r="AH72" s="114"/>
      <c r="AK72" s="114"/>
    </row>
    <row r="73" spans="1:37" ht="12.75" hidden="1" customHeight="1">
      <c r="A73" s="864"/>
      <c r="B73" s="874">
        <v>2008</v>
      </c>
      <c r="C73" s="370" t="s">
        <v>37</v>
      </c>
      <c r="D73" s="1014">
        <v>1702</v>
      </c>
      <c r="E73" s="1015"/>
      <c r="F73" s="1015">
        <v>8550</v>
      </c>
      <c r="G73" s="1015"/>
      <c r="H73" s="1015">
        <v>88</v>
      </c>
      <c r="I73" s="1015"/>
      <c r="J73" s="1015">
        <v>249</v>
      </c>
      <c r="K73" s="1015"/>
      <c r="L73" s="1015">
        <f t="shared" si="21"/>
        <v>1790</v>
      </c>
      <c r="M73" s="1015"/>
      <c r="N73" s="1015">
        <f t="shared" si="22"/>
        <v>8799</v>
      </c>
      <c r="O73" s="892">
        <f t="shared" si="14"/>
        <v>10589</v>
      </c>
      <c r="P73" s="1018">
        <v>1194</v>
      </c>
      <c r="Q73" s="1016"/>
      <c r="R73" s="1016">
        <v>9022</v>
      </c>
      <c r="S73" s="1016"/>
      <c r="T73" s="1016">
        <v>62</v>
      </c>
      <c r="U73" s="1016">
        <v>230</v>
      </c>
      <c r="V73" s="1016">
        <f>P73+T73</f>
        <v>1256</v>
      </c>
      <c r="W73" s="1016"/>
      <c r="X73" s="1016">
        <f t="shared" si="24"/>
        <v>9252</v>
      </c>
      <c r="Y73" s="1017"/>
      <c r="Z73" s="965" t="s">
        <v>43</v>
      </c>
      <c r="AA73" s="1011"/>
      <c r="AB73" s="1016">
        <v>5564</v>
      </c>
      <c r="AC73" s="1017"/>
      <c r="AD73" s="1016"/>
      <c r="AE73" s="1017"/>
      <c r="AF73" s="883">
        <v>2008</v>
      </c>
      <c r="AG73" s="892" t="s">
        <v>82</v>
      </c>
      <c r="AH73" s="114"/>
      <c r="AK73" s="114"/>
    </row>
    <row r="74" spans="1:37" ht="12.75" hidden="1" customHeight="1">
      <c r="A74" s="864"/>
      <c r="B74" s="874">
        <v>2008</v>
      </c>
      <c r="C74" s="370" t="s">
        <v>31</v>
      </c>
      <c r="D74" s="1014">
        <v>1880</v>
      </c>
      <c r="E74" s="1015"/>
      <c r="F74" s="1015">
        <v>9032</v>
      </c>
      <c r="G74" s="1015"/>
      <c r="H74" s="1015">
        <v>53</v>
      </c>
      <c r="I74" s="1015"/>
      <c r="J74" s="1015">
        <v>251</v>
      </c>
      <c r="K74" s="1015"/>
      <c r="L74" s="1015">
        <v>1933</v>
      </c>
      <c r="M74" s="1015"/>
      <c r="N74" s="1015">
        <v>9283</v>
      </c>
      <c r="O74" s="892"/>
      <c r="P74" s="1018">
        <v>1246</v>
      </c>
      <c r="Q74" s="1016"/>
      <c r="R74" s="1016">
        <v>8588</v>
      </c>
      <c r="S74" s="1016"/>
      <c r="T74" s="1016">
        <v>38</v>
      </c>
      <c r="U74" s="1016">
        <v>231</v>
      </c>
      <c r="V74" s="1016">
        <v>1284</v>
      </c>
      <c r="W74" s="1016"/>
      <c r="X74" s="1016">
        <v>8819</v>
      </c>
      <c r="Y74" s="1017"/>
      <c r="Z74" s="965" t="s">
        <v>43</v>
      </c>
      <c r="AA74" s="1011"/>
      <c r="AB74" s="1016">
        <v>3776</v>
      </c>
      <c r="AC74" s="1017"/>
      <c r="AD74" s="1016"/>
      <c r="AE74" s="1017"/>
      <c r="AF74" s="883">
        <v>2008</v>
      </c>
      <c r="AG74" s="892" t="s">
        <v>31</v>
      </c>
      <c r="AH74" s="114"/>
      <c r="AK74" s="114"/>
    </row>
    <row r="75" spans="1:37" ht="12.75" hidden="1" customHeight="1">
      <c r="A75" s="864"/>
      <c r="B75" s="874">
        <v>2008</v>
      </c>
      <c r="C75" s="370" t="s">
        <v>38</v>
      </c>
      <c r="D75" s="1014">
        <v>1613</v>
      </c>
      <c r="E75" s="1015"/>
      <c r="F75" s="1015">
        <v>8260</v>
      </c>
      <c r="G75" s="1015"/>
      <c r="H75" s="1015">
        <v>37</v>
      </c>
      <c r="I75" s="1015"/>
      <c r="J75" s="1015">
        <v>160</v>
      </c>
      <c r="K75" s="1015"/>
      <c r="L75" s="1015">
        <f>D75+H75</f>
        <v>1650</v>
      </c>
      <c r="M75" s="1015"/>
      <c r="N75" s="1015">
        <f>F75+J75</f>
        <v>8420</v>
      </c>
      <c r="O75" s="892">
        <f>L75+N75</f>
        <v>10070</v>
      </c>
      <c r="P75" s="1018">
        <v>1502</v>
      </c>
      <c r="Q75" s="1016"/>
      <c r="R75" s="1016">
        <v>9121</v>
      </c>
      <c r="S75" s="1016"/>
      <c r="T75" s="1016">
        <v>43</v>
      </c>
      <c r="U75" s="1016">
        <v>185</v>
      </c>
      <c r="V75" s="1016">
        <f>P75+T75</f>
        <v>1545</v>
      </c>
      <c r="W75" s="1016"/>
      <c r="X75" s="1016">
        <f>R75+U75</f>
        <v>9306</v>
      </c>
      <c r="Y75" s="1017"/>
      <c r="Z75" s="965" t="s">
        <v>43</v>
      </c>
      <c r="AA75" s="1011"/>
      <c r="AB75" s="1016">
        <v>16750</v>
      </c>
      <c r="AC75" s="1017"/>
      <c r="AD75" s="1016"/>
      <c r="AE75" s="1017"/>
      <c r="AF75" s="883">
        <v>2008</v>
      </c>
      <c r="AG75" s="892" t="s">
        <v>49</v>
      </c>
      <c r="AH75" s="114"/>
      <c r="AK75" s="114"/>
    </row>
    <row r="76" spans="1:37" ht="12.75" hidden="1" customHeight="1">
      <c r="A76" s="864"/>
      <c r="B76" s="874">
        <v>2008</v>
      </c>
      <c r="C76" s="370" t="s">
        <v>39</v>
      </c>
      <c r="D76" s="1014">
        <v>1627</v>
      </c>
      <c r="E76" s="1015"/>
      <c r="F76" s="1015">
        <v>7773</v>
      </c>
      <c r="G76" s="1015"/>
      <c r="H76" s="1016">
        <v>40</v>
      </c>
      <c r="I76" s="1016"/>
      <c r="J76" s="1016">
        <v>163</v>
      </c>
      <c r="K76" s="1016"/>
      <c r="L76" s="1016">
        <f>D76+H76</f>
        <v>1667</v>
      </c>
      <c r="M76" s="1016"/>
      <c r="N76" s="1016">
        <f>F76+J76</f>
        <v>7936</v>
      </c>
      <c r="O76" s="1017">
        <f>L76+N76</f>
        <v>9603</v>
      </c>
      <c r="P76" s="1018">
        <v>1338</v>
      </c>
      <c r="Q76" s="1016"/>
      <c r="R76" s="1016">
        <v>8338</v>
      </c>
      <c r="S76" s="1016"/>
      <c r="T76" s="1016">
        <v>39</v>
      </c>
      <c r="U76" s="1016">
        <v>128</v>
      </c>
      <c r="V76" s="1016">
        <f>P76+T76</f>
        <v>1377</v>
      </c>
      <c r="W76" s="1016"/>
      <c r="X76" s="1016">
        <f>R76+U76</f>
        <v>8466</v>
      </c>
      <c r="Y76" s="1017"/>
      <c r="Z76" s="965" t="s">
        <v>43</v>
      </c>
      <c r="AA76" s="1011"/>
      <c r="AB76" s="1015">
        <v>9655</v>
      </c>
      <c r="AC76" s="1020"/>
      <c r="AD76" s="1016"/>
      <c r="AE76" s="1017"/>
      <c r="AF76" s="883">
        <v>2008</v>
      </c>
      <c r="AG76" s="892" t="s">
        <v>39</v>
      </c>
      <c r="AH76" s="114"/>
      <c r="AK76" s="114"/>
    </row>
    <row r="77" spans="1:37" ht="12.75" hidden="1" customHeight="1">
      <c r="A77" s="864"/>
      <c r="B77" s="874">
        <v>2008</v>
      </c>
      <c r="C77" s="370" t="s">
        <v>32</v>
      </c>
      <c r="D77" s="1014">
        <v>1620</v>
      </c>
      <c r="E77" s="1015"/>
      <c r="F77" s="1015">
        <v>8222</v>
      </c>
      <c r="G77" s="1015"/>
      <c r="H77" s="1016">
        <v>64</v>
      </c>
      <c r="I77" s="1016"/>
      <c r="J77" s="1016">
        <v>202</v>
      </c>
      <c r="K77" s="1016"/>
      <c r="L77" s="1016">
        <f>D77+H77</f>
        <v>1684</v>
      </c>
      <c r="M77" s="1016"/>
      <c r="N77" s="1016">
        <f>F77+J77</f>
        <v>8424</v>
      </c>
      <c r="O77" s="1017">
        <f>L77+N77</f>
        <v>10108</v>
      </c>
      <c r="P77" s="1018">
        <v>1401</v>
      </c>
      <c r="Q77" s="1016"/>
      <c r="R77" s="1016">
        <v>8191</v>
      </c>
      <c r="S77" s="1016"/>
      <c r="T77" s="1016">
        <v>48</v>
      </c>
      <c r="U77" s="1016">
        <v>125</v>
      </c>
      <c r="V77" s="1016">
        <f>P77+T77</f>
        <v>1449</v>
      </c>
      <c r="W77" s="1016"/>
      <c r="X77" s="1016">
        <f>R77+U77</f>
        <v>8316</v>
      </c>
      <c r="Y77" s="1017"/>
      <c r="Z77" s="965" t="s">
        <v>43</v>
      </c>
      <c r="AA77" s="1011"/>
      <c r="AB77" s="1015">
        <v>12454</v>
      </c>
      <c r="AC77" s="1020"/>
      <c r="AD77" s="1016"/>
      <c r="AE77" s="1017"/>
      <c r="AF77" s="883">
        <v>2008</v>
      </c>
      <c r="AG77" s="892" t="s">
        <v>32</v>
      </c>
      <c r="AH77" s="114"/>
      <c r="AK77" s="114"/>
    </row>
    <row r="78" spans="1:37" ht="12.75" hidden="1" customHeight="1">
      <c r="A78" s="864"/>
      <c r="B78" s="874">
        <v>2009</v>
      </c>
      <c r="C78" s="370" t="s">
        <v>33</v>
      </c>
      <c r="D78" s="923">
        <v>1869</v>
      </c>
      <c r="E78" s="908"/>
      <c r="F78" s="908">
        <v>8121</v>
      </c>
      <c r="G78" s="908"/>
      <c r="H78" s="965">
        <v>42</v>
      </c>
      <c r="I78" s="965"/>
      <c r="J78" s="965">
        <v>153</v>
      </c>
      <c r="K78" s="965"/>
      <c r="L78" s="965">
        <f t="shared" ref="L78:L85" si="25">D78+H78</f>
        <v>1911</v>
      </c>
      <c r="M78" s="965"/>
      <c r="N78" s="965">
        <f t="shared" ref="N78:N85" si="26">F78+J78</f>
        <v>8274</v>
      </c>
      <c r="O78" s="1011"/>
      <c r="P78" s="1012">
        <v>2924</v>
      </c>
      <c r="Q78" s="965"/>
      <c r="R78" s="965">
        <v>9269</v>
      </c>
      <c r="S78" s="965"/>
      <c r="T78" s="965">
        <v>80</v>
      </c>
      <c r="U78" s="965">
        <v>275</v>
      </c>
      <c r="V78" s="965">
        <f t="shared" ref="V78:V85" si="27">P78+T78</f>
        <v>3004</v>
      </c>
      <c r="W78" s="965"/>
      <c r="X78" s="965">
        <f t="shared" ref="X78:X85" si="28">R78+U78</f>
        <v>9544</v>
      </c>
      <c r="Y78" s="1011"/>
      <c r="Z78" s="965" t="s">
        <v>43</v>
      </c>
      <c r="AA78" s="1011"/>
      <c r="AB78" s="908">
        <v>20944</v>
      </c>
      <c r="AC78" s="1021"/>
      <c r="AD78" s="908">
        <f t="shared" ref="AD78:AD109" si="29">AB78+N78</f>
        <v>29218</v>
      </c>
      <c r="AE78" s="1021"/>
      <c r="AF78" s="768">
        <v>2009</v>
      </c>
      <c r="AG78" s="892" t="s">
        <v>33</v>
      </c>
      <c r="AH78" s="114"/>
      <c r="AK78" s="114"/>
    </row>
    <row r="79" spans="1:37" ht="12.75" hidden="1" customHeight="1">
      <c r="A79" s="864"/>
      <c r="B79" s="874">
        <v>2009</v>
      </c>
      <c r="C79" s="370" t="s">
        <v>34</v>
      </c>
      <c r="D79" s="923">
        <v>1372</v>
      </c>
      <c r="E79" s="908"/>
      <c r="F79" s="908">
        <v>5804</v>
      </c>
      <c r="G79" s="908"/>
      <c r="H79" s="965">
        <v>49</v>
      </c>
      <c r="I79" s="965"/>
      <c r="J79" s="965">
        <v>98</v>
      </c>
      <c r="K79" s="965"/>
      <c r="L79" s="965">
        <f t="shared" si="25"/>
        <v>1421</v>
      </c>
      <c r="M79" s="965"/>
      <c r="N79" s="965">
        <f t="shared" si="26"/>
        <v>5902</v>
      </c>
      <c r="O79" s="1011"/>
      <c r="P79" s="1012">
        <v>1595</v>
      </c>
      <c r="Q79" s="965"/>
      <c r="R79" s="965">
        <v>6430</v>
      </c>
      <c r="S79" s="965"/>
      <c r="T79" s="965">
        <v>38</v>
      </c>
      <c r="U79" s="965">
        <v>129</v>
      </c>
      <c r="V79" s="965">
        <f t="shared" si="27"/>
        <v>1633</v>
      </c>
      <c r="W79" s="965"/>
      <c r="X79" s="965">
        <f t="shared" si="28"/>
        <v>6559</v>
      </c>
      <c r="Y79" s="1011"/>
      <c r="Z79" s="965" t="s">
        <v>43</v>
      </c>
      <c r="AA79" s="1011"/>
      <c r="AB79" s="908">
        <v>13533</v>
      </c>
      <c r="AC79" s="1021"/>
      <c r="AD79" s="908">
        <f t="shared" si="29"/>
        <v>19435</v>
      </c>
      <c r="AE79" s="1021"/>
      <c r="AF79" s="768">
        <v>2009</v>
      </c>
      <c r="AG79" s="892" t="s">
        <v>77</v>
      </c>
      <c r="AH79" s="114"/>
      <c r="AK79" s="114"/>
    </row>
    <row r="80" spans="1:37" ht="12.75" hidden="1" customHeight="1">
      <c r="A80" s="864"/>
      <c r="B80" s="874">
        <v>2009</v>
      </c>
      <c r="C80" s="370" t="s">
        <v>29</v>
      </c>
      <c r="D80" s="923">
        <v>1228</v>
      </c>
      <c r="E80" s="908"/>
      <c r="F80" s="908">
        <v>6444</v>
      </c>
      <c r="G80" s="908"/>
      <c r="H80" s="965">
        <v>34</v>
      </c>
      <c r="I80" s="965"/>
      <c r="J80" s="965">
        <v>113</v>
      </c>
      <c r="K80" s="965"/>
      <c r="L80" s="965">
        <f t="shared" si="25"/>
        <v>1262</v>
      </c>
      <c r="M80" s="965"/>
      <c r="N80" s="965">
        <f t="shared" si="26"/>
        <v>6557</v>
      </c>
      <c r="O80" s="1011"/>
      <c r="P80" s="1012">
        <v>1600</v>
      </c>
      <c r="Q80" s="965"/>
      <c r="R80" s="965">
        <v>6667</v>
      </c>
      <c r="S80" s="965"/>
      <c r="T80" s="965">
        <v>65</v>
      </c>
      <c r="U80" s="965">
        <v>102</v>
      </c>
      <c r="V80" s="965">
        <f t="shared" si="27"/>
        <v>1665</v>
      </c>
      <c r="W80" s="965"/>
      <c r="X80" s="965">
        <f t="shared" si="28"/>
        <v>6769</v>
      </c>
      <c r="Y80" s="1011"/>
      <c r="Z80" s="965" t="s">
        <v>43</v>
      </c>
      <c r="AA80" s="1011"/>
      <c r="AB80" s="908">
        <v>10421</v>
      </c>
      <c r="AC80" s="1021"/>
      <c r="AD80" s="908">
        <f t="shared" si="29"/>
        <v>16978</v>
      </c>
      <c r="AE80" s="1021"/>
      <c r="AF80" s="768">
        <v>2009</v>
      </c>
      <c r="AG80" s="892" t="s">
        <v>29</v>
      </c>
      <c r="AH80" s="114"/>
      <c r="AK80" s="114"/>
    </row>
    <row r="81" spans="1:37" ht="12.75" hidden="1" customHeight="1">
      <c r="A81" s="864"/>
      <c r="B81" s="874">
        <v>2009</v>
      </c>
      <c r="C81" s="370" t="s">
        <v>35</v>
      </c>
      <c r="D81" s="923">
        <v>1627</v>
      </c>
      <c r="E81" s="908"/>
      <c r="F81" s="908">
        <v>7303</v>
      </c>
      <c r="G81" s="908"/>
      <c r="H81" s="965">
        <v>34</v>
      </c>
      <c r="I81" s="965"/>
      <c r="J81" s="965">
        <v>185</v>
      </c>
      <c r="K81" s="965"/>
      <c r="L81" s="965">
        <f t="shared" si="25"/>
        <v>1661</v>
      </c>
      <c r="M81" s="965"/>
      <c r="N81" s="965">
        <f t="shared" si="26"/>
        <v>7488</v>
      </c>
      <c r="O81" s="1011"/>
      <c r="P81" s="1012">
        <v>861</v>
      </c>
      <c r="Q81" s="965"/>
      <c r="R81" s="965">
        <v>7591</v>
      </c>
      <c r="S81" s="965"/>
      <c r="T81" s="965">
        <v>47</v>
      </c>
      <c r="U81" s="965">
        <v>133</v>
      </c>
      <c r="V81" s="965">
        <f t="shared" si="27"/>
        <v>908</v>
      </c>
      <c r="W81" s="965"/>
      <c r="X81" s="965">
        <f t="shared" si="28"/>
        <v>7724</v>
      </c>
      <c r="Y81" s="1011"/>
      <c r="Z81" s="965" t="s">
        <v>43</v>
      </c>
      <c r="AA81" s="1011"/>
      <c r="AB81" s="908">
        <v>17271</v>
      </c>
      <c r="AC81" s="1021"/>
      <c r="AD81" s="908">
        <f t="shared" si="29"/>
        <v>24759</v>
      </c>
      <c r="AE81" s="1021"/>
      <c r="AF81" s="768">
        <v>2009</v>
      </c>
      <c r="AG81" s="892" t="s">
        <v>78</v>
      </c>
      <c r="AH81" s="114"/>
      <c r="AK81" s="114"/>
    </row>
    <row r="82" spans="1:37" ht="12.75" hidden="1" customHeight="1">
      <c r="A82" s="864"/>
      <c r="B82" s="874">
        <v>2009</v>
      </c>
      <c r="C82" s="370" t="s">
        <v>4</v>
      </c>
      <c r="D82" s="923">
        <v>1692</v>
      </c>
      <c r="E82" s="908"/>
      <c r="F82" s="908">
        <v>7197</v>
      </c>
      <c r="G82" s="908"/>
      <c r="H82" s="965">
        <v>69</v>
      </c>
      <c r="I82" s="965"/>
      <c r="J82" s="965">
        <v>157</v>
      </c>
      <c r="K82" s="965"/>
      <c r="L82" s="965">
        <f t="shared" si="25"/>
        <v>1761</v>
      </c>
      <c r="M82" s="965"/>
      <c r="N82" s="965">
        <f t="shared" si="26"/>
        <v>7354</v>
      </c>
      <c r="O82" s="1011"/>
      <c r="P82" s="1012">
        <v>866</v>
      </c>
      <c r="Q82" s="965"/>
      <c r="R82" s="965">
        <v>7604</v>
      </c>
      <c r="S82" s="965"/>
      <c r="T82" s="965">
        <v>36</v>
      </c>
      <c r="U82" s="965">
        <v>84</v>
      </c>
      <c r="V82" s="965">
        <f t="shared" si="27"/>
        <v>902</v>
      </c>
      <c r="W82" s="965"/>
      <c r="X82" s="965">
        <f t="shared" si="28"/>
        <v>7688</v>
      </c>
      <c r="Y82" s="1011"/>
      <c r="Z82" s="965" t="s">
        <v>43</v>
      </c>
      <c r="AA82" s="1011"/>
      <c r="AB82" s="908">
        <v>9362</v>
      </c>
      <c r="AC82" s="1021"/>
      <c r="AD82" s="908">
        <f t="shared" si="29"/>
        <v>16716</v>
      </c>
      <c r="AE82" s="1021"/>
      <c r="AF82" s="768">
        <v>2009</v>
      </c>
      <c r="AG82" s="892" t="s">
        <v>79</v>
      </c>
      <c r="AH82" s="114"/>
      <c r="AK82" s="114"/>
    </row>
    <row r="83" spans="1:37" ht="12.75" hidden="1" customHeight="1">
      <c r="A83" s="864"/>
      <c r="B83" s="874">
        <v>2009</v>
      </c>
      <c r="C83" s="370" t="s">
        <v>30</v>
      </c>
      <c r="D83" s="923">
        <v>1812</v>
      </c>
      <c r="E83" s="908"/>
      <c r="F83" s="908">
        <v>7197</v>
      </c>
      <c r="G83" s="908"/>
      <c r="H83" s="965">
        <v>59</v>
      </c>
      <c r="I83" s="965"/>
      <c r="J83" s="965">
        <v>306</v>
      </c>
      <c r="K83" s="965"/>
      <c r="L83" s="965">
        <f t="shared" si="25"/>
        <v>1871</v>
      </c>
      <c r="M83" s="965"/>
      <c r="N83" s="965">
        <f t="shared" si="26"/>
        <v>7503</v>
      </c>
      <c r="O83" s="1011"/>
      <c r="P83" s="1012">
        <v>442</v>
      </c>
      <c r="Q83" s="965"/>
      <c r="R83" s="965">
        <v>4263</v>
      </c>
      <c r="S83" s="965"/>
      <c r="T83" s="965">
        <v>41</v>
      </c>
      <c r="U83" s="965">
        <v>166</v>
      </c>
      <c r="V83" s="965">
        <f t="shared" si="27"/>
        <v>483</v>
      </c>
      <c r="W83" s="965"/>
      <c r="X83" s="965">
        <f t="shared" si="28"/>
        <v>4429</v>
      </c>
      <c r="Y83" s="1011"/>
      <c r="Z83" s="965" t="s">
        <v>43</v>
      </c>
      <c r="AA83" s="1011"/>
      <c r="AB83" s="908">
        <v>3954</v>
      </c>
      <c r="AC83" s="1021"/>
      <c r="AD83" s="908">
        <f t="shared" si="29"/>
        <v>11457</v>
      </c>
      <c r="AE83" s="1021"/>
      <c r="AF83" s="768">
        <v>2009</v>
      </c>
      <c r="AG83" s="892" t="s">
        <v>80</v>
      </c>
      <c r="AH83" s="114"/>
      <c r="AK83" s="114"/>
    </row>
    <row r="84" spans="1:37" ht="12.75" hidden="1" customHeight="1">
      <c r="A84" s="864"/>
      <c r="B84" s="874">
        <v>2009</v>
      </c>
      <c r="C84" s="370" t="s">
        <v>36</v>
      </c>
      <c r="D84" s="923">
        <v>1485</v>
      </c>
      <c r="E84" s="908"/>
      <c r="F84" s="908">
        <v>11191</v>
      </c>
      <c r="G84" s="908"/>
      <c r="H84" s="965">
        <v>46</v>
      </c>
      <c r="I84" s="965"/>
      <c r="J84" s="965">
        <v>309</v>
      </c>
      <c r="K84" s="965"/>
      <c r="L84" s="965">
        <f t="shared" si="25"/>
        <v>1531</v>
      </c>
      <c r="M84" s="965"/>
      <c r="N84" s="965">
        <f t="shared" si="26"/>
        <v>11500</v>
      </c>
      <c r="O84" s="1011"/>
      <c r="P84" s="1012">
        <v>858</v>
      </c>
      <c r="Q84" s="965"/>
      <c r="R84" s="965">
        <v>11406</v>
      </c>
      <c r="S84" s="965"/>
      <c r="T84" s="965">
        <v>55</v>
      </c>
      <c r="U84" s="965">
        <v>261</v>
      </c>
      <c r="V84" s="965">
        <f t="shared" si="27"/>
        <v>913</v>
      </c>
      <c r="W84" s="965"/>
      <c r="X84" s="965">
        <f t="shared" si="28"/>
        <v>11667</v>
      </c>
      <c r="Y84" s="1011"/>
      <c r="Z84" s="965" t="s">
        <v>43</v>
      </c>
      <c r="AA84" s="1011"/>
      <c r="AB84" s="908">
        <v>11529</v>
      </c>
      <c r="AC84" s="1021"/>
      <c r="AD84" s="908">
        <f t="shared" si="29"/>
        <v>23029</v>
      </c>
      <c r="AE84" s="1021"/>
      <c r="AF84" s="768">
        <v>2009</v>
      </c>
      <c r="AG84" s="892" t="s">
        <v>81</v>
      </c>
      <c r="AH84" s="114"/>
      <c r="AK84" s="114"/>
    </row>
    <row r="85" spans="1:37" ht="12.75" hidden="1" customHeight="1">
      <c r="A85" s="864"/>
      <c r="B85" s="874">
        <v>2009</v>
      </c>
      <c r="C85" s="370" t="s">
        <v>37</v>
      </c>
      <c r="D85" s="923">
        <v>1444</v>
      </c>
      <c r="E85" s="908"/>
      <c r="F85" s="908">
        <v>8737</v>
      </c>
      <c r="G85" s="908"/>
      <c r="H85" s="965">
        <v>47</v>
      </c>
      <c r="I85" s="965"/>
      <c r="J85" s="965">
        <v>344</v>
      </c>
      <c r="K85" s="965"/>
      <c r="L85" s="965">
        <f t="shared" si="25"/>
        <v>1491</v>
      </c>
      <c r="M85" s="965"/>
      <c r="N85" s="965">
        <f t="shared" si="26"/>
        <v>9081</v>
      </c>
      <c r="O85" s="1011"/>
      <c r="P85" s="1012">
        <v>927</v>
      </c>
      <c r="Q85" s="965"/>
      <c r="R85" s="965">
        <v>11096</v>
      </c>
      <c r="S85" s="965"/>
      <c r="T85" s="965">
        <v>32</v>
      </c>
      <c r="U85" s="965">
        <v>312</v>
      </c>
      <c r="V85" s="965">
        <f t="shared" si="27"/>
        <v>959</v>
      </c>
      <c r="W85" s="965"/>
      <c r="X85" s="965">
        <f t="shared" si="28"/>
        <v>11408</v>
      </c>
      <c r="Y85" s="1011"/>
      <c r="Z85" s="965" t="s">
        <v>43</v>
      </c>
      <c r="AA85" s="1011"/>
      <c r="AB85" s="908">
        <v>3906</v>
      </c>
      <c r="AC85" s="1021"/>
      <c r="AD85" s="908">
        <f t="shared" si="29"/>
        <v>12987</v>
      </c>
      <c r="AE85" s="1021"/>
      <c r="AF85" s="768">
        <v>2009</v>
      </c>
      <c r="AG85" s="892" t="s">
        <v>82</v>
      </c>
      <c r="AH85" s="114"/>
      <c r="AK85" s="114"/>
    </row>
    <row r="86" spans="1:37" ht="12.75" hidden="1" customHeight="1">
      <c r="A86" s="864"/>
      <c r="B86" s="874">
        <v>2009</v>
      </c>
      <c r="C86" s="370" t="s">
        <v>31</v>
      </c>
      <c r="D86" s="923">
        <v>1594</v>
      </c>
      <c r="E86" s="908"/>
      <c r="F86" s="908">
        <v>10083</v>
      </c>
      <c r="G86" s="908"/>
      <c r="H86" s="965">
        <v>61</v>
      </c>
      <c r="I86" s="965"/>
      <c r="J86" s="965">
        <v>366</v>
      </c>
      <c r="K86" s="965"/>
      <c r="L86" s="965">
        <v>1655</v>
      </c>
      <c r="M86" s="965"/>
      <c r="N86" s="965">
        <v>10449</v>
      </c>
      <c r="O86" s="1011"/>
      <c r="P86" s="1012">
        <v>715</v>
      </c>
      <c r="Q86" s="965"/>
      <c r="R86" s="965">
        <v>9710</v>
      </c>
      <c r="S86" s="965"/>
      <c r="T86" s="965">
        <v>42</v>
      </c>
      <c r="U86" s="965">
        <v>268</v>
      </c>
      <c r="V86" s="965">
        <v>757</v>
      </c>
      <c r="W86" s="965"/>
      <c r="X86" s="965">
        <v>9978</v>
      </c>
      <c r="Y86" s="1011"/>
      <c r="Z86" s="965" t="s">
        <v>43</v>
      </c>
      <c r="AA86" s="1011"/>
      <c r="AB86" s="908">
        <v>7479</v>
      </c>
      <c r="AC86" s="1021"/>
      <c r="AD86" s="908">
        <f t="shared" si="29"/>
        <v>17928</v>
      </c>
      <c r="AE86" s="1021"/>
      <c r="AF86" s="768">
        <v>2009</v>
      </c>
      <c r="AG86" s="892" t="s">
        <v>31</v>
      </c>
      <c r="AH86" s="114"/>
      <c r="AK86" s="114"/>
    </row>
    <row r="87" spans="1:37" s="200" customFormat="1" ht="12.75" hidden="1" customHeight="1">
      <c r="A87" s="902"/>
      <c r="B87" s="874">
        <v>2009</v>
      </c>
      <c r="C87" s="370" t="s">
        <v>38</v>
      </c>
      <c r="D87" s="923">
        <v>1473</v>
      </c>
      <c r="E87" s="908"/>
      <c r="F87" s="908">
        <v>9814</v>
      </c>
      <c r="G87" s="908"/>
      <c r="H87" s="965">
        <v>48</v>
      </c>
      <c r="I87" s="965"/>
      <c r="J87" s="965">
        <v>321</v>
      </c>
      <c r="K87" s="965"/>
      <c r="L87" s="965">
        <f t="shared" ref="L87:L113" si="30">D87+H87</f>
        <v>1521</v>
      </c>
      <c r="M87" s="965"/>
      <c r="N87" s="965">
        <f t="shared" ref="N87:N113" si="31">F87+J87</f>
        <v>10135</v>
      </c>
      <c r="O87" s="1011"/>
      <c r="P87" s="1012">
        <v>1007</v>
      </c>
      <c r="Q87" s="965"/>
      <c r="R87" s="965">
        <v>10486</v>
      </c>
      <c r="S87" s="965"/>
      <c r="T87" s="965">
        <v>30</v>
      </c>
      <c r="U87" s="965">
        <v>309</v>
      </c>
      <c r="V87" s="965">
        <f t="shared" ref="V87:V103" si="32">P87+T87</f>
        <v>1037</v>
      </c>
      <c r="W87" s="965"/>
      <c r="X87" s="965">
        <f t="shared" ref="X87:X103" si="33">R87+U87</f>
        <v>10795</v>
      </c>
      <c r="Y87" s="1011"/>
      <c r="Z87" s="965" t="s">
        <v>43</v>
      </c>
      <c r="AA87" s="1011"/>
      <c r="AB87" s="908">
        <v>10777</v>
      </c>
      <c r="AC87" s="1021"/>
      <c r="AD87" s="908">
        <f t="shared" si="29"/>
        <v>20912</v>
      </c>
      <c r="AE87" s="1021"/>
      <c r="AF87" s="768">
        <v>2009</v>
      </c>
      <c r="AG87" s="892" t="s">
        <v>49</v>
      </c>
      <c r="AH87" s="201"/>
      <c r="AK87" s="201"/>
    </row>
    <row r="88" spans="1:37" s="200" customFormat="1" ht="12.75" hidden="1" customHeight="1">
      <c r="A88" s="902"/>
      <c r="B88" s="874">
        <v>2009</v>
      </c>
      <c r="C88" s="370" t="s">
        <v>39</v>
      </c>
      <c r="D88" s="923">
        <v>1554</v>
      </c>
      <c r="E88" s="908"/>
      <c r="F88" s="908">
        <v>7525</v>
      </c>
      <c r="G88" s="908"/>
      <c r="H88" s="965">
        <v>53</v>
      </c>
      <c r="I88" s="965"/>
      <c r="J88" s="965">
        <v>214</v>
      </c>
      <c r="K88" s="965"/>
      <c r="L88" s="965">
        <f t="shared" si="30"/>
        <v>1607</v>
      </c>
      <c r="M88" s="965"/>
      <c r="N88" s="965">
        <f t="shared" si="31"/>
        <v>7739</v>
      </c>
      <c r="O88" s="1011"/>
      <c r="P88" s="1012">
        <v>263</v>
      </c>
      <c r="Q88" s="965"/>
      <c r="R88" s="965">
        <v>1376</v>
      </c>
      <c r="S88" s="965"/>
      <c r="T88" s="965">
        <v>27</v>
      </c>
      <c r="U88" s="965">
        <v>199</v>
      </c>
      <c r="V88" s="965">
        <f t="shared" si="32"/>
        <v>290</v>
      </c>
      <c r="W88" s="965"/>
      <c r="X88" s="965">
        <f t="shared" si="33"/>
        <v>1575</v>
      </c>
      <c r="Y88" s="1011"/>
      <c r="Z88" s="965" t="s">
        <v>43</v>
      </c>
      <c r="AA88" s="1011"/>
      <c r="AB88" s="908">
        <v>5735</v>
      </c>
      <c r="AC88" s="1021"/>
      <c r="AD88" s="908">
        <f t="shared" si="29"/>
        <v>13474</v>
      </c>
      <c r="AE88" s="1021"/>
      <c r="AF88" s="768">
        <v>2009</v>
      </c>
      <c r="AG88" s="892" t="s">
        <v>39</v>
      </c>
      <c r="AH88" s="201"/>
      <c r="AK88" s="201"/>
    </row>
    <row r="89" spans="1:37" s="200" customFormat="1" ht="12.75" hidden="1" customHeight="1">
      <c r="A89" s="902"/>
      <c r="B89" s="874">
        <v>2009</v>
      </c>
      <c r="C89" s="370" t="s">
        <v>32</v>
      </c>
      <c r="D89" s="923">
        <v>1938</v>
      </c>
      <c r="E89" s="908"/>
      <c r="F89" s="908">
        <v>8408</v>
      </c>
      <c r="G89" s="908"/>
      <c r="H89" s="965">
        <v>52</v>
      </c>
      <c r="I89" s="965"/>
      <c r="J89" s="965">
        <v>285</v>
      </c>
      <c r="K89" s="965"/>
      <c r="L89" s="965">
        <f t="shared" si="30"/>
        <v>1990</v>
      </c>
      <c r="M89" s="965"/>
      <c r="N89" s="965">
        <f t="shared" si="31"/>
        <v>8693</v>
      </c>
      <c r="O89" s="1011"/>
      <c r="P89" s="1012">
        <v>2510</v>
      </c>
      <c r="Q89" s="965"/>
      <c r="R89" s="965">
        <v>15928</v>
      </c>
      <c r="S89" s="965"/>
      <c r="T89" s="965">
        <v>15</v>
      </c>
      <c r="U89" s="965">
        <v>192</v>
      </c>
      <c r="V89" s="965">
        <f t="shared" si="32"/>
        <v>2525</v>
      </c>
      <c r="W89" s="965"/>
      <c r="X89" s="965">
        <f t="shared" si="33"/>
        <v>16120</v>
      </c>
      <c r="Y89" s="1011"/>
      <c r="Z89" s="965" t="s">
        <v>43</v>
      </c>
      <c r="AA89" s="1011"/>
      <c r="AB89" s="908">
        <v>9907</v>
      </c>
      <c r="AC89" s="1021"/>
      <c r="AD89" s="908">
        <f t="shared" si="29"/>
        <v>18600</v>
      </c>
      <c r="AE89" s="1021"/>
      <c r="AF89" s="768">
        <v>2009</v>
      </c>
      <c r="AG89" s="892" t="s">
        <v>32</v>
      </c>
      <c r="AH89" s="201"/>
      <c r="AJ89" s="14"/>
      <c r="AK89" s="201"/>
    </row>
    <row r="90" spans="1:37" s="200" customFormat="1" ht="12.75" hidden="1" customHeight="1">
      <c r="A90" s="902"/>
      <c r="B90" s="874">
        <v>2010</v>
      </c>
      <c r="C90" s="370" t="s">
        <v>33</v>
      </c>
      <c r="D90" s="923">
        <v>1827</v>
      </c>
      <c r="E90" s="908"/>
      <c r="F90" s="908">
        <v>7643</v>
      </c>
      <c r="G90" s="908"/>
      <c r="H90" s="965">
        <v>57</v>
      </c>
      <c r="I90" s="965"/>
      <c r="J90" s="965">
        <v>178</v>
      </c>
      <c r="K90" s="965"/>
      <c r="L90" s="965">
        <f>D90+H90</f>
        <v>1884</v>
      </c>
      <c r="M90" s="965"/>
      <c r="N90" s="965">
        <f>F90+J90</f>
        <v>7821</v>
      </c>
      <c r="O90" s="1011"/>
      <c r="P90" s="1012">
        <v>1083</v>
      </c>
      <c r="Q90" s="965"/>
      <c r="R90" s="965">
        <v>10209</v>
      </c>
      <c r="S90" s="965"/>
      <c r="T90" s="965">
        <v>43</v>
      </c>
      <c r="U90" s="965">
        <v>330</v>
      </c>
      <c r="V90" s="965">
        <f t="shared" si="32"/>
        <v>1126</v>
      </c>
      <c r="W90" s="965"/>
      <c r="X90" s="965">
        <f t="shared" si="33"/>
        <v>10539</v>
      </c>
      <c r="Y90" s="1011"/>
      <c r="Z90" s="965" t="s">
        <v>43</v>
      </c>
      <c r="AA90" s="1011"/>
      <c r="AB90" s="908">
        <v>15286</v>
      </c>
      <c r="AC90" s="1021"/>
      <c r="AD90" s="908">
        <f t="shared" si="29"/>
        <v>23107</v>
      </c>
      <c r="AE90" s="1021"/>
      <c r="AF90" s="768">
        <v>2010</v>
      </c>
      <c r="AG90" s="892" t="s">
        <v>33</v>
      </c>
      <c r="AH90" s="201"/>
      <c r="AJ90" s="14"/>
      <c r="AK90" s="201"/>
    </row>
    <row r="91" spans="1:37" s="200" customFormat="1" ht="12.75" hidden="1" customHeight="1">
      <c r="A91" s="902"/>
      <c r="B91" s="874">
        <v>2010</v>
      </c>
      <c r="C91" s="370" t="s">
        <v>34</v>
      </c>
      <c r="D91" s="923">
        <v>1382</v>
      </c>
      <c r="E91" s="908"/>
      <c r="F91" s="908">
        <v>5571</v>
      </c>
      <c r="G91" s="908"/>
      <c r="H91" s="965">
        <v>21</v>
      </c>
      <c r="I91" s="965"/>
      <c r="J91" s="965">
        <v>35</v>
      </c>
      <c r="K91" s="965"/>
      <c r="L91" s="965">
        <f>D91+H91</f>
        <v>1403</v>
      </c>
      <c r="M91" s="965"/>
      <c r="N91" s="965">
        <f>F91+J91</f>
        <v>5606</v>
      </c>
      <c r="O91" s="1011"/>
      <c r="P91" s="1012">
        <v>1578</v>
      </c>
      <c r="Q91" s="965"/>
      <c r="R91" s="965">
        <v>5738</v>
      </c>
      <c r="S91" s="965"/>
      <c r="T91" s="965">
        <v>32</v>
      </c>
      <c r="U91" s="965">
        <v>312</v>
      </c>
      <c r="V91" s="965">
        <f t="shared" si="32"/>
        <v>1610</v>
      </c>
      <c r="W91" s="965"/>
      <c r="X91" s="965">
        <f t="shared" si="33"/>
        <v>6050</v>
      </c>
      <c r="Y91" s="1011"/>
      <c r="Z91" s="965" t="s">
        <v>43</v>
      </c>
      <c r="AA91" s="1011"/>
      <c r="AB91" s="908">
        <v>5860</v>
      </c>
      <c r="AC91" s="1021"/>
      <c r="AD91" s="908">
        <f t="shared" si="29"/>
        <v>11466</v>
      </c>
      <c r="AE91" s="1021"/>
      <c r="AF91" s="768">
        <v>2010</v>
      </c>
      <c r="AG91" s="892" t="s">
        <v>77</v>
      </c>
      <c r="AH91" s="201"/>
      <c r="AJ91" s="14"/>
      <c r="AK91" s="201"/>
    </row>
    <row r="92" spans="1:37" s="200" customFormat="1" ht="12.75" hidden="1" customHeight="1">
      <c r="A92" s="902"/>
      <c r="B92" s="874">
        <v>2010</v>
      </c>
      <c r="C92" s="370" t="s">
        <v>29</v>
      </c>
      <c r="D92" s="923">
        <v>1197</v>
      </c>
      <c r="E92" s="908"/>
      <c r="F92" s="908">
        <v>6454</v>
      </c>
      <c r="G92" s="908"/>
      <c r="H92" s="965">
        <v>28</v>
      </c>
      <c r="I92" s="965"/>
      <c r="J92" s="965">
        <v>16</v>
      </c>
      <c r="K92" s="965"/>
      <c r="L92" s="965">
        <f>D92+H92</f>
        <v>1225</v>
      </c>
      <c r="M92" s="965"/>
      <c r="N92" s="965">
        <f>F92+J92</f>
        <v>6470</v>
      </c>
      <c r="O92" s="1011"/>
      <c r="P92" s="1012">
        <v>1167</v>
      </c>
      <c r="Q92" s="965"/>
      <c r="R92" s="965">
        <v>6824</v>
      </c>
      <c r="S92" s="965"/>
      <c r="T92" s="965">
        <v>5</v>
      </c>
      <c r="U92" s="965">
        <v>6</v>
      </c>
      <c r="V92" s="965">
        <f t="shared" si="32"/>
        <v>1172</v>
      </c>
      <c r="W92" s="965"/>
      <c r="X92" s="965">
        <f t="shared" si="33"/>
        <v>6830</v>
      </c>
      <c r="Y92" s="1011"/>
      <c r="Z92" s="965" t="s">
        <v>43</v>
      </c>
      <c r="AA92" s="1011"/>
      <c r="AB92" s="908">
        <v>12784</v>
      </c>
      <c r="AC92" s="1021"/>
      <c r="AD92" s="908">
        <f t="shared" si="29"/>
        <v>19254</v>
      </c>
      <c r="AE92" s="1021"/>
      <c r="AF92" s="768">
        <v>2010</v>
      </c>
      <c r="AG92" s="892" t="s">
        <v>29</v>
      </c>
      <c r="AH92" s="201"/>
      <c r="AJ92" s="14"/>
      <c r="AK92" s="201"/>
    </row>
    <row r="93" spans="1:37" s="200" customFormat="1" ht="12.75" hidden="1" customHeight="1">
      <c r="A93" s="902"/>
      <c r="B93" s="874">
        <v>2010</v>
      </c>
      <c r="C93" s="370" t="s">
        <v>35</v>
      </c>
      <c r="D93" s="923">
        <v>1437</v>
      </c>
      <c r="E93" s="908"/>
      <c r="F93" s="908">
        <v>6481</v>
      </c>
      <c r="G93" s="908"/>
      <c r="H93" s="965">
        <v>42</v>
      </c>
      <c r="I93" s="965"/>
      <c r="J93" s="965">
        <v>140</v>
      </c>
      <c r="K93" s="965"/>
      <c r="L93" s="965">
        <f t="shared" si="30"/>
        <v>1479</v>
      </c>
      <c r="M93" s="965"/>
      <c r="N93" s="965">
        <f t="shared" si="31"/>
        <v>6621</v>
      </c>
      <c r="O93" s="1011"/>
      <c r="P93" s="1012">
        <v>849</v>
      </c>
      <c r="Q93" s="965"/>
      <c r="R93" s="965">
        <v>7184</v>
      </c>
      <c r="S93" s="965"/>
      <c r="T93" s="965">
        <v>10</v>
      </c>
      <c r="U93" s="965">
        <v>73</v>
      </c>
      <c r="V93" s="965">
        <f t="shared" si="32"/>
        <v>859</v>
      </c>
      <c r="W93" s="965"/>
      <c r="X93" s="965">
        <f t="shared" si="33"/>
        <v>7257</v>
      </c>
      <c r="Y93" s="1011"/>
      <c r="Z93" s="965" t="s">
        <v>43</v>
      </c>
      <c r="AA93" s="1011"/>
      <c r="AB93" s="908">
        <v>12775</v>
      </c>
      <c r="AC93" s="1021"/>
      <c r="AD93" s="908">
        <f t="shared" si="29"/>
        <v>19396</v>
      </c>
      <c r="AE93" s="1021"/>
      <c r="AF93" s="768">
        <v>2010</v>
      </c>
      <c r="AG93" s="892" t="s">
        <v>78</v>
      </c>
      <c r="AH93" s="201"/>
      <c r="AJ93" s="14"/>
      <c r="AK93" s="201"/>
    </row>
    <row r="94" spans="1:37" s="200" customFormat="1" ht="12.75" hidden="1" customHeight="1">
      <c r="A94" s="902"/>
      <c r="B94" s="874">
        <v>2010</v>
      </c>
      <c r="C94" s="370" t="s">
        <v>4</v>
      </c>
      <c r="D94" s="923">
        <v>2041</v>
      </c>
      <c r="E94" s="908"/>
      <c r="F94" s="908">
        <v>6745</v>
      </c>
      <c r="G94" s="908"/>
      <c r="H94" s="965">
        <v>33</v>
      </c>
      <c r="I94" s="965"/>
      <c r="J94" s="965">
        <v>122</v>
      </c>
      <c r="K94" s="965"/>
      <c r="L94" s="965">
        <f>D94+H94</f>
        <v>2074</v>
      </c>
      <c r="M94" s="965"/>
      <c r="N94" s="965">
        <f>F94+J94</f>
        <v>6867</v>
      </c>
      <c r="O94" s="1011"/>
      <c r="P94" s="1012">
        <v>990</v>
      </c>
      <c r="Q94" s="965"/>
      <c r="R94" s="965">
        <v>7294</v>
      </c>
      <c r="S94" s="965"/>
      <c r="T94" s="965">
        <v>2</v>
      </c>
      <c r="U94" s="965">
        <v>100</v>
      </c>
      <c r="V94" s="965">
        <f t="shared" si="32"/>
        <v>992</v>
      </c>
      <c r="W94" s="965"/>
      <c r="X94" s="965">
        <f t="shared" si="33"/>
        <v>7394</v>
      </c>
      <c r="Y94" s="1011"/>
      <c r="Z94" s="965" t="s">
        <v>43</v>
      </c>
      <c r="AA94" s="1011"/>
      <c r="AB94" s="908">
        <v>7557</v>
      </c>
      <c r="AC94" s="1021"/>
      <c r="AD94" s="908">
        <f t="shared" si="29"/>
        <v>14424</v>
      </c>
      <c r="AE94" s="1021"/>
      <c r="AF94" s="768">
        <v>2010</v>
      </c>
      <c r="AG94" s="892" t="s">
        <v>79</v>
      </c>
      <c r="AH94" s="201"/>
      <c r="AJ94" s="14"/>
      <c r="AK94" s="201"/>
    </row>
    <row r="95" spans="1:37" s="200" customFormat="1" ht="12.75" hidden="1" customHeight="1">
      <c r="A95" s="902"/>
      <c r="B95" s="874">
        <v>2010</v>
      </c>
      <c r="C95" s="370" t="s">
        <v>68</v>
      </c>
      <c r="D95" s="923">
        <v>1793</v>
      </c>
      <c r="E95" s="908"/>
      <c r="F95" s="908">
        <v>7750</v>
      </c>
      <c r="G95" s="908"/>
      <c r="H95" s="965">
        <v>37</v>
      </c>
      <c r="I95" s="965"/>
      <c r="J95" s="965">
        <v>285</v>
      </c>
      <c r="K95" s="965"/>
      <c r="L95" s="965">
        <f t="shared" si="30"/>
        <v>1830</v>
      </c>
      <c r="M95" s="965"/>
      <c r="N95" s="965">
        <f t="shared" si="31"/>
        <v>8035</v>
      </c>
      <c r="O95" s="1011"/>
      <c r="P95" s="1012">
        <v>824</v>
      </c>
      <c r="Q95" s="965"/>
      <c r="R95" s="965">
        <v>7503</v>
      </c>
      <c r="S95" s="965"/>
      <c r="T95" s="965">
        <v>10</v>
      </c>
      <c r="U95" s="965">
        <v>111</v>
      </c>
      <c r="V95" s="965">
        <f t="shared" si="32"/>
        <v>834</v>
      </c>
      <c r="W95" s="965"/>
      <c r="X95" s="965">
        <f t="shared" si="33"/>
        <v>7614</v>
      </c>
      <c r="Y95" s="1011"/>
      <c r="Z95" s="965" t="s">
        <v>43</v>
      </c>
      <c r="AA95" s="1011"/>
      <c r="AB95" s="908">
        <v>12984</v>
      </c>
      <c r="AC95" s="1021"/>
      <c r="AD95" s="908">
        <f t="shared" si="29"/>
        <v>21019</v>
      </c>
      <c r="AE95" s="1021"/>
      <c r="AF95" s="768">
        <v>2010</v>
      </c>
      <c r="AG95" s="892" t="s">
        <v>80</v>
      </c>
      <c r="AH95" s="201"/>
      <c r="AJ95" s="14"/>
      <c r="AK95" s="201"/>
    </row>
    <row r="96" spans="1:37" s="200" customFormat="1" ht="12.75" hidden="1" customHeight="1">
      <c r="A96" s="902"/>
      <c r="B96" s="874">
        <v>2010</v>
      </c>
      <c r="C96" s="370" t="s">
        <v>131</v>
      </c>
      <c r="D96" s="923">
        <v>1772</v>
      </c>
      <c r="E96" s="908"/>
      <c r="F96" s="908">
        <v>10319</v>
      </c>
      <c r="G96" s="908"/>
      <c r="H96" s="965">
        <v>43</v>
      </c>
      <c r="I96" s="965"/>
      <c r="J96" s="965">
        <v>275</v>
      </c>
      <c r="K96" s="965"/>
      <c r="L96" s="965">
        <f t="shared" si="30"/>
        <v>1815</v>
      </c>
      <c r="M96" s="965"/>
      <c r="N96" s="965">
        <f t="shared" si="31"/>
        <v>10594</v>
      </c>
      <c r="O96" s="1011"/>
      <c r="P96" s="1012">
        <v>914</v>
      </c>
      <c r="Q96" s="965"/>
      <c r="R96" s="965">
        <v>11225</v>
      </c>
      <c r="S96" s="965"/>
      <c r="T96" s="965">
        <v>15</v>
      </c>
      <c r="U96" s="965">
        <v>200</v>
      </c>
      <c r="V96" s="965">
        <f t="shared" si="32"/>
        <v>929</v>
      </c>
      <c r="W96" s="965"/>
      <c r="X96" s="965">
        <f t="shared" si="33"/>
        <v>11425</v>
      </c>
      <c r="Y96" s="1011"/>
      <c r="Z96" s="965" t="s">
        <v>43</v>
      </c>
      <c r="AA96" s="1011"/>
      <c r="AB96" s="908">
        <v>9334</v>
      </c>
      <c r="AC96" s="1021"/>
      <c r="AD96" s="908">
        <f t="shared" si="29"/>
        <v>19928</v>
      </c>
      <c r="AE96" s="1021"/>
      <c r="AF96" s="768">
        <v>2010</v>
      </c>
      <c r="AG96" s="892" t="s">
        <v>81</v>
      </c>
      <c r="AH96" s="201"/>
      <c r="AJ96" s="14"/>
      <c r="AK96" s="201"/>
    </row>
    <row r="97" spans="1:37" s="200" customFormat="1" ht="12.75" hidden="1" customHeight="1">
      <c r="A97" s="902"/>
      <c r="B97" s="874">
        <v>2010</v>
      </c>
      <c r="C97" s="370" t="s">
        <v>37</v>
      </c>
      <c r="D97" s="923">
        <v>1565</v>
      </c>
      <c r="E97" s="908"/>
      <c r="F97" s="908">
        <v>9321</v>
      </c>
      <c r="G97" s="908"/>
      <c r="H97" s="965">
        <v>35</v>
      </c>
      <c r="I97" s="965"/>
      <c r="J97" s="965">
        <v>311</v>
      </c>
      <c r="K97" s="965"/>
      <c r="L97" s="965">
        <f t="shared" si="30"/>
        <v>1600</v>
      </c>
      <c r="M97" s="965"/>
      <c r="N97" s="965">
        <f t="shared" si="31"/>
        <v>9632</v>
      </c>
      <c r="O97" s="1011"/>
      <c r="P97" s="1012">
        <v>909</v>
      </c>
      <c r="Q97" s="965"/>
      <c r="R97" s="965">
        <v>10831</v>
      </c>
      <c r="S97" s="965"/>
      <c r="T97" s="965">
        <v>8</v>
      </c>
      <c r="U97" s="965">
        <v>176</v>
      </c>
      <c r="V97" s="965">
        <f t="shared" si="32"/>
        <v>917</v>
      </c>
      <c r="W97" s="965"/>
      <c r="X97" s="965">
        <f t="shared" si="33"/>
        <v>11007</v>
      </c>
      <c r="Y97" s="1011"/>
      <c r="Z97" s="965" t="s">
        <v>43</v>
      </c>
      <c r="AA97" s="1011"/>
      <c r="AB97" s="908">
        <v>11304</v>
      </c>
      <c r="AC97" s="1021"/>
      <c r="AD97" s="1029">
        <f t="shared" si="29"/>
        <v>20936</v>
      </c>
      <c r="AE97" s="1041"/>
      <c r="AF97" s="768">
        <v>2010</v>
      </c>
      <c r="AG97" s="892" t="s">
        <v>82</v>
      </c>
      <c r="AH97" s="201"/>
      <c r="AJ97" s="14"/>
      <c r="AK97" s="201"/>
    </row>
    <row r="98" spans="1:37" s="200" customFormat="1" ht="12.75" hidden="1" customHeight="1">
      <c r="A98" s="902"/>
      <c r="B98" s="874">
        <v>2010</v>
      </c>
      <c r="C98" s="370" t="s">
        <v>31</v>
      </c>
      <c r="D98" s="923">
        <v>2018</v>
      </c>
      <c r="E98" s="908"/>
      <c r="F98" s="908">
        <v>8998</v>
      </c>
      <c r="G98" s="908"/>
      <c r="H98" s="965">
        <v>54</v>
      </c>
      <c r="I98" s="965"/>
      <c r="J98" s="965">
        <v>289</v>
      </c>
      <c r="K98" s="965"/>
      <c r="L98" s="965">
        <f t="shared" si="30"/>
        <v>2072</v>
      </c>
      <c r="M98" s="965"/>
      <c r="N98" s="965">
        <f t="shared" si="31"/>
        <v>9287</v>
      </c>
      <c r="O98" s="1011"/>
      <c r="P98" s="1012">
        <v>1037</v>
      </c>
      <c r="Q98" s="965"/>
      <c r="R98" s="965">
        <v>9877</v>
      </c>
      <c r="S98" s="965"/>
      <c r="T98" s="965">
        <v>18</v>
      </c>
      <c r="U98" s="965">
        <v>310</v>
      </c>
      <c r="V98" s="965">
        <f t="shared" si="32"/>
        <v>1055</v>
      </c>
      <c r="W98" s="965"/>
      <c r="X98" s="965">
        <f t="shared" si="33"/>
        <v>10187</v>
      </c>
      <c r="Y98" s="1011"/>
      <c r="Z98" s="965" t="s">
        <v>43</v>
      </c>
      <c r="AA98" s="1011"/>
      <c r="AB98" s="1029">
        <v>11548</v>
      </c>
      <c r="AC98" s="1041"/>
      <c r="AD98" s="1029">
        <f t="shared" si="29"/>
        <v>20835</v>
      </c>
      <c r="AE98" s="1041"/>
      <c r="AF98" s="768">
        <v>2010</v>
      </c>
      <c r="AG98" s="892" t="s">
        <v>31</v>
      </c>
      <c r="AH98" s="201"/>
      <c r="AJ98" s="14"/>
      <c r="AK98" s="201"/>
    </row>
    <row r="99" spans="1:37" s="200" customFormat="1" ht="12.75" hidden="1" customHeight="1">
      <c r="A99" s="902"/>
      <c r="B99" s="874">
        <v>2010</v>
      </c>
      <c r="C99" s="370" t="s">
        <v>38</v>
      </c>
      <c r="D99" s="923">
        <v>1778</v>
      </c>
      <c r="E99" s="908"/>
      <c r="F99" s="908">
        <v>8796</v>
      </c>
      <c r="G99" s="908"/>
      <c r="H99" s="908">
        <v>52</v>
      </c>
      <c r="I99" s="908"/>
      <c r="J99" s="908">
        <v>205</v>
      </c>
      <c r="K99" s="908"/>
      <c r="L99" s="965">
        <f t="shared" si="30"/>
        <v>1830</v>
      </c>
      <c r="M99" s="965"/>
      <c r="N99" s="908">
        <f t="shared" si="31"/>
        <v>9001</v>
      </c>
      <c r="O99" s="1021"/>
      <c r="P99" s="923">
        <v>1160</v>
      </c>
      <c r="Q99" s="908"/>
      <c r="R99" s="908">
        <v>10739</v>
      </c>
      <c r="S99" s="908"/>
      <c r="T99" s="908">
        <v>13</v>
      </c>
      <c r="U99" s="908">
        <v>176</v>
      </c>
      <c r="V99" s="908">
        <f t="shared" si="32"/>
        <v>1173</v>
      </c>
      <c r="W99" s="908"/>
      <c r="X99" s="908">
        <f t="shared" si="33"/>
        <v>10915</v>
      </c>
      <c r="Y99" s="1021"/>
      <c r="Z99" s="965" t="s">
        <v>43</v>
      </c>
      <c r="AA99" s="1011"/>
      <c r="AB99" s="1029">
        <v>13549</v>
      </c>
      <c r="AC99" s="1041"/>
      <c r="AD99" s="1029">
        <f t="shared" si="29"/>
        <v>22550</v>
      </c>
      <c r="AE99" s="1041"/>
      <c r="AF99" s="768">
        <v>2010</v>
      </c>
      <c r="AG99" s="892" t="s">
        <v>49</v>
      </c>
      <c r="AH99" s="201"/>
      <c r="AJ99" s="14"/>
      <c r="AK99" s="201"/>
    </row>
    <row r="100" spans="1:37" s="200" customFormat="1" ht="12.75" hidden="1" customHeight="1">
      <c r="A100" s="902"/>
      <c r="B100" s="874">
        <v>2010</v>
      </c>
      <c r="C100" s="370" t="s">
        <v>39</v>
      </c>
      <c r="D100" s="923">
        <v>1814</v>
      </c>
      <c r="E100" s="908"/>
      <c r="F100" s="908">
        <v>7411</v>
      </c>
      <c r="G100" s="908"/>
      <c r="H100" s="908">
        <v>59</v>
      </c>
      <c r="I100" s="908"/>
      <c r="J100" s="908">
        <v>202</v>
      </c>
      <c r="K100" s="908"/>
      <c r="L100" s="965">
        <f t="shared" si="30"/>
        <v>1873</v>
      </c>
      <c r="M100" s="965"/>
      <c r="N100" s="908">
        <f t="shared" si="31"/>
        <v>7613</v>
      </c>
      <c r="O100" s="1021"/>
      <c r="P100" s="923">
        <v>1465</v>
      </c>
      <c r="Q100" s="908"/>
      <c r="R100" s="908">
        <v>8606</v>
      </c>
      <c r="S100" s="908"/>
      <c r="T100" s="908">
        <v>4</v>
      </c>
      <c r="U100" s="908">
        <v>99</v>
      </c>
      <c r="V100" s="908">
        <f t="shared" si="32"/>
        <v>1469</v>
      </c>
      <c r="W100" s="908"/>
      <c r="X100" s="908">
        <f t="shared" si="33"/>
        <v>8705</v>
      </c>
      <c r="Y100" s="1021"/>
      <c r="Z100" s="965" t="s">
        <v>43</v>
      </c>
      <c r="AA100" s="1011"/>
      <c r="AB100" s="1029">
        <v>13281</v>
      </c>
      <c r="AC100" s="1041"/>
      <c r="AD100" s="1029">
        <f t="shared" si="29"/>
        <v>20894</v>
      </c>
      <c r="AE100" s="1041"/>
      <c r="AF100" s="768">
        <v>2010</v>
      </c>
      <c r="AG100" s="892" t="s">
        <v>39</v>
      </c>
      <c r="AH100" s="201"/>
      <c r="AJ100" s="14"/>
      <c r="AK100" s="201"/>
    </row>
    <row r="101" spans="1:37" s="200" customFormat="1" ht="12.75" hidden="1" customHeight="1">
      <c r="A101" s="902"/>
      <c r="B101" s="874">
        <v>2010</v>
      </c>
      <c r="C101" s="370" t="s">
        <v>32</v>
      </c>
      <c r="D101" s="923">
        <v>1907</v>
      </c>
      <c r="E101" s="908"/>
      <c r="F101" s="908">
        <v>9420</v>
      </c>
      <c r="G101" s="908"/>
      <c r="H101" s="908">
        <v>61</v>
      </c>
      <c r="I101" s="908"/>
      <c r="J101" s="908">
        <v>213</v>
      </c>
      <c r="K101" s="908"/>
      <c r="L101" s="965">
        <f t="shared" si="30"/>
        <v>1968</v>
      </c>
      <c r="M101" s="965"/>
      <c r="N101" s="908">
        <f t="shared" si="31"/>
        <v>9633</v>
      </c>
      <c r="O101" s="1021"/>
      <c r="P101" s="923">
        <v>1157</v>
      </c>
      <c r="Q101" s="908"/>
      <c r="R101" s="908">
        <v>8543</v>
      </c>
      <c r="S101" s="908"/>
      <c r="T101" s="908">
        <v>28</v>
      </c>
      <c r="U101" s="908">
        <v>106</v>
      </c>
      <c r="V101" s="908">
        <f t="shared" si="32"/>
        <v>1185</v>
      </c>
      <c r="W101" s="908"/>
      <c r="X101" s="908">
        <f t="shared" si="33"/>
        <v>8649</v>
      </c>
      <c r="Y101" s="1021"/>
      <c r="Z101" s="965" t="s">
        <v>43</v>
      </c>
      <c r="AA101" s="1011"/>
      <c r="AB101" s="1029">
        <v>14206</v>
      </c>
      <c r="AC101" s="1041"/>
      <c r="AD101" s="1029">
        <f t="shared" si="29"/>
        <v>23839</v>
      </c>
      <c r="AE101" s="1041"/>
      <c r="AF101" s="768">
        <v>2010</v>
      </c>
      <c r="AG101" s="892" t="s">
        <v>32</v>
      </c>
      <c r="AH101" s="201"/>
      <c r="AJ101" s="14"/>
      <c r="AK101" s="201"/>
    </row>
    <row r="102" spans="1:37" s="200" customFormat="1" ht="12.75" hidden="1" customHeight="1">
      <c r="A102" s="902"/>
      <c r="B102" s="874">
        <v>2011</v>
      </c>
      <c r="C102" s="370" t="s">
        <v>33</v>
      </c>
      <c r="D102" s="923">
        <v>1780</v>
      </c>
      <c r="E102" s="908"/>
      <c r="F102" s="908">
        <v>6536</v>
      </c>
      <c r="G102" s="908"/>
      <c r="H102" s="908">
        <v>51</v>
      </c>
      <c r="I102" s="908"/>
      <c r="J102" s="908">
        <v>136</v>
      </c>
      <c r="K102" s="908"/>
      <c r="L102" s="908">
        <f t="shared" si="30"/>
        <v>1831</v>
      </c>
      <c r="M102" s="908"/>
      <c r="N102" s="908">
        <f t="shared" si="31"/>
        <v>6672</v>
      </c>
      <c r="O102" s="1021"/>
      <c r="P102" s="923">
        <v>728</v>
      </c>
      <c r="Q102" s="908"/>
      <c r="R102" s="908">
        <v>7673</v>
      </c>
      <c r="S102" s="908"/>
      <c r="T102" s="908">
        <v>25</v>
      </c>
      <c r="U102" s="908">
        <v>271</v>
      </c>
      <c r="V102" s="908">
        <f t="shared" si="32"/>
        <v>753</v>
      </c>
      <c r="W102" s="908"/>
      <c r="X102" s="908">
        <f t="shared" si="33"/>
        <v>7944</v>
      </c>
      <c r="Y102" s="1021"/>
      <c r="Z102" s="965" t="s">
        <v>43</v>
      </c>
      <c r="AA102" s="1011"/>
      <c r="AB102" s="1029">
        <v>18376</v>
      </c>
      <c r="AC102" s="1041"/>
      <c r="AD102" s="1029">
        <f t="shared" si="29"/>
        <v>25048</v>
      </c>
      <c r="AE102" s="1041"/>
      <c r="AF102" s="768">
        <v>2011</v>
      </c>
      <c r="AG102" s="892" t="s">
        <v>33</v>
      </c>
      <c r="AH102" s="201"/>
      <c r="AJ102" s="14"/>
      <c r="AK102" s="201"/>
    </row>
    <row r="103" spans="1:37" s="200" customFormat="1" ht="12.75" hidden="1" customHeight="1">
      <c r="A103" s="902"/>
      <c r="B103" s="874">
        <v>2011</v>
      </c>
      <c r="C103" s="370" t="s">
        <v>34</v>
      </c>
      <c r="D103" s="923">
        <v>1307</v>
      </c>
      <c r="E103" s="908"/>
      <c r="F103" s="908">
        <v>4567</v>
      </c>
      <c r="G103" s="908"/>
      <c r="H103" s="908">
        <v>39</v>
      </c>
      <c r="I103" s="908"/>
      <c r="J103" s="908">
        <v>58</v>
      </c>
      <c r="K103" s="908"/>
      <c r="L103" s="908">
        <f t="shared" si="30"/>
        <v>1346</v>
      </c>
      <c r="M103" s="908"/>
      <c r="N103" s="908">
        <f t="shared" si="31"/>
        <v>4625</v>
      </c>
      <c r="O103" s="1021"/>
      <c r="P103" s="923">
        <v>936</v>
      </c>
      <c r="Q103" s="908"/>
      <c r="R103" s="908">
        <v>2922</v>
      </c>
      <c r="S103" s="908"/>
      <c r="T103" s="1022">
        <v>5</v>
      </c>
      <c r="U103" s="1022">
        <v>66</v>
      </c>
      <c r="V103" s="908">
        <f t="shared" si="32"/>
        <v>941</v>
      </c>
      <c r="W103" s="908"/>
      <c r="X103" s="908">
        <f t="shared" si="33"/>
        <v>2988</v>
      </c>
      <c r="Y103" s="1021"/>
      <c r="Z103" s="965" t="s">
        <v>43</v>
      </c>
      <c r="AA103" s="1011"/>
      <c r="AB103" s="1029">
        <v>14976</v>
      </c>
      <c r="AC103" s="1041"/>
      <c r="AD103" s="1029">
        <f t="shared" si="29"/>
        <v>19601</v>
      </c>
      <c r="AE103" s="1041"/>
      <c r="AF103" s="768">
        <v>2011</v>
      </c>
      <c r="AG103" s="892" t="s">
        <v>77</v>
      </c>
      <c r="AH103" s="201"/>
      <c r="AJ103" s="14"/>
      <c r="AK103" s="201"/>
    </row>
    <row r="104" spans="1:37" s="200" customFormat="1" ht="12.75" hidden="1" customHeight="1">
      <c r="A104" s="902"/>
      <c r="B104" s="874">
        <v>2011</v>
      </c>
      <c r="C104" s="370" t="s">
        <v>29</v>
      </c>
      <c r="D104" s="923">
        <v>1384</v>
      </c>
      <c r="E104" s="908"/>
      <c r="F104" s="908">
        <v>5210</v>
      </c>
      <c r="G104" s="908"/>
      <c r="H104" s="908">
        <v>22</v>
      </c>
      <c r="I104" s="908"/>
      <c r="J104" s="908">
        <v>93</v>
      </c>
      <c r="K104" s="908"/>
      <c r="L104" s="908">
        <f t="shared" si="30"/>
        <v>1406</v>
      </c>
      <c r="M104" s="908"/>
      <c r="N104" s="908">
        <f>F104+J104</f>
        <v>5303</v>
      </c>
      <c r="O104" s="1021"/>
      <c r="P104" s="923">
        <v>1203</v>
      </c>
      <c r="Q104" s="908"/>
      <c r="R104" s="908">
        <v>5211</v>
      </c>
      <c r="S104" s="908"/>
      <c r="T104" s="1023" t="s">
        <v>43</v>
      </c>
      <c r="U104" s="1023" t="s">
        <v>43</v>
      </c>
      <c r="V104" s="908">
        <f>P104</f>
        <v>1203</v>
      </c>
      <c r="W104" s="908"/>
      <c r="X104" s="908">
        <f>R104</f>
        <v>5211</v>
      </c>
      <c r="Y104" s="1021"/>
      <c r="Z104" s="965" t="s">
        <v>43</v>
      </c>
      <c r="AA104" s="1011"/>
      <c r="AB104" s="1029">
        <v>7613</v>
      </c>
      <c r="AC104" s="1041"/>
      <c r="AD104" s="1029">
        <f t="shared" si="29"/>
        <v>12916</v>
      </c>
      <c r="AE104" s="1041"/>
      <c r="AF104" s="768">
        <v>2011</v>
      </c>
      <c r="AG104" s="892" t="s">
        <v>29</v>
      </c>
      <c r="AH104" s="201"/>
      <c r="AJ104" s="14"/>
      <c r="AK104" s="201"/>
    </row>
    <row r="105" spans="1:37" s="200" customFormat="1" ht="12.75" hidden="1" customHeight="1">
      <c r="A105" s="902"/>
      <c r="B105" s="874">
        <v>2011</v>
      </c>
      <c r="C105" s="370" t="s">
        <v>35</v>
      </c>
      <c r="D105" s="923">
        <v>1635</v>
      </c>
      <c r="E105" s="908"/>
      <c r="F105" s="908">
        <v>7183</v>
      </c>
      <c r="G105" s="908"/>
      <c r="H105" s="908">
        <v>44</v>
      </c>
      <c r="I105" s="908"/>
      <c r="J105" s="908">
        <v>236</v>
      </c>
      <c r="K105" s="908"/>
      <c r="L105" s="908">
        <f t="shared" si="30"/>
        <v>1679</v>
      </c>
      <c r="M105" s="908"/>
      <c r="N105" s="908">
        <f t="shared" si="31"/>
        <v>7419</v>
      </c>
      <c r="O105" s="1021"/>
      <c r="P105" s="923">
        <v>899</v>
      </c>
      <c r="Q105" s="908"/>
      <c r="R105" s="908">
        <v>7722</v>
      </c>
      <c r="S105" s="908"/>
      <c r="T105" s="908">
        <v>12</v>
      </c>
      <c r="U105" s="908">
        <v>141</v>
      </c>
      <c r="V105" s="908">
        <f t="shared" ref="V105:V122" si="34">P105+T105</f>
        <v>911</v>
      </c>
      <c r="W105" s="908"/>
      <c r="X105" s="908">
        <f t="shared" ref="X105:X124" si="35">R105+U105</f>
        <v>7863</v>
      </c>
      <c r="Y105" s="1021"/>
      <c r="Z105" s="965" t="s">
        <v>43</v>
      </c>
      <c r="AA105" s="1011"/>
      <c r="AB105" s="1029">
        <v>15725</v>
      </c>
      <c r="AC105" s="1041"/>
      <c r="AD105" s="1029">
        <f t="shared" si="29"/>
        <v>23144</v>
      </c>
      <c r="AE105" s="1041"/>
      <c r="AF105" s="768">
        <v>2011</v>
      </c>
      <c r="AG105" s="892" t="s">
        <v>78</v>
      </c>
      <c r="AJ105" s="14"/>
    </row>
    <row r="106" spans="1:37" s="200" customFormat="1" ht="12.75" hidden="1" customHeight="1">
      <c r="A106" s="902"/>
      <c r="B106" s="874">
        <v>2011</v>
      </c>
      <c r="C106" s="370" t="s">
        <v>4</v>
      </c>
      <c r="D106" s="923">
        <v>1781</v>
      </c>
      <c r="E106" s="908"/>
      <c r="F106" s="908">
        <v>6247</v>
      </c>
      <c r="G106" s="908"/>
      <c r="H106" s="908">
        <v>43</v>
      </c>
      <c r="I106" s="908"/>
      <c r="J106" s="908">
        <v>197</v>
      </c>
      <c r="K106" s="908"/>
      <c r="L106" s="908">
        <f t="shared" si="30"/>
        <v>1824</v>
      </c>
      <c r="M106" s="908"/>
      <c r="N106" s="908">
        <f t="shared" si="31"/>
        <v>6444</v>
      </c>
      <c r="O106" s="1021"/>
      <c r="P106" s="923">
        <v>1097</v>
      </c>
      <c r="Q106" s="908"/>
      <c r="R106" s="908">
        <v>7364</v>
      </c>
      <c r="S106" s="908"/>
      <c r="T106" s="908">
        <v>12</v>
      </c>
      <c r="U106" s="908">
        <v>210</v>
      </c>
      <c r="V106" s="908">
        <f t="shared" si="34"/>
        <v>1109</v>
      </c>
      <c r="W106" s="908"/>
      <c r="X106" s="908">
        <f t="shared" si="35"/>
        <v>7574</v>
      </c>
      <c r="Y106" s="1021"/>
      <c r="Z106" s="965" t="s">
        <v>43</v>
      </c>
      <c r="AA106" s="1011"/>
      <c r="AB106" s="1029">
        <v>17031</v>
      </c>
      <c r="AC106" s="1041"/>
      <c r="AD106" s="908">
        <f t="shared" si="29"/>
        <v>23475</v>
      </c>
      <c r="AE106" s="1021"/>
      <c r="AF106" s="768">
        <v>2011</v>
      </c>
      <c r="AG106" s="892" t="s">
        <v>79</v>
      </c>
      <c r="AJ106" s="14"/>
    </row>
    <row r="107" spans="1:37" s="200" customFormat="1" ht="12.75" hidden="1" customHeight="1">
      <c r="A107" s="902"/>
      <c r="B107" s="874">
        <v>2011</v>
      </c>
      <c r="C107" s="370" t="s">
        <v>30</v>
      </c>
      <c r="D107" s="923">
        <v>1818</v>
      </c>
      <c r="E107" s="908"/>
      <c r="F107" s="908">
        <v>8053</v>
      </c>
      <c r="G107" s="908"/>
      <c r="H107" s="908">
        <v>38</v>
      </c>
      <c r="I107" s="908"/>
      <c r="J107" s="908">
        <v>265</v>
      </c>
      <c r="K107" s="908"/>
      <c r="L107" s="908">
        <f t="shared" si="30"/>
        <v>1856</v>
      </c>
      <c r="M107" s="908"/>
      <c r="N107" s="908">
        <f t="shared" si="31"/>
        <v>8318</v>
      </c>
      <c r="O107" s="1021"/>
      <c r="P107" s="923">
        <v>778</v>
      </c>
      <c r="Q107" s="908"/>
      <c r="R107" s="908">
        <v>7903</v>
      </c>
      <c r="S107" s="908"/>
      <c r="T107" s="908">
        <v>3</v>
      </c>
      <c r="U107" s="908">
        <v>54</v>
      </c>
      <c r="V107" s="908">
        <f t="shared" si="34"/>
        <v>781</v>
      </c>
      <c r="W107" s="908"/>
      <c r="X107" s="908">
        <f t="shared" si="35"/>
        <v>7957</v>
      </c>
      <c r="Y107" s="1021"/>
      <c r="Z107" s="965" t="s">
        <v>43</v>
      </c>
      <c r="AA107" s="1011"/>
      <c r="AB107" s="908">
        <v>18363</v>
      </c>
      <c r="AC107" s="1021"/>
      <c r="AD107" s="908">
        <f t="shared" si="29"/>
        <v>26681</v>
      </c>
      <c r="AE107" s="1021"/>
      <c r="AF107" s="768">
        <v>2011</v>
      </c>
      <c r="AG107" s="892" t="s">
        <v>80</v>
      </c>
      <c r="AJ107" s="14"/>
    </row>
    <row r="108" spans="1:37" s="200" customFormat="1" ht="12.75" hidden="1" customHeight="1">
      <c r="A108" s="902"/>
      <c r="B108" s="874">
        <v>2011</v>
      </c>
      <c r="C108" s="370" t="s">
        <v>36</v>
      </c>
      <c r="D108" s="923">
        <v>1828</v>
      </c>
      <c r="E108" s="908"/>
      <c r="F108" s="908">
        <v>10419</v>
      </c>
      <c r="G108" s="908"/>
      <c r="H108" s="908">
        <v>38</v>
      </c>
      <c r="I108" s="908"/>
      <c r="J108" s="908">
        <v>310</v>
      </c>
      <c r="K108" s="908"/>
      <c r="L108" s="908">
        <f t="shared" si="30"/>
        <v>1866</v>
      </c>
      <c r="M108" s="908"/>
      <c r="N108" s="908">
        <f t="shared" si="31"/>
        <v>10729</v>
      </c>
      <c r="O108" s="1021"/>
      <c r="P108" s="923">
        <v>994</v>
      </c>
      <c r="Q108" s="908"/>
      <c r="R108" s="908">
        <v>11297</v>
      </c>
      <c r="S108" s="908"/>
      <c r="T108" s="908">
        <v>30</v>
      </c>
      <c r="U108" s="908">
        <v>277</v>
      </c>
      <c r="V108" s="908">
        <f t="shared" si="34"/>
        <v>1024</v>
      </c>
      <c r="W108" s="908"/>
      <c r="X108" s="908">
        <f t="shared" si="35"/>
        <v>11574</v>
      </c>
      <c r="Y108" s="1021"/>
      <c r="Z108" s="965" t="s">
        <v>43</v>
      </c>
      <c r="AA108" s="1011"/>
      <c r="AB108" s="908">
        <v>11411</v>
      </c>
      <c r="AC108" s="1021"/>
      <c r="AD108" s="908">
        <f t="shared" si="29"/>
        <v>22140</v>
      </c>
      <c r="AE108" s="1021"/>
      <c r="AF108" s="768">
        <v>2011</v>
      </c>
      <c r="AG108" s="892" t="s">
        <v>81</v>
      </c>
      <c r="AJ108" s="14"/>
    </row>
    <row r="109" spans="1:37" s="200" customFormat="1" ht="12.75" hidden="1" customHeight="1">
      <c r="A109" s="902"/>
      <c r="B109" s="874">
        <v>2011</v>
      </c>
      <c r="C109" s="370" t="s">
        <v>37</v>
      </c>
      <c r="D109" s="923">
        <v>1797</v>
      </c>
      <c r="E109" s="908"/>
      <c r="F109" s="908">
        <v>9255</v>
      </c>
      <c r="G109" s="908"/>
      <c r="H109" s="908">
        <v>42</v>
      </c>
      <c r="I109" s="908"/>
      <c r="J109" s="908">
        <v>367</v>
      </c>
      <c r="K109" s="908"/>
      <c r="L109" s="908">
        <f t="shared" si="30"/>
        <v>1839</v>
      </c>
      <c r="M109" s="908"/>
      <c r="N109" s="908">
        <f t="shared" si="31"/>
        <v>9622</v>
      </c>
      <c r="O109" s="1021"/>
      <c r="P109" s="923">
        <v>1201</v>
      </c>
      <c r="Q109" s="908"/>
      <c r="R109" s="908">
        <v>9700</v>
      </c>
      <c r="S109" s="908"/>
      <c r="T109" s="908">
        <v>16</v>
      </c>
      <c r="U109" s="908">
        <v>203</v>
      </c>
      <c r="V109" s="908">
        <f t="shared" si="34"/>
        <v>1217</v>
      </c>
      <c r="W109" s="908"/>
      <c r="X109" s="908">
        <f t="shared" si="35"/>
        <v>9903</v>
      </c>
      <c r="Y109" s="1021"/>
      <c r="Z109" s="965" t="s">
        <v>43</v>
      </c>
      <c r="AA109" s="1011"/>
      <c r="AB109" s="908">
        <v>7511</v>
      </c>
      <c r="AC109" s="1021"/>
      <c r="AD109" s="908">
        <f t="shared" si="29"/>
        <v>17133</v>
      </c>
      <c r="AE109" s="1021"/>
      <c r="AF109" s="768">
        <v>2011</v>
      </c>
      <c r="AG109" s="892" t="s">
        <v>82</v>
      </c>
      <c r="AJ109" s="14"/>
    </row>
    <row r="110" spans="1:37" s="200" customFormat="1" ht="12.75" hidden="1" customHeight="1">
      <c r="A110" s="902"/>
      <c r="B110" s="874">
        <v>2011</v>
      </c>
      <c r="C110" s="370" t="s">
        <v>31</v>
      </c>
      <c r="D110" s="923">
        <v>2341</v>
      </c>
      <c r="E110" s="908"/>
      <c r="F110" s="908">
        <v>9203</v>
      </c>
      <c r="G110" s="908"/>
      <c r="H110" s="908">
        <v>52</v>
      </c>
      <c r="I110" s="908"/>
      <c r="J110" s="908">
        <v>343</v>
      </c>
      <c r="K110" s="908"/>
      <c r="L110" s="908">
        <f t="shared" si="30"/>
        <v>2393</v>
      </c>
      <c r="M110" s="908"/>
      <c r="N110" s="908">
        <f t="shared" si="31"/>
        <v>9546</v>
      </c>
      <c r="O110" s="1021"/>
      <c r="P110" s="923">
        <v>914</v>
      </c>
      <c r="Q110" s="908"/>
      <c r="R110" s="908">
        <v>9894</v>
      </c>
      <c r="S110" s="908"/>
      <c r="T110" s="908">
        <v>19</v>
      </c>
      <c r="U110" s="908">
        <v>205</v>
      </c>
      <c r="V110" s="908">
        <f t="shared" si="34"/>
        <v>933</v>
      </c>
      <c r="W110" s="908"/>
      <c r="X110" s="908">
        <f t="shared" si="35"/>
        <v>10099</v>
      </c>
      <c r="Y110" s="1021"/>
      <c r="Z110" s="965" t="s">
        <v>43</v>
      </c>
      <c r="AA110" s="1011"/>
      <c r="AB110" s="908">
        <v>13066</v>
      </c>
      <c r="AC110" s="1021"/>
      <c r="AD110" s="908">
        <f t="shared" ref="AD110:AD141" si="36">AB110+N110</f>
        <v>22612</v>
      </c>
      <c r="AE110" s="1021"/>
      <c r="AF110" s="768">
        <v>2011</v>
      </c>
      <c r="AG110" s="892" t="s">
        <v>31</v>
      </c>
      <c r="AJ110" s="14"/>
    </row>
    <row r="111" spans="1:37" s="200" customFormat="1" ht="12.75" hidden="1" customHeight="1">
      <c r="A111" s="902"/>
      <c r="B111" s="874">
        <v>2011</v>
      </c>
      <c r="C111" s="370" t="s">
        <v>38</v>
      </c>
      <c r="D111" s="923">
        <v>1760</v>
      </c>
      <c r="E111" s="908"/>
      <c r="F111" s="908">
        <v>8354</v>
      </c>
      <c r="G111" s="908"/>
      <c r="H111" s="908">
        <v>55</v>
      </c>
      <c r="I111" s="908"/>
      <c r="J111" s="908">
        <v>283</v>
      </c>
      <c r="K111" s="908"/>
      <c r="L111" s="908">
        <f t="shared" si="30"/>
        <v>1815</v>
      </c>
      <c r="M111" s="908"/>
      <c r="N111" s="908">
        <f t="shared" si="31"/>
        <v>8637</v>
      </c>
      <c r="O111" s="1021"/>
      <c r="P111" s="923">
        <v>1377</v>
      </c>
      <c r="Q111" s="908"/>
      <c r="R111" s="908">
        <v>10398</v>
      </c>
      <c r="S111" s="908"/>
      <c r="T111" s="908">
        <v>13</v>
      </c>
      <c r="U111" s="908">
        <v>237</v>
      </c>
      <c r="V111" s="908">
        <f t="shared" si="34"/>
        <v>1390</v>
      </c>
      <c r="W111" s="908"/>
      <c r="X111" s="908">
        <f t="shared" si="35"/>
        <v>10635</v>
      </c>
      <c r="Y111" s="1021"/>
      <c r="Z111" s="965" t="s">
        <v>43</v>
      </c>
      <c r="AA111" s="1011"/>
      <c r="AB111" s="908">
        <v>7210</v>
      </c>
      <c r="AC111" s="1021"/>
      <c r="AD111" s="908">
        <f t="shared" si="36"/>
        <v>15847</v>
      </c>
      <c r="AE111" s="1021"/>
      <c r="AF111" s="768">
        <v>2011</v>
      </c>
      <c r="AG111" s="892" t="s">
        <v>49</v>
      </c>
      <c r="AJ111" s="14"/>
    </row>
    <row r="112" spans="1:37" s="200" customFormat="1" ht="12.75" hidden="1" customHeight="1">
      <c r="A112" s="902"/>
      <c r="B112" s="874">
        <v>2011</v>
      </c>
      <c r="C112" s="370" t="s">
        <v>39</v>
      </c>
      <c r="D112" s="923">
        <v>1885</v>
      </c>
      <c r="E112" s="908"/>
      <c r="F112" s="908">
        <v>7353</v>
      </c>
      <c r="G112" s="908"/>
      <c r="H112" s="908">
        <v>51</v>
      </c>
      <c r="I112" s="908"/>
      <c r="J112" s="908">
        <v>302</v>
      </c>
      <c r="K112" s="908"/>
      <c r="L112" s="908">
        <f t="shared" si="30"/>
        <v>1936</v>
      </c>
      <c r="M112" s="908"/>
      <c r="N112" s="908">
        <f t="shared" si="31"/>
        <v>7655</v>
      </c>
      <c r="O112" s="1021"/>
      <c r="P112" s="923">
        <v>1412</v>
      </c>
      <c r="Q112" s="908"/>
      <c r="R112" s="908">
        <v>8617</v>
      </c>
      <c r="S112" s="908"/>
      <c r="T112" s="908">
        <v>7</v>
      </c>
      <c r="U112" s="908">
        <v>186</v>
      </c>
      <c r="V112" s="908">
        <f t="shared" si="34"/>
        <v>1419</v>
      </c>
      <c r="W112" s="908"/>
      <c r="X112" s="908">
        <f t="shared" si="35"/>
        <v>8803</v>
      </c>
      <c r="Y112" s="1021"/>
      <c r="Z112" s="965" t="s">
        <v>43</v>
      </c>
      <c r="AA112" s="1011"/>
      <c r="AB112" s="908">
        <v>11268</v>
      </c>
      <c r="AC112" s="1021"/>
      <c r="AD112" s="908">
        <f t="shared" si="36"/>
        <v>18923</v>
      </c>
      <c r="AE112" s="1021"/>
      <c r="AF112" s="768">
        <v>2011</v>
      </c>
      <c r="AG112" s="892" t="s">
        <v>39</v>
      </c>
      <c r="AI112" s="208"/>
      <c r="AJ112" s="14"/>
    </row>
    <row r="113" spans="1:39" s="200" customFormat="1" ht="12.75" hidden="1" customHeight="1">
      <c r="A113" s="902"/>
      <c r="B113" s="874">
        <v>2011</v>
      </c>
      <c r="C113" s="370" t="s">
        <v>32</v>
      </c>
      <c r="D113" s="923">
        <v>2436</v>
      </c>
      <c r="E113" s="908"/>
      <c r="F113" s="908">
        <v>8727</v>
      </c>
      <c r="G113" s="908"/>
      <c r="H113" s="908">
        <v>46</v>
      </c>
      <c r="I113" s="908"/>
      <c r="J113" s="908">
        <v>263</v>
      </c>
      <c r="K113" s="908"/>
      <c r="L113" s="908">
        <f t="shared" si="30"/>
        <v>2482</v>
      </c>
      <c r="M113" s="908"/>
      <c r="N113" s="908">
        <f t="shared" si="31"/>
        <v>8990</v>
      </c>
      <c r="O113" s="1021"/>
      <c r="P113" s="923">
        <v>1419</v>
      </c>
      <c r="Q113" s="908"/>
      <c r="R113" s="908">
        <v>8135</v>
      </c>
      <c r="S113" s="908"/>
      <c r="T113" s="908">
        <v>14</v>
      </c>
      <c r="U113" s="908">
        <v>104</v>
      </c>
      <c r="V113" s="908">
        <f t="shared" si="34"/>
        <v>1433</v>
      </c>
      <c r="W113" s="908"/>
      <c r="X113" s="908">
        <f t="shared" si="35"/>
        <v>8239</v>
      </c>
      <c r="Y113" s="1021"/>
      <c r="Z113" s="965" t="s">
        <v>43</v>
      </c>
      <c r="AA113" s="1011"/>
      <c r="AB113" s="908">
        <v>12388</v>
      </c>
      <c r="AC113" s="1021"/>
      <c r="AD113" s="908">
        <f t="shared" si="36"/>
        <v>21378</v>
      </c>
      <c r="AE113" s="1021"/>
      <c r="AF113" s="768">
        <v>2011</v>
      </c>
      <c r="AG113" s="892" t="s">
        <v>32</v>
      </c>
      <c r="AJ113" s="14"/>
    </row>
    <row r="114" spans="1:39" s="200" customFormat="1" ht="12.75" hidden="1" customHeight="1">
      <c r="A114" s="902"/>
      <c r="B114" s="874">
        <v>2012</v>
      </c>
      <c r="C114" s="370" t="s">
        <v>33</v>
      </c>
      <c r="D114" s="923">
        <v>2380</v>
      </c>
      <c r="E114" s="908"/>
      <c r="F114" s="908">
        <v>8591</v>
      </c>
      <c r="G114" s="908"/>
      <c r="H114" s="908">
        <v>42</v>
      </c>
      <c r="I114" s="908"/>
      <c r="J114" s="908">
        <v>164</v>
      </c>
      <c r="K114" s="908"/>
      <c r="L114" s="908">
        <f t="shared" ref="L114:L123" si="37">D114+H114</f>
        <v>2422</v>
      </c>
      <c r="M114" s="908"/>
      <c r="N114" s="908">
        <f t="shared" ref="N114:N121" si="38">F114+J114</f>
        <v>8755</v>
      </c>
      <c r="O114" s="1021"/>
      <c r="P114" s="923">
        <v>1297</v>
      </c>
      <c r="Q114" s="908"/>
      <c r="R114" s="908">
        <v>10852</v>
      </c>
      <c r="S114" s="908"/>
      <c r="T114" s="908">
        <v>27</v>
      </c>
      <c r="U114" s="908">
        <v>310</v>
      </c>
      <c r="V114" s="908">
        <f t="shared" si="34"/>
        <v>1324</v>
      </c>
      <c r="W114" s="908"/>
      <c r="X114" s="908">
        <f t="shared" si="35"/>
        <v>11162</v>
      </c>
      <c r="Y114" s="1021"/>
      <c r="Z114" s="965" t="s">
        <v>43</v>
      </c>
      <c r="AA114" s="1011"/>
      <c r="AB114" s="908">
        <v>27137</v>
      </c>
      <c r="AC114" s="1021"/>
      <c r="AD114" s="908">
        <f t="shared" si="36"/>
        <v>35892</v>
      </c>
      <c r="AE114" s="1021"/>
      <c r="AF114" s="768">
        <v>2012</v>
      </c>
      <c r="AG114" s="892" t="s">
        <v>33</v>
      </c>
      <c r="AJ114" s="14"/>
    </row>
    <row r="115" spans="1:39" s="200" customFormat="1" ht="12.75" hidden="1" customHeight="1">
      <c r="A115" s="902"/>
      <c r="B115" s="874">
        <v>2012</v>
      </c>
      <c r="C115" s="370" t="s">
        <v>34</v>
      </c>
      <c r="D115" s="923">
        <v>1202</v>
      </c>
      <c r="E115" s="908"/>
      <c r="F115" s="908">
        <v>4642</v>
      </c>
      <c r="G115" s="908"/>
      <c r="H115" s="908">
        <v>22</v>
      </c>
      <c r="I115" s="908"/>
      <c r="J115" s="908">
        <v>58</v>
      </c>
      <c r="K115" s="908"/>
      <c r="L115" s="908">
        <f t="shared" si="37"/>
        <v>1224</v>
      </c>
      <c r="M115" s="908"/>
      <c r="N115" s="908">
        <f t="shared" si="38"/>
        <v>4700</v>
      </c>
      <c r="O115" s="1021"/>
      <c r="P115" s="923">
        <v>1771</v>
      </c>
      <c r="Q115" s="908"/>
      <c r="R115" s="908">
        <v>5178</v>
      </c>
      <c r="S115" s="908"/>
      <c r="T115" s="908">
        <v>7</v>
      </c>
      <c r="U115" s="908">
        <v>55</v>
      </c>
      <c r="V115" s="908">
        <f t="shared" si="34"/>
        <v>1778</v>
      </c>
      <c r="W115" s="908"/>
      <c r="X115" s="908">
        <f t="shared" si="35"/>
        <v>5233</v>
      </c>
      <c r="Y115" s="1021"/>
      <c r="Z115" s="965" t="s">
        <v>43</v>
      </c>
      <c r="AA115" s="1011"/>
      <c r="AB115" s="908">
        <v>19613</v>
      </c>
      <c r="AC115" s="1021"/>
      <c r="AD115" s="908">
        <f t="shared" si="36"/>
        <v>24313</v>
      </c>
      <c r="AE115" s="1021"/>
      <c r="AF115" s="768">
        <v>2012</v>
      </c>
      <c r="AG115" s="892" t="s">
        <v>77</v>
      </c>
      <c r="AJ115" s="14"/>
    </row>
    <row r="116" spans="1:39" s="200" customFormat="1" ht="12.75" hidden="1" customHeight="1">
      <c r="A116" s="902"/>
      <c r="B116" s="874">
        <v>2012</v>
      </c>
      <c r="C116" s="370" t="s">
        <v>29</v>
      </c>
      <c r="D116" s="923">
        <v>1515</v>
      </c>
      <c r="E116" s="908"/>
      <c r="F116" s="908">
        <v>6152</v>
      </c>
      <c r="G116" s="908"/>
      <c r="H116" s="908">
        <v>32</v>
      </c>
      <c r="I116" s="908"/>
      <c r="J116" s="908">
        <v>191</v>
      </c>
      <c r="K116" s="908"/>
      <c r="L116" s="908">
        <f>D116+H116</f>
        <v>1547</v>
      </c>
      <c r="M116" s="908"/>
      <c r="N116" s="908">
        <f>F116+J116</f>
        <v>6343</v>
      </c>
      <c r="O116" s="1021"/>
      <c r="P116" s="923">
        <v>1143</v>
      </c>
      <c r="Q116" s="908"/>
      <c r="R116" s="908">
        <v>6449</v>
      </c>
      <c r="S116" s="908"/>
      <c r="T116" s="908">
        <v>3</v>
      </c>
      <c r="U116" s="908">
        <v>111</v>
      </c>
      <c r="V116" s="908">
        <f>P116+T116</f>
        <v>1146</v>
      </c>
      <c r="W116" s="908"/>
      <c r="X116" s="908">
        <f>R116+U116</f>
        <v>6560</v>
      </c>
      <c r="Y116" s="1021"/>
      <c r="Z116" s="965" t="s">
        <v>43</v>
      </c>
      <c r="AA116" s="1011"/>
      <c r="AB116" s="908">
        <v>16851</v>
      </c>
      <c r="AC116" s="1021"/>
      <c r="AD116" s="908">
        <f t="shared" si="36"/>
        <v>23194</v>
      </c>
      <c r="AE116" s="1021"/>
      <c r="AF116" s="768">
        <v>2012</v>
      </c>
      <c r="AG116" s="892" t="s">
        <v>29</v>
      </c>
    </row>
    <row r="117" spans="1:39" s="200" customFormat="1" ht="12.75" hidden="1" customHeight="1">
      <c r="A117" s="902"/>
      <c r="B117" s="874">
        <v>2012</v>
      </c>
      <c r="C117" s="370" t="s">
        <v>35</v>
      </c>
      <c r="D117" s="923">
        <v>1793</v>
      </c>
      <c r="E117" s="908"/>
      <c r="F117" s="908">
        <v>7637</v>
      </c>
      <c r="G117" s="908"/>
      <c r="H117" s="908">
        <v>49</v>
      </c>
      <c r="I117" s="908"/>
      <c r="J117" s="908">
        <v>223</v>
      </c>
      <c r="K117" s="908"/>
      <c r="L117" s="908">
        <f t="shared" si="37"/>
        <v>1842</v>
      </c>
      <c r="M117" s="908"/>
      <c r="N117" s="908">
        <f t="shared" si="38"/>
        <v>7860</v>
      </c>
      <c r="O117" s="1021"/>
      <c r="P117" s="923">
        <v>998</v>
      </c>
      <c r="Q117" s="908"/>
      <c r="R117" s="908">
        <v>8888</v>
      </c>
      <c r="S117" s="908"/>
      <c r="T117" s="908">
        <v>4</v>
      </c>
      <c r="U117" s="908">
        <v>204</v>
      </c>
      <c r="V117" s="908">
        <f t="shared" si="34"/>
        <v>1002</v>
      </c>
      <c r="W117" s="908"/>
      <c r="X117" s="908">
        <f t="shared" si="35"/>
        <v>9092</v>
      </c>
      <c r="Y117" s="1021"/>
      <c r="Z117" s="965" t="s">
        <v>43</v>
      </c>
      <c r="AA117" s="1011"/>
      <c r="AB117" s="908">
        <v>15177</v>
      </c>
      <c r="AC117" s="1021"/>
      <c r="AD117" s="908">
        <f t="shared" si="36"/>
        <v>23037</v>
      </c>
      <c r="AE117" s="1021"/>
      <c r="AF117" s="768">
        <v>2012</v>
      </c>
      <c r="AG117" s="892" t="s">
        <v>78</v>
      </c>
      <c r="AH117" s="208"/>
    </row>
    <row r="118" spans="1:39" s="200" customFormat="1" ht="12.75" hidden="1" customHeight="1">
      <c r="A118" s="902"/>
      <c r="B118" s="874">
        <v>2012</v>
      </c>
      <c r="C118" s="370" t="s">
        <v>4</v>
      </c>
      <c r="D118" s="923">
        <v>2098</v>
      </c>
      <c r="E118" s="908"/>
      <c r="F118" s="908">
        <v>7401</v>
      </c>
      <c r="G118" s="908"/>
      <c r="H118" s="908">
        <v>8</v>
      </c>
      <c r="I118" s="908"/>
      <c r="J118" s="908">
        <v>73</v>
      </c>
      <c r="K118" s="908"/>
      <c r="L118" s="908">
        <f t="shared" si="37"/>
        <v>2106</v>
      </c>
      <c r="M118" s="908"/>
      <c r="N118" s="908">
        <f t="shared" si="38"/>
        <v>7474</v>
      </c>
      <c r="O118" s="1021"/>
      <c r="P118" s="923">
        <v>1135</v>
      </c>
      <c r="Q118" s="908"/>
      <c r="R118" s="908">
        <v>7156</v>
      </c>
      <c r="S118" s="908"/>
      <c r="T118" s="1024">
        <v>0</v>
      </c>
      <c r="U118" s="1025">
        <v>0</v>
      </c>
      <c r="V118" s="908">
        <f>P118+T118</f>
        <v>1135</v>
      </c>
      <c r="W118" s="908"/>
      <c r="X118" s="908">
        <f t="shared" si="35"/>
        <v>7156</v>
      </c>
      <c r="Y118" s="1021"/>
      <c r="Z118" s="965" t="s">
        <v>43</v>
      </c>
      <c r="AA118" s="1011"/>
      <c r="AB118" s="908">
        <v>17684</v>
      </c>
      <c r="AC118" s="1021"/>
      <c r="AD118" s="908">
        <f t="shared" si="36"/>
        <v>25158</v>
      </c>
      <c r="AE118" s="1021"/>
      <c r="AF118" s="768">
        <v>2012</v>
      </c>
      <c r="AG118" s="892" t="s">
        <v>79</v>
      </c>
      <c r="AH118" s="206"/>
    </row>
    <row r="119" spans="1:39" s="200" customFormat="1" ht="12.75" hidden="1" customHeight="1">
      <c r="A119" s="902"/>
      <c r="B119" s="874">
        <v>2012</v>
      </c>
      <c r="C119" s="370" t="s">
        <v>30</v>
      </c>
      <c r="D119" s="923">
        <v>1746</v>
      </c>
      <c r="E119" s="908"/>
      <c r="F119" s="908">
        <v>9808</v>
      </c>
      <c r="G119" s="908"/>
      <c r="H119" s="908">
        <v>8</v>
      </c>
      <c r="I119" s="908"/>
      <c r="J119" s="908">
        <v>168</v>
      </c>
      <c r="K119" s="908"/>
      <c r="L119" s="908">
        <f t="shared" si="37"/>
        <v>1754</v>
      </c>
      <c r="M119" s="908"/>
      <c r="N119" s="908">
        <f t="shared" si="38"/>
        <v>9976</v>
      </c>
      <c r="O119" s="1021"/>
      <c r="P119" s="923">
        <v>1000</v>
      </c>
      <c r="Q119" s="908"/>
      <c r="R119" s="908">
        <v>9072</v>
      </c>
      <c r="S119" s="908"/>
      <c r="T119" s="1024">
        <v>0</v>
      </c>
      <c r="U119" s="908">
        <v>27</v>
      </c>
      <c r="V119" s="908">
        <f t="shared" si="34"/>
        <v>1000</v>
      </c>
      <c r="W119" s="908"/>
      <c r="X119" s="908">
        <f t="shared" si="35"/>
        <v>9099</v>
      </c>
      <c r="Y119" s="1021"/>
      <c r="Z119" s="965" t="s">
        <v>43</v>
      </c>
      <c r="AA119" s="1011"/>
      <c r="AB119" s="908">
        <v>12972</v>
      </c>
      <c r="AC119" s="1021"/>
      <c r="AD119" s="908">
        <f t="shared" si="36"/>
        <v>22948</v>
      </c>
      <c r="AE119" s="1021"/>
      <c r="AF119" s="768">
        <v>2012</v>
      </c>
      <c r="AG119" s="892" t="s">
        <v>80</v>
      </c>
    </row>
    <row r="120" spans="1:39" s="200" customFormat="1" ht="12.75" hidden="1" customHeight="1">
      <c r="A120" s="902"/>
      <c r="B120" s="874">
        <v>2012</v>
      </c>
      <c r="C120" s="370" t="s">
        <v>36</v>
      </c>
      <c r="D120" s="923">
        <v>1869</v>
      </c>
      <c r="E120" s="908"/>
      <c r="F120" s="908">
        <v>11471</v>
      </c>
      <c r="G120" s="908"/>
      <c r="H120" s="908">
        <v>21</v>
      </c>
      <c r="I120" s="908"/>
      <c r="J120" s="908">
        <v>299</v>
      </c>
      <c r="K120" s="908"/>
      <c r="L120" s="908">
        <f t="shared" si="37"/>
        <v>1890</v>
      </c>
      <c r="M120" s="908"/>
      <c r="N120" s="908">
        <f>F120+J120</f>
        <v>11770</v>
      </c>
      <c r="O120" s="1021"/>
      <c r="P120" s="923">
        <v>995</v>
      </c>
      <c r="Q120" s="908"/>
      <c r="R120" s="908">
        <v>12740</v>
      </c>
      <c r="S120" s="908"/>
      <c r="T120" s="908">
        <v>14</v>
      </c>
      <c r="U120" s="908">
        <v>337</v>
      </c>
      <c r="V120" s="908">
        <f t="shared" si="34"/>
        <v>1009</v>
      </c>
      <c r="W120" s="908"/>
      <c r="X120" s="908">
        <f t="shared" si="35"/>
        <v>13077</v>
      </c>
      <c r="Y120" s="1021"/>
      <c r="Z120" s="965" t="s">
        <v>43</v>
      </c>
      <c r="AA120" s="1011"/>
      <c r="AB120" s="908">
        <v>18595</v>
      </c>
      <c r="AC120" s="1021"/>
      <c r="AD120" s="965">
        <f t="shared" si="36"/>
        <v>30365</v>
      </c>
      <c r="AE120" s="1011"/>
      <c r="AF120" s="768">
        <v>2012</v>
      </c>
      <c r="AG120" s="892" t="s">
        <v>81</v>
      </c>
    </row>
    <row r="121" spans="1:39" s="200" customFormat="1" ht="12.75" hidden="1" customHeight="1">
      <c r="A121" s="902"/>
      <c r="B121" s="874">
        <v>2012</v>
      </c>
      <c r="C121" s="370" t="s">
        <v>37</v>
      </c>
      <c r="D121" s="923">
        <v>1448</v>
      </c>
      <c r="E121" s="908"/>
      <c r="F121" s="908">
        <v>10154</v>
      </c>
      <c r="G121" s="908"/>
      <c r="H121" s="908">
        <v>31</v>
      </c>
      <c r="I121" s="908"/>
      <c r="J121" s="908">
        <v>251</v>
      </c>
      <c r="K121" s="908"/>
      <c r="L121" s="908">
        <f t="shared" si="37"/>
        <v>1479</v>
      </c>
      <c r="M121" s="908"/>
      <c r="N121" s="908">
        <f t="shared" si="38"/>
        <v>10405</v>
      </c>
      <c r="O121" s="1021"/>
      <c r="P121" s="923">
        <v>975</v>
      </c>
      <c r="Q121" s="908"/>
      <c r="R121" s="908">
        <v>10726</v>
      </c>
      <c r="S121" s="908"/>
      <c r="T121" s="908">
        <v>10</v>
      </c>
      <c r="U121" s="908">
        <v>215</v>
      </c>
      <c r="V121" s="908">
        <f t="shared" si="34"/>
        <v>985</v>
      </c>
      <c r="W121" s="908"/>
      <c r="X121" s="908">
        <f t="shared" si="35"/>
        <v>10941</v>
      </c>
      <c r="Y121" s="1021"/>
      <c r="Z121" s="965" t="s">
        <v>43</v>
      </c>
      <c r="AA121" s="1011"/>
      <c r="AB121" s="908">
        <v>9581</v>
      </c>
      <c r="AC121" s="1021"/>
      <c r="AD121" s="965">
        <f t="shared" si="36"/>
        <v>19986</v>
      </c>
      <c r="AE121" s="1011"/>
      <c r="AF121" s="768">
        <v>2012</v>
      </c>
      <c r="AG121" s="892" t="s">
        <v>82</v>
      </c>
    </row>
    <row r="122" spans="1:39" s="200" customFormat="1" ht="12.75" hidden="1" customHeight="1">
      <c r="A122" s="902"/>
      <c r="B122" s="874">
        <v>2012</v>
      </c>
      <c r="C122" s="370" t="s">
        <v>31</v>
      </c>
      <c r="D122" s="923">
        <v>2288</v>
      </c>
      <c r="E122" s="908"/>
      <c r="F122" s="908">
        <v>11887</v>
      </c>
      <c r="G122" s="908"/>
      <c r="H122" s="908">
        <v>24</v>
      </c>
      <c r="I122" s="908"/>
      <c r="J122" s="908">
        <v>295</v>
      </c>
      <c r="K122" s="908"/>
      <c r="L122" s="908">
        <f t="shared" si="37"/>
        <v>2312</v>
      </c>
      <c r="M122" s="908"/>
      <c r="N122" s="908">
        <f>J122+F122</f>
        <v>12182</v>
      </c>
      <c r="O122" s="1021"/>
      <c r="P122" s="923">
        <v>1013</v>
      </c>
      <c r="Q122" s="908"/>
      <c r="R122" s="908">
        <v>12192</v>
      </c>
      <c r="S122" s="908"/>
      <c r="T122" s="908">
        <v>15</v>
      </c>
      <c r="U122" s="908">
        <v>251</v>
      </c>
      <c r="V122" s="908">
        <f t="shared" si="34"/>
        <v>1028</v>
      </c>
      <c r="W122" s="908"/>
      <c r="X122" s="908">
        <f t="shared" si="35"/>
        <v>12443</v>
      </c>
      <c r="Y122" s="1021"/>
      <c r="Z122" s="965" t="s">
        <v>43</v>
      </c>
      <c r="AA122" s="1011"/>
      <c r="AB122" s="908">
        <v>15104</v>
      </c>
      <c r="AC122" s="1021"/>
      <c r="AD122" s="965">
        <f t="shared" si="36"/>
        <v>27286</v>
      </c>
      <c r="AE122" s="1011"/>
      <c r="AF122" s="768">
        <v>2012</v>
      </c>
      <c r="AG122" s="892" t="s">
        <v>31</v>
      </c>
    </row>
    <row r="123" spans="1:39" s="200" customFormat="1" ht="12.75" hidden="1" customHeight="1">
      <c r="A123" s="902"/>
      <c r="B123" s="874">
        <v>2012</v>
      </c>
      <c r="C123" s="370" t="s">
        <v>38</v>
      </c>
      <c r="D123" s="923">
        <v>1717</v>
      </c>
      <c r="E123" s="908"/>
      <c r="F123" s="908">
        <v>9663</v>
      </c>
      <c r="G123" s="908"/>
      <c r="H123" s="908">
        <v>29</v>
      </c>
      <c r="I123" s="908"/>
      <c r="J123" s="908">
        <v>259</v>
      </c>
      <c r="K123" s="908"/>
      <c r="L123" s="908">
        <f t="shared" si="37"/>
        <v>1746</v>
      </c>
      <c r="M123" s="908"/>
      <c r="N123" s="908">
        <f>F123+J123</f>
        <v>9922</v>
      </c>
      <c r="O123" s="1021"/>
      <c r="P123" s="923">
        <v>1535</v>
      </c>
      <c r="Q123" s="908"/>
      <c r="R123" s="908">
        <v>11688</v>
      </c>
      <c r="S123" s="908"/>
      <c r="T123" s="908">
        <v>11</v>
      </c>
      <c r="U123" s="908">
        <v>282</v>
      </c>
      <c r="V123" s="908">
        <f>P123+T123</f>
        <v>1546</v>
      </c>
      <c r="W123" s="908"/>
      <c r="X123" s="908">
        <f t="shared" si="35"/>
        <v>11970</v>
      </c>
      <c r="Y123" s="1021"/>
      <c r="Z123" s="965" t="s">
        <v>43</v>
      </c>
      <c r="AA123" s="1011"/>
      <c r="AB123" s="908">
        <v>26644</v>
      </c>
      <c r="AC123" s="1021"/>
      <c r="AD123" s="965">
        <f t="shared" si="36"/>
        <v>36566</v>
      </c>
      <c r="AE123" s="1011"/>
      <c r="AF123" s="768">
        <v>2012</v>
      </c>
      <c r="AG123" s="892" t="s">
        <v>49</v>
      </c>
    </row>
    <row r="124" spans="1:39" s="200" customFormat="1" ht="12.75" hidden="1" customHeight="1">
      <c r="A124" s="902"/>
      <c r="B124" s="874">
        <v>2012</v>
      </c>
      <c r="C124" s="370" t="s">
        <v>39</v>
      </c>
      <c r="D124" s="923">
        <v>2118</v>
      </c>
      <c r="E124" s="908"/>
      <c r="F124" s="908">
        <v>7431</v>
      </c>
      <c r="G124" s="908"/>
      <c r="H124" s="908">
        <v>49</v>
      </c>
      <c r="I124" s="908"/>
      <c r="J124" s="908">
        <v>273</v>
      </c>
      <c r="K124" s="908"/>
      <c r="L124" s="908">
        <f>H124+D124</f>
        <v>2167</v>
      </c>
      <c r="M124" s="908"/>
      <c r="N124" s="908">
        <f>F124+J124</f>
        <v>7704</v>
      </c>
      <c r="O124" s="1021"/>
      <c r="P124" s="923">
        <v>1593</v>
      </c>
      <c r="Q124" s="908"/>
      <c r="R124" s="908">
        <v>8852</v>
      </c>
      <c r="S124" s="908"/>
      <c r="T124" s="908">
        <v>15</v>
      </c>
      <c r="U124" s="908">
        <v>230</v>
      </c>
      <c r="V124" s="908">
        <f>P124+T124</f>
        <v>1608</v>
      </c>
      <c r="W124" s="908"/>
      <c r="X124" s="908">
        <f t="shared" si="35"/>
        <v>9082</v>
      </c>
      <c r="Y124" s="1021"/>
      <c r="Z124" s="965" t="s">
        <v>43</v>
      </c>
      <c r="AA124" s="1011"/>
      <c r="AB124" s="908">
        <v>16697</v>
      </c>
      <c r="AC124" s="1021"/>
      <c r="AD124" s="908">
        <f t="shared" si="36"/>
        <v>24401</v>
      </c>
      <c r="AE124" s="1021"/>
      <c r="AF124" s="768">
        <v>2012</v>
      </c>
      <c r="AG124" s="892" t="s">
        <v>39</v>
      </c>
      <c r="AM124" s="96"/>
    </row>
    <row r="125" spans="1:39" s="200" customFormat="1" ht="12.75" hidden="1" customHeight="1">
      <c r="A125" s="902"/>
      <c r="B125" s="874">
        <v>2012</v>
      </c>
      <c r="C125" s="370" t="s">
        <v>32</v>
      </c>
      <c r="D125" s="923">
        <v>2420</v>
      </c>
      <c r="E125" s="908"/>
      <c r="F125" s="908">
        <v>10774</v>
      </c>
      <c r="G125" s="908"/>
      <c r="H125" s="908">
        <v>49</v>
      </c>
      <c r="I125" s="908"/>
      <c r="J125" s="908">
        <v>296</v>
      </c>
      <c r="K125" s="908"/>
      <c r="L125" s="908">
        <f>D125+H125</f>
        <v>2469</v>
      </c>
      <c r="M125" s="908"/>
      <c r="N125" s="908">
        <f t="shared" ref="N125:N130" si="39">J125+F125</f>
        <v>11070</v>
      </c>
      <c r="O125" s="1021"/>
      <c r="P125" s="923">
        <v>1348</v>
      </c>
      <c r="Q125" s="908"/>
      <c r="R125" s="908">
        <v>9365</v>
      </c>
      <c r="S125" s="908"/>
      <c r="T125" s="908">
        <v>28</v>
      </c>
      <c r="U125" s="908">
        <v>317</v>
      </c>
      <c r="V125" s="908">
        <f t="shared" ref="V125:V131" si="40">T125+P125</f>
        <v>1376</v>
      </c>
      <c r="W125" s="908"/>
      <c r="X125" s="908">
        <f t="shared" ref="X125:X130" si="41">U125+R125</f>
        <v>9682</v>
      </c>
      <c r="Y125" s="1021"/>
      <c r="Z125" s="965" t="s">
        <v>43</v>
      </c>
      <c r="AA125" s="1011"/>
      <c r="AB125" s="908">
        <v>17188</v>
      </c>
      <c r="AC125" s="1021"/>
      <c r="AD125" s="908">
        <f t="shared" si="36"/>
        <v>28258</v>
      </c>
      <c r="AE125" s="1021"/>
      <c r="AF125" s="768">
        <v>2012</v>
      </c>
      <c r="AG125" s="892" t="s">
        <v>32</v>
      </c>
    </row>
    <row r="126" spans="1:39" s="200" customFormat="1" ht="12.75" hidden="1" customHeight="1">
      <c r="A126" s="902"/>
      <c r="B126" s="874">
        <v>2013</v>
      </c>
      <c r="C126" s="370" t="s">
        <v>33</v>
      </c>
      <c r="D126" s="923">
        <v>1997</v>
      </c>
      <c r="E126" s="908"/>
      <c r="F126" s="908">
        <v>7415</v>
      </c>
      <c r="G126" s="908"/>
      <c r="H126" s="908">
        <v>64</v>
      </c>
      <c r="I126" s="908"/>
      <c r="J126" s="908">
        <v>197</v>
      </c>
      <c r="K126" s="908"/>
      <c r="L126" s="908">
        <f t="shared" ref="L126:L131" si="42">H126+D126</f>
        <v>2061</v>
      </c>
      <c r="M126" s="908"/>
      <c r="N126" s="908">
        <f t="shared" si="39"/>
        <v>7612</v>
      </c>
      <c r="O126" s="1021"/>
      <c r="P126" s="923">
        <v>1331</v>
      </c>
      <c r="Q126" s="908"/>
      <c r="R126" s="908">
        <v>11574</v>
      </c>
      <c r="S126" s="908"/>
      <c r="T126" s="908">
        <v>23</v>
      </c>
      <c r="U126" s="908">
        <v>325</v>
      </c>
      <c r="V126" s="908">
        <f t="shared" si="40"/>
        <v>1354</v>
      </c>
      <c r="W126" s="908"/>
      <c r="X126" s="908">
        <f t="shared" si="41"/>
        <v>11899</v>
      </c>
      <c r="Y126" s="1021"/>
      <c r="Z126" s="965" t="s">
        <v>43</v>
      </c>
      <c r="AA126" s="1011"/>
      <c r="AB126" s="908">
        <v>33491</v>
      </c>
      <c r="AC126" s="1021"/>
      <c r="AD126" s="908">
        <f t="shared" si="36"/>
        <v>41103</v>
      </c>
      <c r="AE126" s="1021"/>
      <c r="AF126" s="768">
        <v>2013</v>
      </c>
      <c r="AG126" s="892" t="s">
        <v>33</v>
      </c>
    </row>
    <row r="127" spans="1:39" s="200" customFormat="1" ht="12.75" hidden="1" customHeight="1">
      <c r="A127" s="902"/>
      <c r="B127" s="874">
        <v>2013</v>
      </c>
      <c r="C127" s="370" t="s">
        <v>34</v>
      </c>
      <c r="D127" s="923">
        <v>1333</v>
      </c>
      <c r="E127" s="908"/>
      <c r="F127" s="908">
        <v>4809</v>
      </c>
      <c r="G127" s="1026"/>
      <c r="H127" s="908">
        <v>21</v>
      </c>
      <c r="I127" s="1027"/>
      <c r="J127" s="908">
        <v>122</v>
      </c>
      <c r="K127" s="1027"/>
      <c r="L127" s="908">
        <f t="shared" si="42"/>
        <v>1354</v>
      </c>
      <c r="M127" s="1027"/>
      <c r="N127" s="908">
        <f t="shared" si="39"/>
        <v>4931</v>
      </c>
      <c r="O127" s="1028"/>
      <c r="P127" s="923">
        <v>1919</v>
      </c>
      <c r="Q127" s="908"/>
      <c r="R127" s="908">
        <v>5497</v>
      </c>
      <c r="S127" s="908"/>
      <c r="T127" s="908">
        <v>14</v>
      </c>
      <c r="U127" s="908">
        <v>137</v>
      </c>
      <c r="V127" s="908">
        <f t="shared" si="40"/>
        <v>1933</v>
      </c>
      <c r="W127" s="908"/>
      <c r="X127" s="908">
        <f t="shared" si="41"/>
        <v>5634</v>
      </c>
      <c r="Y127" s="1021"/>
      <c r="Z127" s="965" t="s">
        <v>43</v>
      </c>
      <c r="AA127" s="1011"/>
      <c r="AB127" s="908">
        <v>16127</v>
      </c>
      <c r="AC127" s="1021"/>
      <c r="AD127" s="908">
        <f t="shared" si="36"/>
        <v>21058</v>
      </c>
      <c r="AE127" s="1021"/>
      <c r="AF127" s="768">
        <v>2013</v>
      </c>
      <c r="AG127" s="892" t="s">
        <v>77</v>
      </c>
    </row>
    <row r="128" spans="1:39" s="200" customFormat="1" ht="12.75" hidden="1" customHeight="1">
      <c r="A128" s="902"/>
      <c r="B128" s="874">
        <v>2013</v>
      </c>
      <c r="C128" s="370" t="s">
        <v>29</v>
      </c>
      <c r="D128" s="923">
        <v>1656</v>
      </c>
      <c r="E128" s="908"/>
      <c r="F128" s="908">
        <v>6825</v>
      </c>
      <c r="G128" s="908"/>
      <c r="H128" s="908">
        <v>40</v>
      </c>
      <c r="I128" s="908"/>
      <c r="J128" s="908">
        <v>152</v>
      </c>
      <c r="K128" s="908"/>
      <c r="L128" s="1029">
        <f>D128+H128</f>
        <v>1696</v>
      </c>
      <c r="M128" s="1029"/>
      <c r="N128" s="908">
        <f>J128+F128</f>
        <v>6977</v>
      </c>
      <c r="O128" s="1021"/>
      <c r="P128" s="923">
        <v>1465</v>
      </c>
      <c r="Q128" s="1026"/>
      <c r="R128" s="908">
        <v>6799</v>
      </c>
      <c r="S128" s="1026"/>
      <c r="T128" s="908">
        <v>2</v>
      </c>
      <c r="U128" s="908">
        <v>155</v>
      </c>
      <c r="V128" s="908">
        <f>T128+P128</f>
        <v>1467</v>
      </c>
      <c r="W128" s="1026"/>
      <c r="X128" s="908">
        <f>U128+R128</f>
        <v>6954</v>
      </c>
      <c r="Y128" s="1028"/>
      <c r="Z128" s="965" t="s">
        <v>43</v>
      </c>
      <c r="AA128" s="1011"/>
      <c r="AB128" s="908">
        <v>16060</v>
      </c>
      <c r="AC128" s="1021"/>
      <c r="AD128" s="908">
        <f t="shared" si="36"/>
        <v>23037</v>
      </c>
      <c r="AE128" s="1021"/>
      <c r="AF128" s="768">
        <v>2013</v>
      </c>
      <c r="AG128" s="892" t="s">
        <v>29</v>
      </c>
    </row>
    <row r="129" spans="1:37" s="200" customFormat="1" ht="12.75" hidden="1" customHeight="1">
      <c r="A129" s="902"/>
      <c r="B129" s="874">
        <v>2013</v>
      </c>
      <c r="C129" s="370" t="s">
        <v>35</v>
      </c>
      <c r="D129" s="923">
        <v>2033</v>
      </c>
      <c r="E129" s="908"/>
      <c r="F129" s="908">
        <v>8182</v>
      </c>
      <c r="G129" s="908"/>
      <c r="H129" s="908">
        <v>50</v>
      </c>
      <c r="I129" s="908"/>
      <c r="J129" s="908">
        <v>480</v>
      </c>
      <c r="K129" s="908"/>
      <c r="L129" s="1029">
        <f t="shared" si="42"/>
        <v>2083</v>
      </c>
      <c r="M129" s="1029"/>
      <c r="N129" s="908">
        <f t="shared" si="39"/>
        <v>8662</v>
      </c>
      <c r="O129" s="1021"/>
      <c r="P129" s="923">
        <v>1119</v>
      </c>
      <c r="Q129" s="1026"/>
      <c r="R129" s="908">
        <v>9347</v>
      </c>
      <c r="S129" s="1026"/>
      <c r="T129" s="908">
        <v>18</v>
      </c>
      <c r="U129" s="908">
        <v>399</v>
      </c>
      <c r="V129" s="908">
        <f t="shared" si="40"/>
        <v>1137</v>
      </c>
      <c r="W129" s="1026"/>
      <c r="X129" s="908">
        <f t="shared" si="41"/>
        <v>9746</v>
      </c>
      <c r="Y129" s="1028"/>
      <c r="Z129" s="965" t="s">
        <v>43</v>
      </c>
      <c r="AA129" s="1011"/>
      <c r="AB129" s="908">
        <v>22314</v>
      </c>
      <c r="AC129" s="1021"/>
      <c r="AD129" s="908">
        <f t="shared" si="36"/>
        <v>30976</v>
      </c>
      <c r="AE129" s="1021"/>
      <c r="AF129" s="768">
        <v>2013</v>
      </c>
      <c r="AG129" s="892" t="s">
        <v>78</v>
      </c>
    </row>
    <row r="130" spans="1:37" s="200" customFormat="1" ht="12.75" hidden="1" customHeight="1">
      <c r="A130" s="902"/>
      <c r="B130" s="874">
        <v>2013</v>
      </c>
      <c r="C130" s="370" t="s">
        <v>4</v>
      </c>
      <c r="D130" s="923">
        <v>2222</v>
      </c>
      <c r="E130" s="908"/>
      <c r="F130" s="908">
        <v>7327</v>
      </c>
      <c r="G130" s="908"/>
      <c r="H130" s="908">
        <v>52</v>
      </c>
      <c r="I130" s="908"/>
      <c r="J130" s="908">
        <v>343</v>
      </c>
      <c r="K130" s="908"/>
      <c r="L130" s="1029">
        <f t="shared" si="42"/>
        <v>2274</v>
      </c>
      <c r="M130" s="1029"/>
      <c r="N130" s="908">
        <f t="shared" si="39"/>
        <v>7670</v>
      </c>
      <c r="O130" s="1021"/>
      <c r="P130" s="923">
        <v>1337</v>
      </c>
      <c r="Q130" s="1026"/>
      <c r="R130" s="908">
        <v>8232</v>
      </c>
      <c r="S130" s="1026"/>
      <c r="T130" s="908">
        <v>21</v>
      </c>
      <c r="U130" s="908">
        <v>302</v>
      </c>
      <c r="V130" s="908">
        <f t="shared" si="40"/>
        <v>1358</v>
      </c>
      <c r="W130" s="1026"/>
      <c r="X130" s="908">
        <f t="shared" si="41"/>
        <v>8534</v>
      </c>
      <c r="Y130" s="1028"/>
      <c r="Z130" s="965" t="s">
        <v>43</v>
      </c>
      <c r="AA130" s="1011"/>
      <c r="AB130" s="908">
        <v>16817</v>
      </c>
      <c r="AC130" s="1021"/>
      <c r="AD130" s="908">
        <f t="shared" si="36"/>
        <v>24487</v>
      </c>
      <c r="AE130" s="1021"/>
      <c r="AF130" s="768">
        <v>2013</v>
      </c>
      <c r="AG130" s="892" t="s">
        <v>79</v>
      </c>
    </row>
    <row r="131" spans="1:37" s="200" customFormat="1" ht="12.75" hidden="1" customHeight="1">
      <c r="A131" s="902"/>
      <c r="B131" s="874">
        <v>2013</v>
      </c>
      <c r="C131" s="370" t="s">
        <v>30</v>
      </c>
      <c r="D131" s="923">
        <v>2250</v>
      </c>
      <c r="E131" s="908"/>
      <c r="F131" s="908">
        <v>10806</v>
      </c>
      <c r="G131" s="908"/>
      <c r="H131" s="908">
        <v>45</v>
      </c>
      <c r="I131" s="908"/>
      <c r="J131" s="908">
        <v>400</v>
      </c>
      <c r="K131" s="908"/>
      <c r="L131" s="1029">
        <f t="shared" si="42"/>
        <v>2295</v>
      </c>
      <c r="M131" s="1029"/>
      <c r="N131" s="908">
        <f t="shared" ref="N131:N137" si="43">J131+F131</f>
        <v>11206</v>
      </c>
      <c r="O131" s="1021"/>
      <c r="P131" s="923">
        <v>1160</v>
      </c>
      <c r="Q131" s="908"/>
      <c r="R131" s="908">
        <v>10307</v>
      </c>
      <c r="S131" s="908"/>
      <c r="T131" s="908">
        <v>11</v>
      </c>
      <c r="U131" s="908">
        <v>427</v>
      </c>
      <c r="V131" s="908">
        <f t="shared" si="40"/>
        <v>1171</v>
      </c>
      <c r="W131" s="1026"/>
      <c r="X131" s="908">
        <f t="shared" ref="X131:X137" si="44">U131+R131</f>
        <v>10734</v>
      </c>
      <c r="Y131" s="1021"/>
      <c r="Z131" s="965" t="s">
        <v>43</v>
      </c>
      <c r="AA131" s="1011"/>
      <c r="AB131" s="908">
        <v>27524</v>
      </c>
      <c r="AC131" s="1021"/>
      <c r="AD131" s="908">
        <f t="shared" si="36"/>
        <v>38730</v>
      </c>
      <c r="AE131" s="1021"/>
      <c r="AF131" s="768">
        <v>2013</v>
      </c>
      <c r="AG131" s="892" t="s">
        <v>80</v>
      </c>
    </row>
    <row r="132" spans="1:37" s="200" customFormat="1" ht="12.75" hidden="1" customHeight="1">
      <c r="A132" s="902"/>
      <c r="B132" s="874">
        <v>2013</v>
      </c>
      <c r="C132" s="370" t="s">
        <v>36</v>
      </c>
      <c r="D132" s="923">
        <v>2073</v>
      </c>
      <c r="E132" s="908"/>
      <c r="F132" s="908">
        <v>11390</v>
      </c>
      <c r="G132" s="908"/>
      <c r="H132" s="908">
        <v>44</v>
      </c>
      <c r="I132" s="908"/>
      <c r="J132" s="908">
        <v>465</v>
      </c>
      <c r="K132" s="908"/>
      <c r="L132" s="1029">
        <f t="shared" ref="L132:L138" si="45">H132+D132</f>
        <v>2117</v>
      </c>
      <c r="M132" s="1029"/>
      <c r="N132" s="908">
        <f t="shared" si="43"/>
        <v>11855</v>
      </c>
      <c r="O132" s="1021"/>
      <c r="P132" s="923">
        <v>1057</v>
      </c>
      <c r="Q132" s="908"/>
      <c r="R132" s="908">
        <v>12901</v>
      </c>
      <c r="S132" s="908"/>
      <c r="T132" s="908">
        <v>9</v>
      </c>
      <c r="U132" s="908">
        <v>412</v>
      </c>
      <c r="V132" s="908">
        <f t="shared" ref="V132:V137" si="46">T132+P132</f>
        <v>1066</v>
      </c>
      <c r="W132" s="1026"/>
      <c r="X132" s="908">
        <f t="shared" si="44"/>
        <v>13313</v>
      </c>
      <c r="Y132" s="1021"/>
      <c r="Z132" s="965" t="s">
        <v>43</v>
      </c>
      <c r="AA132" s="1011"/>
      <c r="AB132" s="908">
        <v>16759</v>
      </c>
      <c r="AC132" s="1021"/>
      <c r="AD132" s="908">
        <f t="shared" si="36"/>
        <v>28614</v>
      </c>
      <c r="AE132" s="1021"/>
      <c r="AF132" s="768">
        <v>2013</v>
      </c>
      <c r="AG132" s="892" t="s">
        <v>81</v>
      </c>
      <c r="AK132" s="200" t="s">
        <v>243</v>
      </c>
    </row>
    <row r="133" spans="1:37" s="200" customFormat="1" ht="12.75" hidden="1" customHeight="1">
      <c r="A133" s="902"/>
      <c r="B133" s="874">
        <v>2013</v>
      </c>
      <c r="C133" s="370" t="s">
        <v>37</v>
      </c>
      <c r="D133" s="923">
        <v>1769</v>
      </c>
      <c r="E133" s="908"/>
      <c r="F133" s="908">
        <v>10682</v>
      </c>
      <c r="G133" s="908"/>
      <c r="H133" s="908">
        <v>8</v>
      </c>
      <c r="I133" s="908"/>
      <c r="J133" s="908">
        <v>115</v>
      </c>
      <c r="K133" s="908"/>
      <c r="L133" s="1029">
        <f t="shared" si="45"/>
        <v>1777</v>
      </c>
      <c r="M133" s="1029"/>
      <c r="N133" s="908">
        <f t="shared" si="43"/>
        <v>10797</v>
      </c>
      <c r="O133" s="1021"/>
      <c r="P133" s="923">
        <v>1265</v>
      </c>
      <c r="Q133" s="908"/>
      <c r="R133" s="908">
        <v>11793</v>
      </c>
      <c r="S133" s="908"/>
      <c r="T133" s="908">
        <v>2</v>
      </c>
      <c r="U133" s="908">
        <v>142</v>
      </c>
      <c r="V133" s="908">
        <f t="shared" si="46"/>
        <v>1267</v>
      </c>
      <c r="W133" s="1026"/>
      <c r="X133" s="908">
        <f t="shared" si="44"/>
        <v>11935</v>
      </c>
      <c r="Y133" s="1021"/>
      <c r="Z133" s="965" t="s">
        <v>43</v>
      </c>
      <c r="AA133" s="1011"/>
      <c r="AB133" s="908">
        <v>13642</v>
      </c>
      <c r="AC133" s="1021"/>
      <c r="AD133" s="908">
        <f t="shared" si="36"/>
        <v>24439</v>
      </c>
      <c r="AE133" s="1021"/>
      <c r="AF133" s="768">
        <v>2013</v>
      </c>
      <c r="AG133" s="892" t="s">
        <v>82</v>
      </c>
    </row>
    <row r="134" spans="1:37" s="200" customFormat="1" ht="12.75" hidden="1" customHeight="1">
      <c r="A134" s="902"/>
      <c r="B134" s="874">
        <v>2013</v>
      </c>
      <c r="C134" s="370" t="s">
        <v>31</v>
      </c>
      <c r="D134" s="923">
        <v>2823</v>
      </c>
      <c r="E134" s="908"/>
      <c r="F134" s="908">
        <v>11340</v>
      </c>
      <c r="G134" s="908"/>
      <c r="H134" s="908">
        <v>26</v>
      </c>
      <c r="I134" s="908"/>
      <c r="J134" s="908">
        <v>256</v>
      </c>
      <c r="K134" s="908"/>
      <c r="L134" s="1029">
        <f t="shared" si="45"/>
        <v>2849</v>
      </c>
      <c r="M134" s="1029"/>
      <c r="N134" s="908">
        <f t="shared" si="43"/>
        <v>11596</v>
      </c>
      <c r="O134" s="1021"/>
      <c r="P134" s="923">
        <v>1073</v>
      </c>
      <c r="Q134" s="908"/>
      <c r="R134" s="908">
        <v>11442</v>
      </c>
      <c r="S134" s="908"/>
      <c r="T134" s="908">
        <v>20</v>
      </c>
      <c r="U134" s="908">
        <v>284</v>
      </c>
      <c r="V134" s="908">
        <f t="shared" si="46"/>
        <v>1093</v>
      </c>
      <c r="W134" s="1026"/>
      <c r="X134" s="908">
        <f t="shared" si="44"/>
        <v>11726</v>
      </c>
      <c r="Y134" s="1021"/>
      <c r="Z134" s="965" t="s">
        <v>43</v>
      </c>
      <c r="AA134" s="1011"/>
      <c r="AB134" s="908">
        <v>15370</v>
      </c>
      <c r="AC134" s="1021"/>
      <c r="AD134" s="908">
        <f t="shared" si="36"/>
        <v>26966</v>
      </c>
      <c r="AE134" s="1021"/>
      <c r="AF134" s="768">
        <v>2013</v>
      </c>
      <c r="AG134" s="892" t="s">
        <v>31</v>
      </c>
    </row>
    <row r="135" spans="1:37" s="200" customFormat="1" ht="12.75" hidden="1" customHeight="1">
      <c r="A135" s="902"/>
      <c r="B135" s="874">
        <v>2013</v>
      </c>
      <c r="C135" s="370" t="s">
        <v>38</v>
      </c>
      <c r="D135" s="923">
        <v>1739</v>
      </c>
      <c r="E135" s="908"/>
      <c r="F135" s="908">
        <v>10392</v>
      </c>
      <c r="G135" s="908"/>
      <c r="H135" s="908">
        <v>34</v>
      </c>
      <c r="I135" s="908"/>
      <c r="J135" s="908">
        <v>435</v>
      </c>
      <c r="K135" s="908"/>
      <c r="L135" s="1029">
        <f t="shared" si="45"/>
        <v>1773</v>
      </c>
      <c r="M135" s="1029"/>
      <c r="N135" s="908">
        <f t="shared" si="43"/>
        <v>10827</v>
      </c>
      <c r="O135" s="1021"/>
      <c r="P135" s="923">
        <v>928</v>
      </c>
      <c r="Q135" s="908"/>
      <c r="R135" s="908">
        <v>12254</v>
      </c>
      <c r="S135" s="908"/>
      <c r="T135" s="908">
        <v>10</v>
      </c>
      <c r="U135" s="908">
        <v>455</v>
      </c>
      <c r="V135" s="908">
        <f t="shared" si="46"/>
        <v>938</v>
      </c>
      <c r="W135" s="1026"/>
      <c r="X135" s="908">
        <f t="shared" si="44"/>
        <v>12709</v>
      </c>
      <c r="Y135" s="1021"/>
      <c r="Z135" s="965" t="s">
        <v>43</v>
      </c>
      <c r="AA135" s="1011"/>
      <c r="AB135" s="908">
        <v>26805</v>
      </c>
      <c r="AC135" s="1021"/>
      <c r="AD135" s="908">
        <f t="shared" si="36"/>
        <v>37632</v>
      </c>
      <c r="AE135" s="1021"/>
      <c r="AF135" s="768">
        <v>2013</v>
      </c>
      <c r="AG135" s="892" t="s">
        <v>49</v>
      </c>
      <c r="AH135" s="356"/>
    </row>
    <row r="136" spans="1:37" s="200" customFormat="1" ht="12.75" hidden="1" customHeight="1">
      <c r="A136" s="902"/>
      <c r="B136" s="874">
        <v>2013</v>
      </c>
      <c r="C136" s="370" t="s">
        <v>39</v>
      </c>
      <c r="D136" s="923">
        <v>2539</v>
      </c>
      <c r="E136" s="908"/>
      <c r="F136" s="908">
        <v>7825</v>
      </c>
      <c r="G136" s="908"/>
      <c r="H136" s="908">
        <v>43</v>
      </c>
      <c r="I136" s="908"/>
      <c r="J136" s="908">
        <v>298</v>
      </c>
      <c r="K136" s="908"/>
      <c r="L136" s="1029">
        <f t="shared" si="45"/>
        <v>2582</v>
      </c>
      <c r="M136" s="1029"/>
      <c r="N136" s="908">
        <f t="shared" si="43"/>
        <v>8123</v>
      </c>
      <c r="O136" s="1021"/>
      <c r="P136" s="923">
        <v>2070</v>
      </c>
      <c r="Q136" s="908"/>
      <c r="R136" s="908">
        <v>9887</v>
      </c>
      <c r="S136" s="908"/>
      <c r="T136" s="908">
        <v>17</v>
      </c>
      <c r="U136" s="908">
        <v>229</v>
      </c>
      <c r="V136" s="908">
        <f t="shared" si="46"/>
        <v>2087</v>
      </c>
      <c r="W136" s="1026"/>
      <c r="X136" s="908">
        <f t="shared" si="44"/>
        <v>10116</v>
      </c>
      <c r="Y136" s="1021"/>
      <c r="Z136" s="965" t="s">
        <v>43</v>
      </c>
      <c r="AA136" s="1011"/>
      <c r="AB136" s="908">
        <v>19834</v>
      </c>
      <c r="AC136" s="1021"/>
      <c r="AD136" s="908">
        <f t="shared" si="36"/>
        <v>27957</v>
      </c>
      <c r="AE136" s="1021"/>
      <c r="AF136" s="768">
        <v>2013</v>
      </c>
      <c r="AG136" s="892" t="s">
        <v>39</v>
      </c>
      <c r="AH136" s="356"/>
    </row>
    <row r="137" spans="1:37" s="200" customFormat="1" ht="12.75" hidden="1" customHeight="1">
      <c r="A137" s="902"/>
      <c r="B137" s="874">
        <v>2013</v>
      </c>
      <c r="C137" s="370" t="s">
        <v>32</v>
      </c>
      <c r="D137" s="923">
        <v>2682</v>
      </c>
      <c r="E137" s="908"/>
      <c r="F137" s="908">
        <v>9473</v>
      </c>
      <c r="G137" s="908"/>
      <c r="H137" s="908">
        <v>68</v>
      </c>
      <c r="I137" s="908"/>
      <c r="J137" s="908">
        <v>380</v>
      </c>
      <c r="K137" s="908"/>
      <c r="L137" s="1029">
        <f t="shared" si="45"/>
        <v>2750</v>
      </c>
      <c r="M137" s="1029"/>
      <c r="N137" s="908">
        <f t="shared" si="43"/>
        <v>9853</v>
      </c>
      <c r="O137" s="1021"/>
      <c r="P137" s="923">
        <v>1656</v>
      </c>
      <c r="Q137" s="908"/>
      <c r="R137" s="908">
        <v>8720</v>
      </c>
      <c r="S137" s="908"/>
      <c r="T137" s="908">
        <v>17</v>
      </c>
      <c r="U137" s="908">
        <v>229</v>
      </c>
      <c r="V137" s="908">
        <f t="shared" si="46"/>
        <v>1673</v>
      </c>
      <c r="W137" s="1026"/>
      <c r="X137" s="908">
        <f t="shared" si="44"/>
        <v>8949</v>
      </c>
      <c r="Y137" s="1021"/>
      <c r="Z137" s="965" t="s">
        <v>43</v>
      </c>
      <c r="AA137" s="1011"/>
      <c r="AB137" s="908">
        <v>22553</v>
      </c>
      <c r="AC137" s="1021"/>
      <c r="AD137" s="908">
        <f t="shared" si="36"/>
        <v>32406</v>
      </c>
      <c r="AE137" s="1021"/>
      <c r="AF137" s="768">
        <v>2013</v>
      </c>
      <c r="AG137" s="892" t="s">
        <v>32</v>
      </c>
      <c r="AH137" s="356"/>
    </row>
    <row r="138" spans="1:37" s="200" customFormat="1" ht="12.75" hidden="1" customHeight="1">
      <c r="A138" s="902"/>
      <c r="B138" s="874">
        <v>2014</v>
      </c>
      <c r="C138" s="892" t="s">
        <v>33</v>
      </c>
      <c r="D138" s="908">
        <v>2303</v>
      </c>
      <c r="E138" s="908"/>
      <c r="F138" s="908">
        <v>8288</v>
      </c>
      <c r="G138" s="908"/>
      <c r="H138" s="908">
        <v>25</v>
      </c>
      <c r="I138" s="908"/>
      <c r="J138" s="908">
        <v>159</v>
      </c>
      <c r="K138" s="908"/>
      <c r="L138" s="1029">
        <f t="shared" si="45"/>
        <v>2328</v>
      </c>
      <c r="M138" s="1029"/>
      <c r="N138" s="908">
        <f t="shared" ref="N138:N143" si="47">J138+F138</f>
        <v>8447</v>
      </c>
      <c r="O138" s="1021"/>
      <c r="P138" s="908">
        <v>1393</v>
      </c>
      <c r="Q138" s="908"/>
      <c r="R138" s="908">
        <v>11871</v>
      </c>
      <c r="S138" s="908"/>
      <c r="T138" s="908">
        <v>10</v>
      </c>
      <c r="U138" s="908">
        <v>252</v>
      </c>
      <c r="V138" s="908">
        <f t="shared" ref="V138:V145" si="48">T138+P138</f>
        <v>1403</v>
      </c>
      <c r="W138" s="1026"/>
      <c r="X138" s="908">
        <f t="shared" ref="X138:X145" si="49">U138+R138</f>
        <v>12123</v>
      </c>
      <c r="Y138" s="1021"/>
      <c r="Z138" s="965" t="s">
        <v>43</v>
      </c>
      <c r="AA138" s="1011"/>
      <c r="AB138" s="908">
        <v>23016</v>
      </c>
      <c r="AC138" s="1021"/>
      <c r="AD138" s="908">
        <f t="shared" si="36"/>
        <v>31463</v>
      </c>
      <c r="AE138" s="1021"/>
      <c r="AF138" s="768">
        <v>2014</v>
      </c>
      <c r="AG138" s="892" t="s">
        <v>33</v>
      </c>
      <c r="AH138" s="356"/>
    </row>
    <row r="139" spans="1:37" s="200" customFormat="1" ht="12.75" hidden="1" customHeight="1">
      <c r="A139" s="902"/>
      <c r="B139" s="874">
        <v>2014</v>
      </c>
      <c r="C139" s="370" t="s">
        <v>34</v>
      </c>
      <c r="D139" s="923">
        <v>1491</v>
      </c>
      <c r="E139" s="908"/>
      <c r="F139" s="908">
        <v>4878</v>
      </c>
      <c r="G139" s="908"/>
      <c r="H139" s="908">
        <v>49</v>
      </c>
      <c r="I139" s="908"/>
      <c r="J139" s="908">
        <v>131</v>
      </c>
      <c r="K139" s="908"/>
      <c r="L139" s="1029">
        <f t="shared" ref="L139:L150" si="50">H139+D139</f>
        <v>1540</v>
      </c>
      <c r="M139" s="1029"/>
      <c r="N139" s="908">
        <f t="shared" si="47"/>
        <v>5009</v>
      </c>
      <c r="O139" s="1021"/>
      <c r="P139" s="923">
        <v>2051</v>
      </c>
      <c r="Q139" s="908"/>
      <c r="R139" s="908">
        <v>5763</v>
      </c>
      <c r="S139" s="908"/>
      <c r="T139" s="908">
        <v>7</v>
      </c>
      <c r="U139" s="908">
        <v>85</v>
      </c>
      <c r="V139" s="908">
        <f t="shared" si="48"/>
        <v>2058</v>
      </c>
      <c r="W139" s="1026"/>
      <c r="X139" s="908">
        <f t="shared" si="49"/>
        <v>5848</v>
      </c>
      <c r="Y139" s="1021"/>
      <c r="Z139" s="965" t="s">
        <v>43</v>
      </c>
      <c r="AA139" s="1011"/>
      <c r="AB139" s="908">
        <v>25728</v>
      </c>
      <c r="AC139" s="1021"/>
      <c r="AD139" s="908">
        <f t="shared" si="36"/>
        <v>30737</v>
      </c>
      <c r="AE139" s="1021"/>
      <c r="AF139" s="768">
        <v>2014</v>
      </c>
      <c r="AG139" s="892" t="s">
        <v>77</v>
      </c>
      <c r="AH139" s="356"/>
    </row>
    <row r="140" spans="1:37" s="200" customFormat="1" ht="12.75" hidden="1" customHeight="1">
      <c r="A140" s="902"/>
      <c r="B140" s="874">
        <v>2014</v>
      </c>
      <c r="C140" s="370" t="s">
        <v>29</v>
      </c>
      <c r="D140" s="923">
        <v>1693</v>
      </c>
      <c r="E140" s="908"/>
      <c r="F140" s="908">
        <v>6169</v>
      </c>
      <c r="G140" s="908"/>
      <c r="H140" s="908">
        <v>66</v>
      </c>
      <c r="I140" s="908"/>
      <c r="J140" s="908">
        <v>207</v>
      </c>
      <c r="K140" s="908"/>
      <c r="L140" s="1029">
        <f t="shared" si="50"/>
        <v>1759</v>
      </c>
      <c r="M140" s="1029"/>
      <c r="N140" s="908">
        <f t="shared" si="47"/>
        <v>6376</v>
      </c>
      <c r="O140" s="1021"/>
      <c r="P140" s="923">
        <v>1149</v>
      </c>
      <c r="Q140" s="908"/>
      <c r="R140" s="908">
        <v>7047</v>
      </c>
      <c r="S140" s="908"/>
      <c r="T140" s="908">
        <v>7</v>
      </c>
      <c r="U140" s="908">
        <v>208</v>
      </c>
      <c r="V140" s="908">
        <f t="shared" si="48"/>
        <v>1156</v>
      </c>
      <c r="W140" s="1026"/>
      <c r="X140" s="908">
        <f t="shared" si="49"/>
        <v>7255</v>
      </c>
      <c r="Y140" s="1021"/>
      <c r="Z140" s="965" t="s">
        <v>43</v>
      </c>
      <c r="AA140" s="1011"/>
      <c r="AB140" s="908">
        <v>18883</v>
      </c>
      <c r="AC140" s="1021"/>
      <c r="AD140" s="908">
        <f t="shared" si="36"/>
        <v>25259</v>
      </c>
      <c r="AE140" s="1021"/>
      <c r="AF140" s="768">
        <v>2014</v>
      </c>
      <c r="AG140" s="892" t="s">
        <v>29</v>
      </c>
      <c r="AH140" s="356"/>
    </row>
    <row r="141" spans="1:37" s="200" customFormat="1" ht="12.75" hidden="1" customHeight="1">
      <c r="A141" s="902"/>
      <c r="B141" s="874">
        <v>2014</v>
      </c>
      <c r="C141" s="370" t="s">
        <v>35</v>
      </c>
      <c r="D141" s="923">
        <v>1753</v>
      </c>
      <c r="E141" s="908"/>
      <c r="F141" s="908">
        <v>6433</v>
      </c>
      <c r="G141" s="908"/>
      <c r="H141" s="908">
        <v>76</v>
      </c>
      <c r="I141" s="908"/>
      <c r="J141" s="908">
        <v>371</v>
      </c>
      <c r="K141" s="908"/>
      <c r="L141" s="1029">
        <f t="shared" si="50"/>
        <v>1829</v>
      </c>
      <c r="M141" s="1029"/>
      <c r="N141" s="908">
        <f t="shared" si="47"/>
        <v>6804</v>
      </c>
      <c r="O141" s="1021"/>
      <c r="P141" s="923">
        <v>3172</v>
      </c>
      <c r="Q141" s="908"/>
      <c r="R141" s="908">
        <v>7089</v>
      </c>
      <c r="S141" s="908"/>
      <c r="T141" s="908">
        <v>5</v>
      </c>
      <c r="U141" s="908">
        <v>351</v>
      </c>
      <c r="V141" s="908">
        <f t="shared" si="48"/>
        <v>3177</v>
      </c>
      <c r="W141" s="1026"/>
      <c r="X141" s="908">
        <f t="shared" si="49"/>
        <v>7440</v>
      </c>
      <c r="Y141" s="1021"/>
      <c r="Z141" s="965" t="s">
        <v>43</v>
      </c>
      <c r="AA141" s="1011"/>
      <c r="AB141" s="908">
        <v>18880</v>
      </c>
      <c r="AC141" s="1021"/>
      <c r="AD141" s="908">
        <f t="shared" si="36"/>
        <v>25684</v>
      </c>
      <c r="AE141" s="1021"/>
      <c r="AF141" s="768">
        <v>2014</v>
      </c>
      <c r="AG141" s="892" t="s">
        <v>78</v>
      </c>
      <c r="AH141" s="356"/>
    </row>
    <row r="142" spans="1:37" s="200" customFormat="1" ht="12.75" hidden="1" customHeight="1">
      <c r="A142" s="902"/>
      <c r="B142" s="874">
        <v>2014</v>
      </c>
      <c r="C142" s="370" t="s">
        <v>4</v>
      </c>
      <c r="D142" s="923">
        <v>2293</v>
      </c>
      <c r="E142" s="908"/>
      <c r="F142" s="908">
        <v>7483</v>
      </c>
      <c r="G142" s="908"/>
      <c r="H142" s="908">
        <v>30</v>
      </c>
      <c r="I142" s="908"/>
      <c r="J142" s="908">
        <v>329</v>
      </c>
      <c r="K142" s="908"/>
      <c r="L142" s="1029">
        <f t="shared" si="50"/>
        <v>2323</v>
      </c>
      <c r="M142" s="1029"/>
      <c r="N142" s="908">
        <f t="shared" si="47"/>
        <v>7812</v>
      </c>
      <c r="O142" s="1021"/>
      <c r="P142" s="923">
        <v>1360</v>
      </c>
      <c r="Q142" s="908"/>
      <c r="R142" s="908">
        <v>8231</v>
      </c>
      <c r="S142" s="908"/>
      <c r="T142" s="908">
        <v>59</v>
      </c>
      <c r="U142" s="908">
        <v>218</v>
      </c>
      <c r="V142" s="908">
        <f t="shared" si="48"/>
        <v>1419</v>
      </c>
      <c r="W142" s="1026"/>
      <c r="X142" s="908">
        <f t="shared" si="49"/>
        <v>8449</v>
      </c>
      <c r="Y142" s="1021"/>
      <c r="Z142" s="965" t="s">
        <v>43</v>
      </c>
      <c r="AA142" s="1011"/>
      <c r="AB142" s="908">
        <v>17869</v>
      </c>
      <c r="AC142" s="1021"/>
      <c r="AD142" s="908">
        <f t="shared" ref="AD142:AD158" si="51">AB142+N142</f>
        <v>25681</v>
      </c>
      <c r="AE142" s="1021"/>
      <c r="AF142" s="768">
        <v>2014</v>
      </c>
      <c r="AG142" s="892" t="s">
        <v>79</v>
      </c>
      <c r="AH142" s="356"/>
    </row>
    <row r="143" spans="1:37" s="200" customFormat="1" ht="12.75" hidden="1" customHeight="1">
      <c r="A143" s="902"/>
      <c r="B143" s="874">
        <v>2014</v>
      </c>
      <c r="C143" s="370" t="s">
        <v>30</v>
      </c>
      <c r="D143" s="923">
        <v>2154</v>
      </c>
      <c r="E143" s="908"/>
      <c r="F143" s="908">
        <v>10481</v>
      </c>
      <c r="G143" s="908"/>
      <c r="H143" s="908">
        <v>38</v>
      </c>
      <c r="I143" s="908"/>
      <c r="J143" s="908">
        <v>436</v>
      </c>
      <c r="K143" s="908"/>
      <c r="L143" s="1029">
        <f t="shared" si="50"/>
        <v>2192</v>
      </c>
      <c r="M143" s="1029"/>
      <c r="N143" s="908">
        <f t="shared" si="47"/>
        <v>10917</v>
      </c>
      <c r="O143" s="1021"/>
      <c r="P143" s="923">
        <v>967</v>
      </c>
      <c r="Q143" s="908"/>
      <c r="R143" s="908">
        <v>9984</v>
      </c>
      <c r="S143" s="908"/>
      <c r="T143" s="908">
        <v>32</v>
      </c>
      <c r="U143" s="908">
        <v>355</v>
      </c>
      <c r="V143" s="908">
        <f t="shared" si="48"/>
        <v>999</v>
      </c>
      <c r="W143" s="1026"/>
      <c r="X143" s="908">
        <f t="shared" si="49"/>
        <v>10339</v>
      </c>
      <c r="Y143" s="1021"/>
      <c r="Z143" s="965" t="s">
        <v>43</v>
      </c>
      <c r="AA143" s="1011"/>
      <c r="AB143" s="908">
        <v>18911</v>
      </c>
      <c r="AC143" s="1021"/>
      <c r="AD143" s="908">
        <f t="shared" si="51"/>
        <v>29828</v>
      </c>
      <c r="AE143" s="1021"/>
      <c r="AF143" s="768">
        <v>2014</v>
      </c>
      <c r="AG143" s="892" t="s">
        <v>80</v>
      </c>
      <c r="AH143" s="356"/>
    </row>
    <row r="144" spans="1:37" s="200" customFormat="1" ht="12.75" hidden="1" customHeight="1">
      <c r="A144" s="902"/>
      <c r="B144" s="874">
        <v>2014</v>
      </c>
      <c r="C144" s="370" t="s">
        <v>36</v>
      </c>
      <c r="D144" s="923">
        <v>2030</v>
      </c>
      <c r="E144" s="908"/>
      <c r="F144" s="908">
        <v>10944</v>
      </c>
      <c r="G144" s="908"/>
      <c r="H144" s="908">
        <v>56</v>
      </c>
      <c r="I144" s="908"/>
      <c r="J144" s="908">
        <v>502</v>
      </c>
      <c r="K144" s="908"/>
      <c r="L144" s="1029">
        <f t="shared" si="50"/>
        <v>2086</v>
      </c>
      <c r="M144" s="1029"/>
      <c r="N144" s="908">
        <f t="shared" ref="N144:N149" si="52">J144+F144</f>
        <v>11446</v>
      </c>
      <c r="O144" s="1021"/>
      <c r="P144" s="923">
        <v>1339</v>
      </c>
      <c r="Q144" s="908"/>
      <c r="R144" s="908">
        <v>12891</v>
      </c>
      <c r="S144" s="908"/>
      <c r="T144" s="908">
        <v>67</v>
      </c>
      <c r="U144" s="908">
        <v>341</v>
      </c>
      <c r="V144" s="908">
        <f t="shared" si="48"/>
        <v>1406</v>
      </c>
      <c r="W144" s="1026"/>
      <c r="X144" s="908">
        <f t="shared" si="49"/>
        <v>13232</v>
      </c>
      <c r="Y144" s="1021"/>
      <c r="Z144" s="965" t="s">
        <v>43</v>
      </c>
      <c r="AA144" s="1011"/>
      <c r="AB144" s="908">
        <v>11470</v>
      </c>
      <c r="AC144" s="1021"/>
      <c r="AD144" s="1029">
        <f t="shared" si="51"/>
        <v>22916</v>
      </c>
      <c r="AE144" s="1041"/>
      <c r="AF144" s="768">
        <v>2014</v>
      </c>
      <c r="AG144" s="892" t="s">
        <v>81</v>
      </c>
      <c r="AH144" s="356"/>
    </row>
    <row r="145" spans="1:34" s="200" customFormat="1" ht="12.75" hidden="1" customHeight="1">
      <c r="A145" s="902"/>
      <c r="B145" s="874">
        <v>2014</v>
      </c>
      <c r="C145" s="370" t="s">
        <v>37</v>
      </c>
      <c r="D145" s="923">
        <v>2208</v>
      </c>
      <c r="E145" s="908"/>
      <c r="F145" s="908">
        <v>11515</v>
      </c>
      <c r="G145" s="908"/>
      <c r="H145" s="908">
        <v>38</v>
      </c>
      <c r="I145" s="908"/>
      <c r="J145" s="908">
        <v>350</v>
      </c>
      <c r="K145" s="908"/>
      <c r="L145" s="1029">
        <f t="shared" si="50"/>
        <v>2246</v>
      </c>
      <c r="M145" s="1029"/>
      <c r="N145" s="908">
        <f t="shared" si="52"/>
        <v>11865</v>
      </c>
      <c r="O145" s="1021"/>
      <c r="P145" s="923">
        <v>1311</v>
      </c>
      <c r="Q145" s="908"/>
      <c r="R145" s="908">
        <v>12517</v>
      </c>
      <c r="S145" s="908"/>
      <c r="T145" s="908">
        <v>81</v>
      </c>
      <c r="U145" s="908">
        <v>219</v>
      </c>
      <c r="V145" s="908">
        <f t="shared" si="48"/>
        <v>1392</v>
      </c>
      <c r="W145" s="1026"/>
      <c r="X145" s="908">
        <f t="shared" si="49"/>
        <v>12736</v>
      </c>
      <c r="Y145" s="1021"/>
      <c r="Z145" s="965" t="s">
        <v>43</v>
      </c>
      <c r="AA145" s="1011"/>
      <c r="AB145" s="908">
        <v>14667</v>
      </c>
      <c r="AC145" s="1021"/>
      <c r="AD145" s="1029">
        <f t="shared" si="51"/>
        <v>26532</v>
      </c>
      <c r="AE145" s="1041"/>
      <c r="AF145" s="768">
        <v>2014</v>
      </c>
      <c r="AG145" s="892" t="s">
        <v>82</v>
      </c>
      <c r="AH145" s="356"/>
    </row>
    <row r="146" spans="1:34" s="200" customFormat="1" ht="12.75" hidden="1" customHeight="1">
      <c r="A146" s="902"/>
      <c r="B146" s="874">
        <v>2014</v>
      </c>
      <c r="C146" s="370" t="s">
        <v>31</v>
      </c>
      <c r="D146" s="923">
        <v>2509</v>
      </c>
      <c r="E146" s="908"/>
      <c r="F146" s="908">
        <v>10731</v>
      </c>
      <c r="G146" s="908"/>
      <c r="H146" s="908">
        <v>59</v>
      </c>
      <c r="I146" s="908"/>
      <c r="J146" s="908">
        <v>557</v>
      </c>
      <c r="K146" s="908"/>
      <c r="L146" s="1029">
        <f t="shared" si="50"/>
        <v>2568</v>
      </c>
      <c r="M146" s="1029"/>
      <c r="N146" s="908">
        <f t="shared" si="52"/>
        <v>11288</v>
      </c>
      <c r="O146" s="1021"/>
      <c r="P146" s="923">
        <v>879</v>
      </c>
      <c r="Q146" s="908"/>
      <c r="R146" s="908">
        <v>10956</v>
      </c>
      <c r="S146" s="908"/>
      <c r="T146" s="908">
        <v>59</v>
      </c>
      <c r="U146" s="908">
        <v>557</v>
      </c>
      <c r="V146" s="908">
        <f t="shared" ref="V146:V151" si="53">T146+P146</f>
        <v>938</v>
      </c>
      <c r="W146" s="1026"/>
      <c r="X146" s="908">
        <f t="shared" ref="X146:X151" si="54">U146+R146</f>
        <v>11513</v>
      </c>
      <c r="Y146" s="1021"/>
      <c r="Z146" s="965" t="s">
        <v>43</v>
      </c>
      <c r="AA146" s="1011"/>
      <c r="AB146" s="908">
        <v>14007</v>
      </c>
      <c r="AC146" s="1021"/>
      <c r="AD146" s="1029">
        <f t="shared" si="51"/>
        <v>25295</v>
      </c>
      <c r="AE146" s="1041"/>
      <c r="AF146" s="768">
        <v>2014</v>
      </c>
      <c r="AG146" s="892" t="s">
        <v>31</v>
      </c>
      <c r="AH146" s="356"/>
    </row>
    <row r="147" spans="1:34" s="200" customFormat="1" ht="12.75" hidden="1" customHeight="1">
      <c r="A147" s="902"/>
      <c r="B147" s="874">
        <v>2014</v>
      </c>
      <c r="C147" s="370" t="s">
        <v>38</v>
      </c>
      <c r="D147" s="923">
        <v>1750</v>
      </c>
      <c r="E147" s="908"/>
      <c r="F147" s="908">
        <v>10017</v>
      </c>
      <c r="G147" s="908"/>
      <c r="H147" s="908">
        <v>56</v>
      </c>
      <c r="I147" s="908"/>
      <c r="J147" s="908">
        <v>516</v>
      </c>
      <c r="K147" s="908"/>
      <c r="L147" s="1029">
        <f t="shared" si="50"/>
        <v>1806</v>
      </c>
      <c r="M147" s="1029"/>
      <c r="N147" s="908">
        <f t="shared" si="52"/>
        <v>10533</v>
      </c>
      <c r="O147" s="1021"/>
      <c r="P147" s="923">
        <v>1624</v>
      </c>
      <c r="Q147" s="908"/>
      <c r="R147" s="908">
        <v>12394</v>
      </c>
      <c r="S147" s="908"/>
      <c r="T147" s="908">
        <v>30</v>
      </c>
      <c r="U147" s="908">
        <v>426</v>
      </c>
      <c r="V147" s="908">
        <f t="shared" si="53"/>
        <v>1654</v>
      </c>
      <c r="W147" s="1026"/>
      <c r="X147" s="908">
        <f t="shared" si="54"/>
        <v>12820</v>
      </c>
      <c r="Y147" s="1021"/>
      <c r="Z147" s="965" t="s">
        <v>43</v>
      </c>
      <c r="AA147" s="1011"/>
      <c r="AB147" s="908">
        <v>16195</v>
      </c>
      <c r="AC147" s="1021"/>
      <c r="AD147" s="1029">
        <f t="shared" si="51"/>
        <v>26728</v>
      </c>
      <c r="AE147" s="1041"/>
      <c r="AF147" s="768">
        <v>2014</v>
      </c>
      <c r="AG147" s="892" t="s">
        <v>49</v>
      </c>
      <c r="AH147" s="356"/>
    </row>
    <row r="148" spans="1:34" s="200" customFormat="1" ht="12.75" hidden="1" customHeight="1">
      <c r="A148" s="902"/>
      <c r="B148" s="874">
        <v>2014</v>
      </c>
      <c r="C148" s="370" t="s">
        <v>39</v>
      </c>
      <c r="D148" s="923">
        <v>2534</v>
      </c>
      <c r="E148" s="908"/>
      <c r="F148" s="908">
        <v>7584</v>
      </c>
      <c r="G148" s="908"/>
      <c r="H148" s="908">
        <v>65</v>
      </c>
      <c r="I148" s="908"/>
      <c r="J148" s="908">
        <v>412</v>
      </c>
      <c r="K148" s="908"/>
      <c r="L148" s="1029">
        <f t="shared" si="50"/>
        <v>2599</v>
      </c>
      <c r="M148" s="1029"/>
      <c r="N148" s="908">
        <f t="shared" si="52"/>
        <v>7996</v>
      </c>
      <c r="O148" s="1021"/>
      <c r="P148" s="923">
        <v>2068</v>
      </c>
      <c r="Q148" s="908"/>
      <c r="R148" s="908">
        <v>9532</v>
      </c>
      <c r="S148" s="908"/>
      <c r="T148" s="908">
        <v>14</v>
      </c>
      <c r="U148" s="908">
        <v>300</v>
      </c>
      <c r="V148" s="908">
        <f t="shared" si="53"/>
        <v>2082</v>
      </c>
      <c r="W148" s="1026"/>
      <c r="X148" s="908">
        <f t="shared" si="54"/>
        <v>9832</v>
      </c>
      <c r="Y148" s="1021"/>
      <c r="Z148" s="965" t="s">
        <v>43</v>
      </c>
      <c r="AA148" s="1011"/>
      <c r="AB148" s="908">
        <v>10312</v>
      </c>
      <c r="AC148" s="1021"/>
      <c r="AD148" s="1029">
        <f t="shared" si="51"/>
        <v>18308</v>
      </c>
      <c r="AE148" s="1041"/>
      <c r="AF148" s="768">
        <v>2014</v>
      </c>
      <c r="AG148" s="892" t="s">
        <v>39</v>
      </c>
      <c r="AH148" s="286"/>
    </row>
    <row r="149" spans="1:34" s="200" customFormat="1" ht="12.75" hidden="1" customHeight="1">
      <c r="A149" s="902"/>
      <c r="B149" s="874">
        <v>2014</v>
      </c>
      <c r="C149" s="370" t="s">
        <v>32</v>
      </c>
      <c r="D149" s="923">
        <v>2550</v>
      </c>
      <c r="E149" s="908"/>
      <c r="F149" s="908">
        <v>9948</v>
      </c>
      <c r="G149" s="908"/>
      <c r="H149" s="908">
        <v>58</v>
      </c>
      <c r="I149" s="908"/>
      <c r="J149" s="908">
        <v>367</v>
      </c>
      <c r="K149" s="908"/>
      <c r="L149" s="1029">
        <f t="shared" si="50"/>
        <v>2608</v>
      </c>
      <c r="M149" s="1029"/>
      <c r="N149" s="908">
        <f t="shared" si="52"/>
        <v>10315</v>
      </c>
      <c r="O149" s="1021"/>
      <c r="P149" s="923">
        <v>1392</v>
      </c>
      <c r="Q149" s="908"/>
      <c r="R149" s="908">
        <v>8961</v>
      </c>
      <c r="S149" s="908"/>
      <c r="T149" s="908">
        <v>4</v>
      </c>
      <c r="U149" s="908">
        <v>219</v>
      </c>
      <c r="V149" s="908">
        <f t="shared" si="53"/>
        <v>1396</v>
      </c>
      <c r="W149" s="1026"/>
      <c r="X149" s="908">
        <f t="shared" si="54"/>
        <v>9180</v>
      </c>
      <c r="Y149" s="1021"/>
      <c r="Z149" s="965" t="s">
        <v>43</v>
      </c>
      <c r="AA149" s="1011"/>
      <c r="AB149" s="908">
        <v>30267</v>
      </c>
      <c r="AC149" s="1021"/>
      <c r="AD149" s="1029">
        <f t="shared" si="51"/>
        <v>40582</v>
      </c>
      <c r="AE149" s="1041"/>
      <c r="AF149" s="768">
        <v>2014</v>
      </c>
      <c r="AG149" s="892" t="s">
        <v>32</v>
      </c>
      <c r="AH149" s="286"/>
    </row>
    <row r="150" spans="1:34" s="200" customFormat="1" ht="12.75" hidden="1" customHeight="1">
      <c r="A150" s="902"/>
      <c r="B150" s="874">
        <v>2015</v>
      </c>
      <c r="C150" s="370" t="s">
        <v>33</v>
      </c>
      <c r="D150" s="923">
        <v>2396</v>
      </c>
      <c r="E150" s="908"/>
      <c r="F150" s="908">
        <v>8219</v>
      </c>
      <c r="G150" s="908"/>
      <c r="H150" s="908">
        <v>37</v>
      </c>
      <c r="I150" s="908"/>
      <c r="J150" s="908">
        <v>305</v>
      </c>
      <c r="K150" s="908"/>
      <c r="L150" s="1029">
        <f t="shared" si="50"/>
        <v>2433</v>
      </c>
      <c r="M150" s="1029"/>
      <c r="N150" s="908">
        <f>J150+F150</f>
        <v>8524</v>
      </c>
      <c r="O150" s="1021"/>
      <c r="P150" s="923">
        <v>1547</v>
      </c>
      <c r="Q150" s="908"/>
      <c r="R150" s="908">
        <v>12350</v>
      </c>
      <c r="S150" s="908"/>
      <c r="T150" s="908">
        <v>53</v>
      </c>
      <c r="U150" s="908">
        <v>342</v>
      </c>
      <c r="V150" s="908">
        <f t="shared" si="53"/>
        <v>1600</v>
      </c>
      <c r="W150" s="1026"/>
      <c r="X150" s="908">
        <f t="shared" si="54"/>
        <v>12692</v>
      </c>
      <c r="Y150" s="1021"/>
      <c r="Z150" s="965" t="s">
        <v>43</v>
      </c>
      <c r="AA150" s="1011"/>
      <c r="AB150" s="908">
        <v>26923</v>
      </c>
      <c r="AC150" s="1021"/>
      <c r="AD150" s="1029">
        <f t="shared" si="51"/>
        <v>35447</v>
      </c>
      <c r="AE150" s="1041"/>
      <c r="AF150" s="768">
        <v>2015</v>
      </c>
      <c r="AG150" s="892" t="s">
        <v>33</v>
      </c>
      <c r="AH150" s="286"/>
    </row>
    <row r="151" spans="1:34" s="200" customFormat="1" ht="12.75" hidden="1" customHeight="1">
      <c r="A151" s="902"/>
      <c r="B151" s="874">
        <v>2015</v>
      </c>
      <c r="C151" s="370" t="s">
        <v>34</v>
      </c>
      <c r="D151" s="923">
        <v>1575</v>
      </c>
      <c r="E151" s="908"/>
      <c r="F151" s="908">
        <v>5176</v>
      </c>
      <c r="G151" s="908"/>
      <c r="H151" s="908">
        <v>9</v>
      </c>
      <c r="I151" s="908"/>
      <c r="J151" s="908">
        <v>213</v>
      </c>
      <c r="K151" s="908"/>
      <c r="L151" s="1029">
        <f t="shared" ref="L151:L156" si="55">H151+D151</f>
        <v>1584</v>
      </c>
      <c r="M151" s="1029"/>
      <c r="N151" s="908">
        <f>J151+F151</f>
        <v>5389</v>
      </c>
      <c r="O151" s="1021"/>
      <c r="P151" s="923">
        <v>2019</v>
      </c>
      <c r="Q151" s="908"/>
      <c r="R151" s="908">
        <v>5978</v>
      </c>
      <c r="S151" s="908"/>
      <c r="T151" s="908">
        <v>12</v>
      </c>
      <c r="U151" s="908">
        <v>118</v>
      </c>
      <c r="V151" s="908">
        <f t="shared" si="53"/>
        <v>2031</v>
      </c>
      <c r="W151" s="1026"/>
      <c r="X151" s="908">
        <f t="shared" si="54"/>
        <v>6096</v>
      </c>
      <c r="Y151" s="1021"/>
      <c r="Z151" s="965" t="s">
        <v>43</v>
      </c>
      <c r="AA151" s="1011"/>
      <c r="AB151" s="908">
        <v>18803</v>
      </c>
      <c r="AC151" s="1021"/>
      <c r="AD151" s="1029">
        <f t="shared" si="51"/>
        <v>24192</v>
      </c>
      <c r="AE151" s="1041"/>
      <c r="AF151" s="768">
        <v>2015</v>
      </c>
      <c r="AG151" s="1030" t="s">
        <v>77</v>
      </c>
      <c r="AH151" s="286"/>
    </row>
    <row r="152" spans="1:34" s="200" customFormat="1" ht="12.75" hidden="1" customHeight="1">
      <c r="A152" s="902"/>
      <c r="B152" s="874">
        <v>2015</v>
      </c>
      <c r="C152" s="370" t="s">
        <v>29</v>
      </c>
      <c r="D152" s="923">
        <v>1905</v>
      </c>
      <c r="E152" s="908"/>
      <c r="F152" s="908">
        <v>4527</v>
      </c>
      <c r="G152" s="908"/>
      <c r="H152" s="908">
        <v>28</v>
      </c>
      <c r="I152" s="908"/>
      <c r="J152" s="908">
        <v>310</v>
      </c>
      <c r="K152" s="908"/>
      <c r="L152" s="1029">
        <f>H152+D152</f>
        <v>1933</v>
      </c>
      <c r="M152" s="1029"/>
      <c r="N152" s="908">
        <f>J152+F152</f>
        <v>4837</v>
      </c>
      <c r="O152" s="1021"/>
      <c r="P152" s="923">
        <v>1288</v>
      </c>
      <c r="Q152" s="908"/>
      <c r="R152" s="908">
        <v>5599</v>
      </c>
      <c r="S152" s="908"/>
      <c r="T152" s="908">
        <v>9</v>
      </c>
      <c r="U152" s="908">
        <v>153</v>
      </c>
      <c r="V152" s="908">
        <f>T152+P152</f>
        <v>1297</v>
      </c>
      <c r="W152" s="1026"/>
      <c r="X152" s="908">
        <f>U152+R152</f>
        <v>5752</v>
      </c>
      <c r="Y152" s="1021"/>
      <c r="Z152" s="965" t="s">
        <v>43</v>
      </c>
      <c r="AA152" s="1011"/>
      <c r="AB152" s="908">
        <v>6530</v>
      </c>
      <c r="AC152" s="1021"/>
      <c r="AD152" s="1029">
        <f t="shared" si="51"/>
        <v>11367</v>
      </c>
      <c r="AE152" s="1041"/>
      <c r="AF152" s="768">
        <v>2015</v>
      </c>
      <c r="AG152" s="1030" t="s">
        <v>29</v>
      </c>
      <c r="AH152" s="286"/>
    </row>
    <row r="153" spans="1:34" s="200" customFormat="1" ht="12.75" hidden="1" customHeight="1">
      <c r="A153" s="902"/>
      <c r="B153" s="874">
        <v>2015</v>
      </c>
      <c r="C153" s="370" t="s">
        <v>35</v>
      </c>
      <c r="D153" s="923">
        <v>2219</v>
      </c>
      <c r="E153" s="908"/>
      <c r="F153" s="908">
        <v>4263</v>
      </c>
      <c r="G153" s="908"/>
      <c r="H153" s="908">
        <v>5</v>
      </c>
      <c r="I153" s="908"/>
      <c r="J153" s="908">
        <v>315</v>
      </c>
      <c r="K153" s="908"/>
      <c r="L153" s="1029">
        <f t="shared" si="55"/>
        <v>2224</v>
      </c>
      <c r="M153" s="1029"/>
      <c r="N153" s="908">
        <f t="shared" ref="N153:N163" si="56">J153+F153</f>
        <v>4578</v>
      </c>
      <c r="O153" s="1021"/>
      <c r="P153" s="923">
        <v>1463</v>
      </c>
      <c r="Q153" s="908"/>
      <c r="R153" s="908">
        <v>5183</v>
      </c>
      <c r="S153" s="908"/>
      <c r="T153" s="908">
        <v>11</v>
      </c>
      <c r="U153" s="908">
        <v>221</v>
      </c>
      <c r="V153" s="908">
        <f t="shared" ref="V153:V163" si="57">T153+P153</f>
        <v>1474</v>
      </c>
      <c r="W153" s="1026"/>
      <c r="X153" s="908">
        <f t="shared" ref="X153:X159" si="58">U153+R153</f>
        <v>5404</v>
      </c>
      <c r="Y153" s="1021"/>
      <c r="Z153" s="965" t="s">
        <v>43</v>
      </c>
      <c r="AA153" s="1011"/>
      <c r="AB153" s="908">
        <v>7384</v>
      </c>
      <c r="AC153" s="1021"/>
      <c r="AD153" s="1029">
        <f t="shared" si="51"/>
        <v>11962</v>
      </c>
      <c r="AE153" s="1041"/>
      <c r="AF153" s="768">
        <v>2015</v>
      </c>
      <c r="AG153" s="1030" t="s">
        <v>78</v>
      </c>
      <c r="AH153" s="286"/>
    </row>
    <row r="154" spans="1:34" s="200" customFormat="1" ht="12.75" hidden="1" customHeight="1">
      <c r="A154" s="902"/>
      <c r="B154" s="874">
        <v>2015</v>
      </c>
      <c r="C154" s="370" t="s">
        <v>4</v>
      </c>
      <c r="D154" s="923">
        <v>2605</v>
      </c>
      <c r="E154" s="908"/>
      <c r="F154" s="908">
        <v>5470</v>
      </c>
      <c r="G154" s="908"/>
      <c r="H154" s="908">
        <v>10</v>
      </c>
      <c r="I154" s="908"/>
      <c r="J154" s="908">
        <v>317</v>
      </c>
      <c r="K154" s="908"/>
      <c r="L154" s="1029">
        <f t="shared" si="55"/>
        <v>2615</v>
      </c>
      <c r="M154" s="1029"/>
      <c r="N154" s="908">
        <f t="shared" si="56"/>
        <v>5787</v>
      </c>
      <c r="O154" s="1021"/>
      <c r="P154" s="923">
        <v>1557</v>
      </c>
      <c r="Q154" s="908"/>
      <c r="R154" s="908">
        <v>5831</v>
      </c>
      <c r="S154" s="908"/>
      <c r="T154" s="908">
        <v>9</v>
      </c>
      <c r="U154" s="908">
        <v>122</v>
      </c>
      <c r="V154" s="908">
        <f t="shared" si="57"/>
        <v>1566</v>
      </c>
      <c r="W154" s="1026"/>
      <c r="X154" s="908">
        <f t="shared" si="58"/>
        <v>5953</v>
      </c>
      <c r="Y154" s="1021"/>
      <c r="Z154" s="965" t="s">
        <v>43</v>
      </c>
      <c r="AA154" s="1011"/>
      <c r="AB154" s="908">
        <v>13430</v>
      </c>
      <c r="AC154" s="1021"/>
      <c r="AD154" s="1029">
        <f t="shared" si="51"/>
        <v>19217</v>
      </c>
      <c r="AE154" s="1041"/>
      <c r="AF154" s="768">
        <v>2015</v>
      </c>
      <c r="AG154" s="1030" t="s">
        <v>79</v>
      </c>
      <c r="AH154" s="286"/>
    </row>
    <row r="155" spans="1:34" s="200" customFormat="1" ht="12.75" hidden="1" customHeight="1">
      <c r="A155" s="902"/>
      <c r="B155" s="874">
        <v>2015</v>
      </c>
      <c r="C155" s="370" t="s">
        <v>30</v>
      </c>
      <c r="D155" s="923">
        <v>2012</v>
      </c>
      <c r="E155" s="908"/>
      <c r="F155" s="908">
        <v>7761</v>
      </c>
      <c r="G155" s="908"/>
      <c r="H155" s="908">
        <v>54</v>
      </c>
      <c r="I155" s="908"/>
      <c r="J155" s="908">
        <v>528</v>
      </c>
      <c r="K155" s="908"/>
      <c r="L155" s="1029">
        <f t="shared" si="55"/>
        <v>2066</v>
      </c>
      <c r="M155" s="1029"/>
      <c r="N155" s="908">
        <f t="shared" si="56"/>
        <v>8289</v>
      </c>
      <c r="O155" s="1021"/>
      <c r="P155" s="923">
        <v>1409</v>
      </c>
      <c r="Q155" s="908"/>
      <c r="R155" s="908">
        <v>7005</v>
      </c>
      <c r="S155" s="908"/>
      <c r="T155" s="908">
        <v>6</v>
      </c>
      <c r="U155" s="908">
        <v>273</v>
      </c>
      <c r="V155" s="908">
        <f t="shared" si="57"/>
        <v>1415</v>
      </c>
      <c r="W155" s="1026"/>
      <c r="X155" s="908">
        <f t="shared" si="58"/>
        <v>7278</v>
      </c>
      <c r="Y155" s="1021"/>
      <c r="Z155" s="965" t="s">
        <v>43</v>
      </c>
      <c r="AA155" s="1011"/>
      <c r="AB155" s="908">
        <v>8357</v>
      </c>
      <c r="AC155" s="1021"/>
      <c r="AD155" s="1029">
        <f t="shared" si="51"/>
        <v>16646</v>
      </c>
      <c r="AE155" s="1041"/>
      <c r="AF155" s="768">
        <v>2015</v>
      </c>
      <c r="AG155" s="1030" t="s">
        <v>80</v>
      </c>
      <c r="AH155" s="286"/>
    </row>
    <row r="156" spans="1:34" s="200" customFormat="1" ht="12.75" hidden="1" customHeight="1">
      <c r="A156" s="902"/>
      <c r="B156" s="874">
        <v>2015</v>
      </c>
      <c r="C156" s="370" t="s">
        <v>36</v>
      </c>
      <c r="D156" s="923">
        <v>2060</v>
      </c>
      <c r="E156" s="908"/>
      <c r="F156" s="908">
        <v>9727</v>
      </c>
      <c r="G156" s="908"/>
      <c r="H156" s="908">
        <v>40</v>
      </c>
      <c r="I156" s="908"/>
      <c r="J156" s="908">
        <v>304</v>
      </c>
      <c r="K156" s="908"/>
      <c r="L156" s="1029">
        <f t="shared" si="55"/>
        <v>2100</v>
      </c>
      <c r="M156" s="1029"/>
      <c r="N156" s="908">
        <f t="shared" si="56"/>
        <v>10031</v>
      </c>
      <c r="O156" s="1021"/>
      <c r="P156" s="923">
        <v>1703</v>
      </c>
      <c r="Q156" s="908"/>
      <c r="R156" s="908">
        <v>11070</v>
      </c>
      <c r="S156" s="908"/>
      <c r="T156" s="908">
        <v>12</v>
      </c>
      <c r="U156" s="908">
        <v>284</v>
      </c>
      <c r="V156" s="908">
        <f t="shared" si="57"/>
        <v>1715</v>
      </c>
      <c r="W156" s="1026"/>
      <c r="X156" s="908">
        <f t="shared" si="58"/>
        <v>11354</v>
      </c>
      <c r="Y156" s="1021"/>
      <c r="Z156" s="965" t="s">
        <v>43</v>
      </c>
      <c r="AA156" s="1011"/>
      <c r="AB156" s="908">
        <v>19023</v>
      </c>
      <c r="AC156" s="1021"/>
      <c r="AD156" s="1029">
        <f t="shared" si="51"/>
        <v>29054</v>
      </c>
      <c r="AE156" s="1041"/>
      <c r="AF156" s="768">
        <v>2015</v>
      </c>
      <c r="AG156" s="1030" t="s">
        <v>81</v>
      </c>
      <c r="AH156" s="286"/>
    </row>
    <row r="157" spans="1:34" s="200" customFormat="1" ht="12.75" hidden="1" customHeight="1">
      <c r="A157" s="902"/>
      <c r="B157" s="874">
        <v>2015</v>
      </c>
      <c r="C157" s="370" t="s">
        <v>37</v>
      </c>
      <c r="D157" s="923">
        <v>2054</v>
      </c>
      <c r="E157" s="908"/>
      <c r="F157" s="908">
        <v>8022</v>
      </c>
      <c r="G157" s="908"/>
      <c r="H157" s="908">
        <v>21</v>
      </c>
      <c r="I157" s="908"/>
      <c r="J157" s="908">
        <v>368</v>
      </c>
      <c r="K157" s="908"/>
      <c r="L157" s="1029">
        <f>H157+D157</f>
        <v>2075</v>
      </c>
      <c r="M157" s="1029"/>
      <c r="N157" s="908">
        <f t="shared" si="56"/>
        <v>8390</v>
      </c>
      <c r="O157" s="1021"/>
      <c r="P157" s="923">
        <v>1163</v>
      </c>
      <c r="Q157" s="908"/>
      <c r="R157" s="908">
        <v>7393</v>
      </c>
      <c r="S157" s="908"/>
      <c r="T157" s="908">
        <v>13</v>
      </c>
      <c r="U157" s="908">
        <v>412</v>
      </c>
      <c r="V157" s="908">
        <f t="shared" si="57"/>
        <v>1176</v>
      </c>
      <c r="W157" s="1026"/>
      <c r="X157" s="908">
        <f t="shared" si="58"/>
        <v>7805</v>
      </c>
      <c r="Y157" s="1021"/>
      <c r="Z157" s="965" t="s">
        <v>43</v>
      </c>
      <c r="AA157" s="1011"/>
      <c r="AB157" s="908">
        <v>13223</v>
      </c>
      <c r="AC157" s="1021"/>
      <c r="AD157" s="1029">
        <f t="shared" si="51"/>
        <v>21613</v>
      </c>
      <c r="AE157" s="1041"/>
      <c r="AF157" s="768">
        <v>2015</v>
      </c>
      <c r="AG157" s="1030" t="s">
        <v>82</v>
      </c>
      <c r="AH157" s="286"/>
    </row>
    <row r="158" spans="1:34" s="200" customFormat="1" ht="12.75" hidden="1" customHeight="1">
      <c r="A158" s="902"/>
      <c r="B158" s="874">
        <v>2015</v>
      </c>
      <c r="C158" s="370" t="s">
        <v>31</v>
      </c>
      <c r="D158" s="923">
        <v>2766</v>
      </c>
      <c r="E158" s="908"/>
      <c r="F158" s="908">
        <v>8712</v>
      </c>
      <c r="G158" s="908"/>
      <c r="H158" s="908">
        <v>9</v>
      </c>
      <c r="I158" s="908"/>
      <c r="J158" s="908">
        <v>459</v>
      </c>
      <c r="K158" s="908"/>
      <c r="L158" s="1029">
        <f>H158+D158</f>
        <v>2775</v>
      </c>
      <c r="M158" s="1029"/>
      <c r="N158" s="908">
        <f t="shared" si="56"/>
        <v>9171</v>
      </c>
      <c r="O158" s="1021"/>
      <c r="P158" s="923">
        <v>1234</v>
      </c>
      <c r="Q158" s="908"/>
      <c r="R158" s="908">
        <v>8817</v>
      </c>
      <c r="S158" s="908"/>
      <c r="T158" s="908">
        <v>3</v>
      </c>
      <c r="U158" s="908">
        <v>155</v>
      </c>
      <c r="V158" s="908">
        <f t="shared" si="57"/>
        <v>1237</v>
      </c>
      <c r="W158" s="1026"/>
      <c r="X158" s="908">
        <f t="shared" si="58"/>
        <v>8972</v>
      </c>
      <c r="Y158" s="1021"/>
      <c r="Z158" s="965" t="s">
        <v>43</v>
      </c>
      <c r="AA158" s="1011"/>
      <c r="AB158" s="908">
        <v>16708</v>
      </c>
      <c r="AC158" s="1021"/>
      <c r="AD158" s="908">
        <f t="shared" si="51"/>
        <v>25879</v>
      </c>
      <c r="AE158" s="1021"/>
      <c r="AF158" s="768">
        <v>2015</v>
      </c>
      <c r="AG158" s="892" t="s">
        <v>31</v>
      </c>
      <c r="AH158" s="286"/>
    </row>
    <row r="159" spans="1:34" s="200" customFormat="1" ht="12.75" hidden="1" customHeight="1">
      <c r="A159" s="902"/>
      <c r="B159" s="874">
        <v>2015</v>
      </c>
      <c r="C159" s="370" t="s">
        <v>38</v>
      </c>
      <c r="D159" s="923">
        <v>1951</v>
      </c>
      <c r="E159" s="908"/>
      <c r="F159" s="908">
        <v>8115</v>
      </c>
      <c r="G159" s="908"/>
      <c r="H159" s="908">
        <v>26</v>
      </c>
      <c r="I159" s="908"/>
      <c r="J159" s="908">
        <v>418</v>
      </c>
      <c r="K159" s="908"/>
      <c r="L159" s="1029">
        <f>D159+H159</f>
        <v>1977</v>
      </c>
      <c r="M159" s="1029"/>
      <c r="N159" s="908">
        <f t="shared" si="56"/>
        <v>8533</v>
      </c>
      <c r="O159" s="1021"/>
      <c r="P159" s="923">
        <v>2038</v>
      </c>
      <c r="Q159" s="908"/>
      <c r="R159" s="908">
        <v>10177</v>
      </c>
      <c r="S159" s="908"/>
      <c r="T159" s="908">
        <v>17</v>
      </c>
      <c r="U159" s="908">
        <v>400</v>
      </c>
      <c r="V159" s="908">
        <f t="shared" si="57"/>
        <v>2055</v>
      </c>
      <c r="W159" s="1026"/>
      <c r="X159" s="908">
        <f t="shared" si="58"/>
        <v>10577</v>
      </c>
      <c r="Y159" s="1021"/>
      <c r="Z159" s="965" t="s">
        <v>43</v>
      </c>
      <c r="AA159" s="1011"/>
      <c r="AB159" s="908">
        <v>21852</v>
      </c>
      <c r="AC159" s="1021"/>
      <c r="AD159" s="908">
        <f>N159+AB159</f>
        <v>30385</v>
      </c>
      <c r="AE159" s="1021"/>
      <c r="AF159" s="768">
        <v>2015</v>
      </c>
      <c r="AG159" s="892" t="s">
        <v>38</v>
      </c>
      <c r="AH159" s="286"/>
    </row>
    <row r="160" spans="1:34" s="200" customFormat="1" ht="12.75" hidden="1" customHeight="1">
      <c r="A160" s="902"/>
      <c r="B160" s="874">
        <v>2015</v>
      </c>
      <c r="C160" s="370" t="s">
        <v>39</v>
      </c>
      <c r="D160" s="923">
        <v>2598</v>
      </c>
      <c r="E160" s="908"/>
      <c r="F160" s="908">
        <v>6919</v>
      </c>
      <c r="G160" s="908"/>
      <c r="H160" s="908">
        <v>13</v>
      </c>
      <c r="I160" s="908"/>
      <c r="J160" s="908">
        <v>356</v>
      </c>
      <c r="K160" s="908"/>
      <c r="L160" s="1029">
        <f>D160+H160</f>
        <v>2611</v>
      </c>
      <c r="M160" s="1029"/>
      <c r="N160" s="908">
        <f t="shared" si="56"/>
        <v>7275</v>
      </c>
      <c r="O160" s="1021"/>
      <c r="P160" s="923">
        <v>2224</v>
      </c>
      <c r="Q160" s="908"/>
      <c r="R160" s="908">
        <v>7774</v>
      </c>
      <c r="S160" s="908"/>
      <c r="T160" s="908">
        <v>15</v>
      </c>
      <c r="U160" s="908">
        <v>275</v>
      </c>
      <c r="V160" s="908">
        <f t="shared" si="57"/>
        <v>2239</v>
      </c>
      <c r="W160" s="1026"/>
      <c r="X160" s="908">
        <f>R160+U160</f>
        <v>8049</v>
      </c>
      <c r="Y160" s="1021"/>
      <c r="Z160" s="965" t="s">
        <v>43</v>
      </c>
      <c r="AA160" s="1011"/>
      <c r="AB160" s="908">
        <v>18016</v>
      </c>
      <c r="AC160" s="1021"/>
      <c r="AD160" s="908">
        <f>N160+AB160</f>
        <v>25291</v>
      </c>
      <c r="AE160" s="1021"/>
      <c r="AF160" s="768">
        <v>2015</v>
      </c>
      <c r="AG160" s="892" t="s">
        <v>39</v>
      </c>
      <c r="AH160" s="286"/>
    </row>
    <row r="161" spans="1:34" s="200" customFormat="1" ht="12.75" hidden="1" customHeight="1">
      <c r="A161" s="902"/>
      <c r="B161" s="874">
        <v>2015</v>
      </c>
      <c r="C161" s="370" t="s">
        <v>32</v>
      </c>
      <c r="D161" s="923">
        <v>2514</v>
      </c>
      <c r="E161" s="908"/>
      <c r="F161" s="908">
        <v>8616</v>
      </c>
      <c r="G161" s="908"/>
      <c r="H161" s="908">
        <v>55</v>
      </c>
      <c r="I161" s="908"/>
      <c r="J161" s="908">
        <v>532</v>
      </c>
      <c r="K161" s="908"/>
      <c r="L161" s="1029">
        <f>D161+H161</f>
        <v>2569</v>
      </c>
      <c r="M161" s="1029"/>
      <c r="N161" s="908">
        <f t="shared" si="56"/>
        <v>9148</v>
      </c>
      <c r="O161" s="1021"/>
      <c r="P161" s="923">
        <v>1471</v>
      </c>
      <c r="Q161" s="908"/>
      <c r="R161" s="908">
        <v>8124</v>
      </c>
      <c r="S161" s="908"/>
      <c r="T161" s="908">
        <v>1</v>
      </c>
      <c r="U161" s="908">
        <v>275</v>
      </c>
      <c r="V161" s="908">
        <f t="shared" si="57"/>
        <v>1472</v>
      </c>
      <c r="W161" s="1026"/>
      <c r="X161" s="908">
        <f>U161+R161</f>
        <v>8399</v>
      </c>
      <c r="Y161" s="1021"/>
      <c r="Z161" s="965" t="s">
        <v>43</v>
      </c>
      <c r="AA161" s="1011"/>
      <c r="AB161" s="908">
        <v>31624</v>
      </c>
      <c r="AC161" s="1021"/>
      <c r="AD161" s="908">
        <f>N161+AB161</f>
        <v>40772</v>
      </c>
      <c r="AE161" s="1021"/>
      <c r="AF161" s="768">
        <v>2015</v>
      </c>
      <c r="AG161" s="892" t="s">
        <v>32</v>
      </c>
      <c r="AH161" s="286"/>
    </row>
    <row r="162" spans="1:34" s="200" customFormat="1" ht="12.75" hidden="1" customHeight="1">
      <c r="A162" s="902">
        <v>2016</v>
      </c>
      <c r="B162" s="874">
        <v>2016</v>
      </c>
      <c r="C162" s="370" t="s">
        <v>33</v>
      </c>
      <c r="D162" s="923">
        <v>2029</v>
      </c>
      <c r="E162" s="908"/>
      <c r="F162" s="908">
        <v>8081</v>
      </c>
      <c r="G162" s="908"/>
      <c r="H162" s="908">
        <v>20</v>
      </c>
      <c r="I162" s="908"/>
      <c r="J162" s="908">
        <v>398</v>
      </c>
      <c r="K162" s="908"/>
      <c r="L162" s="1029">
        <f>D162+H162</f>
        <v>2049</v>
      </c>
      <c r="M162" s="1029"/>
      <c r="N162" s="908">
        <f t="shared" si="56"/>
        <v>8479</v>
      </c>
      <c r="O162" s="1021"/>
      <c r="P162" s="923">
        <v>1644</v>
      </c>
      <c r="Q162" s="908"/>
      <c r="R162" s="908">
        <v>11475</v>
      </c>
      <c r="S162" s="908"/>
      <c r="T162" s="908">
        <v>14</v>
      </c>
      <c r="U162" s="908">
        <v>287</v>
      </c>
      <c r="V162" s="908">
        <f t="shared" si="57"/>
        <v>1658</v>
      </c>
      <c r="W162" s="1026"/>
      <c r="X162" s="908">
        <f>U162+R162</f>
        <v>11762</v>
      </c>
      <c r="Y162" s="1021"/>
      <c r="Z162" s="965" t="s">
        <v>43</v>
      </c>
      <c r="AA162" s="1011"/>
      <c r="AB162" s="908">
        <v>28070</v>
      </c>
      <c r="AC162" s="1021"/>
      <c r="AD162" s="908">
        <f>N162+AB162</f>
        <v>36549</v>
      </c>
      <c r="AE162" s="1021"/>
      <c r="AF162" s="768">
        <v>2016</v>
      </c>
      <c r="AG162" s="892" t="s">
        <v>33</v>
      </c>
      <c r="AH162" s="286"/>
    </row>
    <row r="163" spans="1:34" s="200" customFormat="1" ht="12.75" hidden="1" customHeight="1">
      <c r="A163" s="902"/>
      <c r="B163" s="874">
        <v>2016</v>
      </c>
      <c r="C163" s="370" t="s">
        <v>34</v>
      </c>
      <c r="D163" s="923">
        <v>1180</v>
      </c>
      <c r="E163" s="908"/>
      <c r="F163" s="908">
        <v>4018</v>
      </c>
      <c r="G163" s="908"/>
      <c r="H163" s="908">
        <v>38</v>
      </c>
      <c r="I163" s="908"/>
      <c r="J163" s="908">
        <v>256</v>
      </c>
      <c r="K163" s="908"/>
      <c r="L163" s="1029">
        <f>D163+H163</f>
        <v>1218</v>
      </c>
      <c r="M163" s="1029"/>
      <c r="N163" s="908">
        <f t="shared" si="56"/>
        <v>4274</v>
      </c>
      <c r="O163" s="1021"/>
      <c r="P163" s="923">
        <v>1760</v>
      </c>
      <c r="Q163" s="908"/>
      <c r="R163" s="908">
        <v>4491</v>
      </c>
      <c r="S163" s="908"/>
      <c r="T163" s="908">
        <v>13</v>
      </c>
      <c r="U163" s="908">
        <v>298</v>
      </c>
      <c r="V163" s="908">
        <f t="shared" si="57"/>
        <v>1773</v>
      </c>
      <c r="W163" s="1026"/>
      <c r="X163" s="908">
        <f>U163+R163</f>
        <v>4789</v>
      </c>
      <c r="Y163" s="1021"/>
      <c r="Z163" s="965" t="s">
        <v>43</v>
      </c>
      <c r="AA163" s="1011"/>
      <c r="AB163" s="908">
        <v>32021</v>
      </c>
      <c r="AC163" s="1021"/>
      <c r="AD163" s="908">
        <f t="shared" ref="AD163:AD172" si="59">AB163+N163</f>
        <v>36295</v>
      </c>
      <c r="AE163" s="1021"/>
      <c r="AF163" s="768">
        <v>2016</v>
      </c>
      <c r="AG163" s="892" t="str">
        <f>AG175</f>
        <v>Fév</v>
      </c>
      <c r="AH163" s="286"/>
    </row>
    <row r="164" spans="1:34" s="200" customFormat="1" ht="12.75" hidden="1" customHeight="1">
      <c r="A164" s="902"/>
      <c r="B164" s="874">
        <v>2016</v>
      </c>
      <c r="C164" s="370" t="s">
        <v>29</v>
      </c>
      <c r="D164" s="923">
        <v>1293</v>
      </c>
      <c r="E164" s="908"/>
      <c r="F164" s="908">
        <v>3902</v>
      </c>
      <c r="G164" s="908"/>
      <c r="H164" s="908">
        <v>1</v>
      </c>
      <c r="I164" s="908"/>
      <c r="J164" s="908">
        <v>253</v>
      </c>
      <c r="K164" s="908"/>
      <c r="L164" s="1029">
        <f t="shared" ref="L164:L175" si="60">D164+H164</f>
        <v>1294</v>
      </c>
      <c r="M164" s="1029"/>
      <c r="N164" s="908">
        <f t="shared" ref="N164:N175" si="61">J164+F164</f>
        <v>4155</v>
      </c>
      <c r="O164" s="1021"/>
      <c r="P164" s="923">
        <v>1350</v>
      </c>
      <c r="Q164" s="908"/>
      <c r="R164" s="908">
        <v>4202</v>
      </c>
      <c r="S164" s="908"/>
      <c r="T164" s="908">
        <v>10</v>
      </c>
      <c r="U164" s="908">
        <v>252</v>
      </c>
      <c r="V164" s="908">
        <f t="shared" ref="V164:V176" si="62">T164+P164</f>
        <v>1360</v>
      </c>
      <c r="W164" s="1026"/>
      <c r="X164" s="908">
        <f t="shared" ref="X164:X176" si="63">U164+R164</f>
        <v>4454</v>
      </c>
      <c r="Y164" s="1021"/>
      <c r="Z164" s="965" t="s">
        <v>43</v>
      </c>
      <c r="AA164" s="1011"/>
      <c r="AB164" s="908">
        <v>26776</v>
      </c>
      <c r="AC164" s="1021"/>
      <c r="AD164" s="908">
        <f t="shared" si="59"/>
        <v>30931</v>
      </c>
      <c r="AE164" s="1021"/>
      <c r="AF164" s="768">
        <v>2016</v>
      </c>
      <c r="AG164" s="892" t="s">
        <v>29</v>
      </c>
      <c r="AH164" s="286"/>
    </row>
    <row r="165" spans="1:34" s="200" customFormat="1" ht="12.75" hidden="1" customHeight="1">
      <c r="A165" s="902"/>
      <c r="B165" s="874">
        <v>2016</v>
      </c>
      <c r="C165" s="370" t="s">
        <v>35</v>
      </c>
      <c r="D165" s="923">
        <v>1757</v>
      </c>
      <c r="E165" s="908"/>
      <c r="F165" s="908">
        <v>5620</v>
      </c>
      <c r="G165" s="908"/>
      <c r="H165" s="908">
        <v>18</v>
      </c>
      <c r="I165" s="908"/>
      <c r="J165" s="908">
        <v>463</v>
      </c>
      <c r="K165" s="908"/>
      <c r="L165" s="1029">
        <f t="shared" si="60"/>
        <v>1775</v>
      </c>
      <c r="M165" s="1029"/>
      <c r="N165" s="908">
        <f t="shared" si="61"/>
        <v>6083</v>
      </c>
      <c r="O165" s="1021"/>
      <c r="P165" s="923">
        <v>1314</v>
      </c>
      <c r="Q165" s="908"/>
      <c r="R165" s="908">
        <v>6305</v>
      </c>
      <c r="S165" s="908"/>
      <c r="T165" s="908">
        <v>6</v>
      </c>
      <c r="U165" s="908">
        <v>382</v>
      </c>
      <c r="V165" s="908">
        <f t="shared" si="62"/>
        <v>1320</v>
      </c>
      <c r="W165" s="1026"/>
      <c r="X165" s="908">
        <f t="shared" si="63"/>
        <v>6687</v>
      </c>
      <c r="Y165" s="1021"/>
      <c r="Z165" s="965" t="s">
        <v>43</v>
      </c>
      <c r="AA165" s="1011"/>
      <c r="AB165" s="908">
        <v>16733</v>
      </c>
      <c r="AC165" s="1021"/>
      <c r="AD165" s="908">
        <f t="shared" si="59"/>
        <v>22816</v>
      </c>
      <c r="AE165" s="1021"/>
      <c r="AF165" s="768">
        <v>2016</v>
      </c>
      <c r="AG165" s="892" t="s">
        <v>78</v>
      </c>
      <c r="AH165" s="286"/>
    </row>
    <row r="166" spans="1:34" s="200" customFormat="1" ht="12.75" hidden="1" customHeight="1">
      <c r="A166" s="902"/>
      <c r="B166" s="874">
        <v>2016</v>
      </c>
      <c r="C166" s="370" t="s">
        <v>4</v>
      </c>
      <c r="D166" s="923">
        <v>2669</v>
      </c>
      <c r="E166" s="908"/>
      <c r="F166" s="908">
        <v>5377</v>
      </c>
      <c r="G166" s="908"/>
      <c r="H166" s="908">
        <v>74</v>
      </c>
      <c r="I166" s="908"/>
      <c r="J166" s="908">
        <v>365</v>
      </c>
      <c r="K166" s="908"/>
      <c r="L166" s="1029">
        <f t="shared" si="60"/>
        <v>2743</v>
      </c>
      <c r="M166" s="1029"/>
      <c r="N166" s="908">
        <f t="shared" si="61"/>
        <v>5742</v>
      </c>
      <c r="O166" s="1021"/>
      <c r="P166" s="923">
        <v>1530</v>
      </c>
      <c r="Q166" s="908"/>
      <c r="R166" s="908">
        <v>6506</v>
      </c>
      <c r="S166" s="908"/>
      <c r="T166" s="908">
        <v>39</v>
      </c>
      <c r="U166" s="908">
        <v>281</v>
      </c>
      <c r="V166" s="908">
        <f t="shared" si="62"/>
        <v>1569</v>
      </c>
      <c r="W166" s="1026"/>
      <c r="X166" s="908">
        <f t="shared" si="63"/>
        <v>6787</v>
      </c>
      <c r="Y166" s="1021"/>
      <c r="Z166" s="965" t="s">
        <v>43</v>
      </c>
      <c r="AA166" s="1011"/>
      <c r="AB166" s="908">
        <v>18186</v>
      </c>
      <c r="AC166" s="1021"/>
      <c r="AD166" s="908">
        <f t="shared" si="59"/>
        <v>23928</v>
      </c>
      <c r="AE166" s="1021"/>
      <c r="AF166" s="768">
        <v>2016</v>
      </c>
      <c r="AG166" s="892" t="s">
        <v>79</v>
      </c>
      <c r="AH166" s="286"/>
    </row>
    <row r="167" spans="1:34" s="200" customFormat="1" ht="12.75" hidden="1" customHeight="1">
      <c r="A167" s="902"/>
      <c r="B167" s="874">
        <v>2016</v>
      </c>
      <c r="C167" s="1031" t="s">
        <v>30</v>
      </c>
      <c r="D167" s="923">
        <v>2512</v>
      </c>
      <c r="E167" s="908"/>
      <c r="F167" s="908">
        <v>8653</v>
      </c>
      <c r="G167" s="908"/>
      <c r="H167" s="908">
        <v>44</v>
      </c>
      <c r="I167" s="908"/>
      <c r="J167" s="908">
        <v>505</v>
      </c>
      <c r="K167" s="908"/>
      <c r="L167" s="1029">
        <f t="shared" si="60"/>
        <v>2556</v>
      </c>
      <c r="M167" s="1029"/>
      <c r="N167" s="908">
        <f t="shared" si="61"/>
        <v>9158</v>
      </c>
      <c r="O167" s="1021"/>
      <c r="P167" s="923">
        <v>1426</v>
      </c>
      <c r="Q167" s="908"/>
      <c r="R167" s="908">
        <v>8208</v>
      </c>
      <c r="S167" s="908"/>
      <c r="T167" s="908">
        <v>9</v>
      </c>
      <c r="U167" s="908">
        <v>326</v>
      </c>
      <c r="V167" s="908">
        <f t="shared" si="62"/>
        <v>1435</v>
      </c>
      <c r="W167" s="1026"/>
      <c r="X167" s="908">
        <f t="shared" si="63"/>
        <v>8534</v>
      </c>
      <c r="Y167" s="1021"/>
      <c r="Z167" s="965" t="s">
        <v>43</v>
      </c>
      <c r="AA167" s="1011"/>
      <c r="AB167" s="908">
        <v>15737</v>
      </c>
      <c r="AC167" s="1021"/>
      <c r="AD167" s="908">
        <f t="shared" si="59"/>
        <v>24895</v>
      </c>
      <c r="AE167" s="1021"/>
      <c r="AF167" s="768">
        <v>2016</v>
      </c>
      <c r="AG167" s="892" t="s">
        <v>80</v>
      </c>
      <c r="AH167" s="286"/>
    </row>
    <row r="168" spans="1:34" s="200" customFormat="1" ht="12.75" hidden="1" customHeight="1">
      <c r="A168" s="902"/>
      <c r="B168" s="874">
        <v>2016</v>
      </c>
      <c r="C168" s="1031" t="s">
        <v>36</v>
      </c>
      <c r="D168" s="923">
        <v>1887</v>
      </c>
      <c r="E168" s="908"/>
      <c r="F168" s="908">
        <v>10297</v>
      </c>
      <c r="G168" s="908"/>
      <c r="H168" s="908">
        <v>25</v>
      </c>
      <c r="I168" s="908"/>
      <c r="J168" s="908">
        <v>567</v>
      </c>
      <c r="K168" s="908"/>
      <c r="L168" s="1029">
        <f t="shared" si="60"/>
        <v>1912</v>
      </c>
      <c r="M168" s="1029"/>
      <c r="N168" s="908">
        <f t="shared" si="61"/>
        <v>10864</v>
      </c>
      <c r="O168" s="1021"/>
      <c r="P168" s="923">
        <v>1739</v>
      </c>
      <c r="Q168" s="908"/>
      <c r="R168" s="908">
        <v>11353</v>
      </c>
      <c r="S168" s="908"/>
      <c r="T168" s="908">
        <v>12</v>
      </c>
      <c r="U168" s="908">
        <v>433</v>
      </c>
      <c r="V168" s="908">
        <f t="shared" si="62"/>
        <v>1751</v>
      </c>
      <c r="W168" s="1026"/>
      <c r="X168" s="908">
        <f t="shared" si="63"/>
        <v>11786</v>
      </c>
      <c r="Y168" s="1021"/>
      <c r="Z168" s="965" t="s">
        <v>43</v>
      </c>
      <c r="AA168" s="1011"/>
      <c r="AB168" s="908">
        <v>17242</v>
      </c>
      <c r="AC168" s="1021"/>
      <c r="AD168" s="908">
        <f t="shared" si="59"/>
        <v>28106</v>
      </c>
      <c r="AE168" s="1021"/>
      <c r="AF168" s="768">
        <v>2016</v>
      </c>
      <c r="AG168" s="892" t="s">
        <v>81</v>
      </c>
      <c r="AH168" s="286"/>
    </row>
    <row r="169" spans="1:34" s="200" customFormat="1" ht="12.75" hidden="1" customHeight="1">
      <c r="A169" s="902"/>
      <c r="B169" s="874">
        <v>2016</v>
      </c>
      <c r="C169" s="1031" t="s">
        <v>37</v>
      </c>
      <c r="D169" s="923">
        <v>1836</v>
      </c>
      <c r="E169" s="908"/>
      <c r="F169" s="908">
        <v>8960</v>
      </c>
      <c r="G169" s="908"/>
      <c r="H169" s="908">
        <v>37</v>
      </c>
      <c r="I169" s="908"/>
      <c r="J169" s="908">
        <v>859</v>
      </c>
      <c r="K169" s="908"/>
      <c r="L169" s="1029">
        <f t="shared" si="60"/>
        <v>1873</v>
      </c>
      <c r="M169" s="1029"/>
      <c r="N169" s="908">
        <f t="shared" si="61"/>
        <v>9819</v>
      </c>
      <c r="O169" s="1021"/>
      <c r="P169" s="923">
        <v>1774</v>
      </c>
      <c r="Q169" s="908"/>
      <c r="R169" s="908">
        <v>9339</v>
      </c>
      <c r="S169" s="908"/>
      <c r="T169" s="908">
        <v>17</v>
      </c>
      <c r="U169" s="908">
        <v>548</v>
      </c>
      <c r="V169" s="908">
        <f t="shared" si="62"/>
        <v>1791</v>
      </c>
      <c r="W169" s="1026"/>
      <c r="X169" s="908">
        <f t="shared" si="63"/>
        <v>9887</v>
      </c>
      <c r="Y169" s="1021"/>
      <c r="Z169" s="965" t="s">
        <v>43</v>
      </c>
      <c r="AA169" s="1011"/>
      <c r="AB169" s="908">
        <v>9403</v>
      </c>
      <c r="AC169" s="1021"/>
      <c r="AD169" s="908">
        <f t="shared" si="59"/>
        <v>19222</v>
      </c>
      <c r="AE169" s="1021"/>
      <c r="AF169" s="768">
        <v>2016</v>
      </c>
      <c r="AG169" s="892" t="s">
        <v>82</v>
      </c>
      <c r="AH169" s="286"/>
    </row>
    <row r="170" spans="1:34" s="365" customFormat="1" ht="12.75" hidden="1" customHeight="1">
      <c r="A170" s="1032"/>
      <c r="B170" s="1033">
        <v>2016</v>
      </c>
      <c r="C170" s="1034" t="s">
        <v>31</v>
      </c>
      <c r="D170" s="923">
        <v>2556</v>
      </c>
      <c r="E170" s="908"/>
      <c r="F170" s="908">
        <v>9099</v>
      </c>
      <c r="G170" s="908"/>
      <c r="H170" s="908">
        <v>17</v>
      </c>
      <c r="I170" s="908"/>
      <c r="J170" s="908">
        <v>573</v>
      </c>
      <c r="K170" s="908"/>
      <c r="L170" s="1029">
        <f t="shared" si="60"/>
        <v>2573</v>
      </c>
      <c r="M170" s="1029"/>
      <c r="N170" s="908">
        <f t="shared" si="61"/>
        <v>9672</v>
      </c>
      <c r="O170" s="1021"/>
      <c r="P170" s="923">
        <v>1485</v>
      </c>
      <c r="Q170" s="908"/>
      <c r="R170" s="908">
        <v>8760</v>
      </c>
      <c r="S170" s="908"/>
      <c r="T170" s="1035">
        <v>13</v>
      </c>
      <c r="U170" s="1035">
        <v>423</v>
      </c>
      <c r="V170" s="908">
        <f t="shared" si="62"/>
        <v>1498</v>
      </c>
      <c r="W170" s="1036"/>
      <c r="X170" s="908">
        <f t="shared" si="63"/>
        <v>9183</v>
      </c>
      <c r="Y170" s="1037"/>
      <c r="Z170" s="965" t="s">
        <v>43</v>
      </c>
      <c r="AA170" s="1011"/>
      <c r="AB170" s="908">
        <v>15825</v>
      </c>
      <c r="AC170" s="1021"/>
      <c r="AD170" s="1035">
        <f t="shared" si="59"/>
        <v>25497</v>
      </c>
      <c r="AE170" s="1037"/>
      <c r="AF170" s="1038">
        <v>2016</v>
      </c>
      <c r="AG170" s="1039" t="s">
        <v>31</v>
      </c>
      <c r="AH170" s="364"/>
    </row>
    <row r="171" spans="1:34" s="200" customFormat="1" ht="12.75" hidden="1" customHeight="1">
      <c r="A171" s="902"/>
      <c r="B171" s="874">
        <v>2016</v>
      </c>
      <c r="C171" s="1031" t="s">
        <v>38</v>
      </c>
      <c r="D171" s="923">
        <v>1791</v>
      </c>
      <c r="E171" s="908"/>
      <c r="F171" s="908">
        <v>9127</v>
      </c>
      <c r="G171" s="908"/>
      <c r="H171" s="908">
        <v>22</v>
      </c>
      <c r="I171" s="908"/>
      <c r="J171" s="908">
        <v>484</v>
      </c>
      <c r="K171" s="908"/>
      <c r="L171" s="1029">
        <f t="shared" si="60"/>
        <v>1813</v>
      </c>
      <c r="M171" s="1029"/>
      <c r="N171" s="908">
        <f t="shared" si="61"/>
        <v>9611</v>
      </c>
      <c r="O171" s="1021"/>
      <c r="P171" s="923">
        <v>1540</v>
      </c>
      <c r="Q171" s="908"/>
      <c r="R171" s="908">
        <v>4808</v>
      </c>
      <c r="S171" s="908"/>
      <c r="T171" s="908">
        <v>14</v>
      </c>
      <c r="U171" s="908">
        <v>402</v>
      </c>
      <c r="V171" s="908">
        <f t="shared" si="62"/>
        <v>1554</v>
      </c>
      <c r="W171" s="1026"/>
      <c r="X171" s="908">
        <f t="shared" si="63"/>
        <v>5210</v>
      </c>
      <c r="Y171" s="1021"/>
      <c r="Z171" s="965" t="s">
        <v>43</v>
      </c>
      <c r="AA171" s="1011"/>
      <c r="AB171" s="908">
        <v>17340</v>
      </c>
      <c r="AC171" s="1021"/>
      <c r="AD171" s="908">
        <f t="shared" si="59"/>
        <v>26951</v>
      </c>
      <c r="AE171" s="1021"/>
      <c r="AF171" s="768">
        <v>2016</v>
      </c>
      <c r="AG171" s="892" t="s">
        <v>38</v>
      </c>
      <c r="AH171" s="286"/>
    </row>
    <row r="172" spans="1:34" s="200" customFormat="1" ht="12.75" hidden="1" customHeight="1">
      <c r="A172" s="902"/>
      <c r="B172" s="874">
        <v>2016</v>
      </c>
      <c r="C172" s="1031" t="s">
        <v>39</v>
      </c>
      <c r="D172" s="923">
        <v>2363</v>
      </c>
      <c r="E172" s="908"/>
      <c r="F172" s="908">
        <v>7040</v>
      </c>
      <c r="G172" s="908"/>
      <c r="H172" s="908">
        <v>23</v>
      </c>
      <c r="I172" s="908"/>
      <c r="J172" s="908">
        <v>471</v>
      </c>
      <c r="K172" s="908"/>
      <c r="L172" s="1029">
        <f t="shared" si="60"/>
        <v>2386</v>
      </c>
      <c r="M172" s="1029"/>
      <c r="N172" s="908">
        <f t="shared" si="61"/>
        <v>7511</v>
      </c>
      <c r="O172" s="1021"/>
      <c r="P172" s="923">
        <v>2465</v>
      </c>
      <c r="Q172" s="908"/>
      <c r="R172" s="908">
        <v>7917</v>
      </c>
      <c r="S172" s="908"/>
      <c r="T172" s="908">
        <v>14</v>
      </c>
      <c r="U172" s="908">
        <v>352</v>
      </c>
      <c r="V172" s="908">
        <f t="shared" si="62"/>
        <v>2479</v>
      </c>
      <c r="W172" s="1026"/>
      <c r="X172" s="908">
        <f t="shared" si="63"/>
        <v>8269</v>
      </c>
      <c r="Y172" s="1021"/>
      <c r="Z172" s="965" t="s">
        <v>43</v>
      </c>
      <c r="AA172" s="1011"/>
      <c r="AB172" s="908">
        <v>20205</v>
      </c>
      <c r="AC172" s="1021"/>
      <c r="AD172" s="908">
        <f t="shared" si="59"/>
        <v>27716</v>
      </c>
      <c r="AE172" s="1021"/>
      <c r="AF172" s="768">
        <v>2016</v>
      </c>
      <c r="AG172" s="892" t="s">
        <v>39</v>
      </c>
      <c r="AH172" s="286"/>
    </row>
    <row r="173" spans="1:34" s="200" customFormat="1" ht="12.75" hidden="1" customHeight="1">
      <c r="A173" s="902"/>
      <c r="B173" s="874">
        <v>2016</v>
      </c>
      <c r="C173" s="1031" t="s">
        <v>32</v>
      </c>
      <c r="D173" s="923">
        <v>2928</v>
      </c>
      <c r="E173" s="908"/>
      <c r="F173" s="908">
        <v>9184</v>
      </c>
      <c r="G173" s="908"/>
      <c r="H173" s="908">
        <v>40</v>
      </c>
      <c r="I173" s="908"/>
      <c r="J173" s="908">
        <v>565</v>
      </c>
      <c r="K173" s="908"/>
      <c r="L173" s="1029">
        <f t="shared" si="60"/>
        <v>2968</v>
      </c>
      <c r="M173" s="1029"/>
      <c r="N173" s="908">
        <f t="shared" si="61"/>
        <v>9749</v>
      </c>
      <c r="O173" s="1021"/>
      <c r="P173" s="1012">
        <v>2091</v>
      </c>
      <c r="Q173" s="965"/>
      <c r="R173" s="965">
        <v>7700</v>
      </c>
      <c r="S173" s="965"/>
      <c r="T173" s="965">
        <v>4</v>
      </c>
      <c r="U173" s="965">
        <v>422</v>
      </c>
      <c r="V173" s="908">
        <f t="shared" si="62"/>
        <v>2095</v>
      </c>
      <c r="W173" s="1040"/>
      <c r="X173" s="908">
        <f t="shared" si="63"/>
        <v>8122</v>
      </c>
      <c r="Y173" s="1021"/>
      <c r="Z173" s="965" t="s">
        <v>43</v>
      </c>
      <c r="AA173" s="1011"/>
      <c r="AB173" s="908">
        <v>38944</v>
      </c>
      <c r="AC173" s="1021"/>
      <c r="AD173" s="908">
        <f>N173+AB173</f>
        <v>48693</v>
      </c>
      <c r="AE173" s="1021"/>
      <c r="AF173" s="768">
        <v>2016</v>
      </c>
      <c r="AG173" s="892" t="s">
        <v>32</v>
      </c>
      <c r="AH173" s="286"/>
    </row>
    <row r="174" spans="1:34" s="200" customFormat="1" ht="12.75" hidden="1" customHeight="1">
      <c r="A174" s="902"/>
      <c r="B174" s="874">
        <v>2017</v>
      </c>
      <c r="C174" s="1031" t="s">
        <v>33</v>
      </c>
      <c r="D174" s="923">
        <v>2418</v>
      </c>
      <c r="E174" s="908"/>
      <c r="F174" s="908">
        <v>8503</v>
      </c>
      <c r="G174" s="908"/>
      <c r="H174" s="908">
        <v>19</v>
      </c>
      <c r="I174" s="908"/>
      <c r="J174" s="908">
        <v>454</v>
      </c>
      <c r="K174" s="908"/>
      <c r="L174" s="1029">
        <f t="shared" si="60"/>
        <v>2437</v>
      </c>
      <c r="M174" s="1029"/>
      <c r="N174" s="908">
        <f t="shared" si="61"/>
        <v>8957</v>
      </c>
      <c r="O174" s="1021"/>
      <c r="P174" s="923">
        <v>2229</v>
      </c>
      <c r="Q174" s="908"/>
      <c r="R174" s="908">
        <v>10645</v>
      </c>
      <c r="S174" s="908"/>
      <c r="T174" s="908">
        <v>22</v>
      </c>
      <c r="U174" s="908">
        <v>433</v>
      </c>
      <c r="V174" s="908">
        <f t="shared" si="62"/>
        <v>2251</v>
      </c>
      <c r="W174" s="1026"/>
      <c r="X174" s="908">
        <f t="shared" si="63"/>
        <v>11078</v>
      </c>
      <c r="Y174" s="1021"/>
      <c r="Z174" s="965" t="s">
        <v>43</v>
      </c>
      <c r="AA174" s="1011"/>
      <c r="AB174" s="908">
        <v>31548</v>
      </c>
      <c r="AC174" s="1021"/>
      <c r="AD174" s="908">
        <f>N174+AB174</f>
        <v>40505</v>
      </c>
      <c r="AE174" s="1021"/>
      <c r="AF174" s="768">
        <v>2017</v>
      </c>
      <c r="AG174" s="892" t="s">
        <v>33</v>
      </c>
      <c r="AH174" s="286"/>
    </row>
    <row r="175" spans="1:34" s="200" customFormat="1" ht="12.75" hidden="1" customHeight="1">
      <c r="A175" s="902"/>
      <c r="B175" s="874">
        <v>2017</v>
      </c>
      <c r="C175" s="1031" t="str">
        <f>C127</f>
        <v>Feb</v>
      </c>
      <c r="D175" s="923">
        <v>1405</v>
      </c>
      <c r="E175" s="908"/>
      <c r="F175" s="908">
        <v>5307</v>
      </c>
      <c r="G175" s="908"/>
      <c r="H175" s="908">
        <v>33</v>
      </c>
      <c r="I175" s="908"/>
      <c r="J175" s="908">
        <v>303</v>
      </c>
      <c r="K175" s="908"/>
      <c r="L175" s="1029">
        <f t="shared" si="60"/>
        <v>1438</v>
      </c>
      <c r="M175" s="1029"/>
      <c r="N175" s="908">
        <f t="shared" si="61"/>
        <v>5610</v>
      </c>
      <c r="O175" s="1021"/>
      <c r="P175" s="923">
        <v>1997</v>
      </c>
      <c r="Q175" s="908"/>
      <c r="R175" s="908">
        <v>5081</v>
      </c>
      <c r="S175" s="908"/>
      <c r="T175" s="908">
        <v>8</v>
      </c>
      <c r="U175" s="908">
        <v>184</v>
      </c>
      <c r="V175" s="908">
        <f t="shared" si="62"/>
        <v>2005</v>
      </c>
      <c r="W175" s="1026"/>
      <c r="X175" s="908">
        <f t="shared" si="63"/>
        <v>5265</v>
      </c>
      <c r="Y175" s="1021"/>
      <c r="Z175" s="965" t="s">
        <v>43</v>
      </c>
      <c r="AA175" s="1011"/>
      <c r="AB175" s="908">
        <v>18628</v>
      </c>
      <c r="AC175" s="1021"/>
      <c r="AD175" s="908">
        <f t="shared" ref="AD175:AD183" si="64">AB175+N175</f>
        <v>24238</v>
      </c>
      <c r="AE175" s="1021"/>
      <c r="AF175" s="768">
        <v>2017</v>
      </c>
      <c r="AG175" s="892" t="str">
        <f>'Tab 3.Count of usual residence'!Z176</f>
        <v>Fév</v>
      </c>
      <c r="AH175" s="286"/>
    </row>
    <row r="176" spans="1:34" s="200" customFormat="1" ht="12.75" hidden="1" customHeight="1">
      <c r="A176" s="902"/>
      <c r="B176" s="874">
        <v>2017</v>
      </c>
      <c r="C176" s="1031" t="s">
        <v>29</v>
      </c>
      <c r="D176" s="923">
        <v>1633</v>
      </c>
      <c r="E176" s="908"/>
      <c r="F176" s="908">
        <v>6113</v>
      </c>
      <c r="G176" s="908"/>
      <c r="H176" s="908">
        <v>60</v>
      </c>
      <c r="I176" s="908"/>
      <c r="J176" s="908">
        <v>243</v>
      </c>
      <c r="K176" s="908"/>
      <c r="L176" s="1029">
        <f t="shared" ref="L176:L181" si="65">D176+H176</f>
        <v>1693</v>
      </c>
      <c r="M176" s="1029"/>
      <c r="N176" s="908">
        <f>J176+F176</f>
        <v>6356</v>
      </c>
      <c r="O176" s="1021"/>
      <c r="P176" s="923">
        <v>2629</v>
      </c>
      <c r="Q176" s="908"/>
      <c r="R176" s="908">
        <v>5672</v>
      </c>
      <c r="S176" s="908"/>
      <c r="T176" s="908">
        <v>10</v>
      </c>
      <c r="U176" s="908">
        <v>213</v>
      </c>
      <c r="V176" s="908">
        <f t="shared" si="62"/>
        <v>2639</v>
      </c>
      <c r="W176" s="1026"/>
      <c r="X176" s="908">
        <f t="shared" si="63"/>
        <v>5885</v>
      </c>
      <c r="Y176" s="1021"/>
      <c r="Z176" s="965" t="s">
        <v>43</v>
      </c>
      <c r="AA176" s="1011"/>
      <c r="AB176" s="908">
        <v>19242</v>
      </c>
      <c r="AC176" s="1021"/>
      <c r="AD176" s="908">
        <f t="shared" si="64"/>
        <v>25598</v>
      </c>
      <c r="AE176" s="1021"/>
      <c r="AF176" s="768">
        <v>2017</v>
      </c>
      <c r="AG176" s="892" t="str">
        <f>AG164</f>
        <v>Mar</v>
      </c>
      <c r="AH176" s="286"/>
    </row>
    <row r="177" spans="1:41" s="200" customFormat="1" ht="12.75" hidden="1" customHeight="1">
      <c r="A177" s="902"/>
      <c r="B177" s="874">
        <v>2017</v>
      </c>
      <c r="C177" s="1031" t="s">
        <v>35</v>
      </c>
      <c r="D177" s="923">
        <v>2571</v>
      </c>
      <c r="E177" s="908"/>
      <c r="F177" s="908">
        <v>8520</v>
      </c>
      <c r="G177" s="908"/>
      <c r="H177" s="908">
        <v>65</v>
      </c>
      <c r="I177" s="908"/>
      <c r="J177" s="908">
        <v>415</v>
      </c>
      <c r="K177" s="908"/>
      <c r="L177" s="1029">
        <f t="shared" si="65"/>
        <v>2636</v>
      </c>
      <c r="M177" s="1029"/>
      <c r="N177" s="908">
        <f>J177+F177</f>
        <v>8935</v>
      </c>
      <c r="O177" s="1021"/>
      <c r="P177" s="923">
        <v>2201</v>
      </c>
      <c r="Q177" s="908"/>
      <c r="R177" s="908">
        <v>8694</v>
      </c>
      <c r="S177" s="908"/>
      <c r="T177" s="908">
        <v>27</v>
      </c>
      <c r="U177" s="908">
        <v>348</v>
      </c>
      <c r="V177" s="908">
        <f>T177+P177</f>
        <v>2228</v>
      </c>
      <c r="W177" s="1026"/>
      <c r="X177" s="908">
        <f>U177+R177</f>
        <v>9042</v>
      </c>
      <c r="Y177" s="1021"/>
      <c r="Z177" s="965" t="s">
        <v>43</v>
      </c>
      <c r="AA177" s="1011"/>
      <c r="AB177" s="908">
        <v>20407</v>
      </c>
      <c r="AC177" s="1021"/>
      <c r="AD177" s="908">
        <f t="shared" si="64"/>
        <v>29342</v>
      </c>
      <c r="AE177" s="1021"/>
      <c r="AF177" s="768">
        <v>2017</v>
      </c>
      <c r="AG177" s="892" t="s">
        <v>78</v>
      </c>
      <c r="AH177" s="286"/>
    </row>
    <row r="178" spans="1:41" s="200" customFormat="1" ht="12.75" hidden="1" customHeight="1">
      <c r="A178" s="902"/>
      <c r="B178" s="874">
        <v>2017</v>
      </c>
      <c r="C178" s="1031" t="s">
        <v>4</v>
      </c>
      <c r="D178" s="923">
        <v>2932</v>
      </c>
      <c r="E178" s="908"/>
      <c r="F178" s="908">
        <v>6776</v>
      </c>
      <c r="G178" s="908"/>
      <c r="H178" s="908">
        <v>70</v>
      </c>
      <c r="I178" s="908"/>
      <c r="J178" s="908">
        <v>403</v>
      </c>
      <c r="K178" s="908"/>
      <c r="L178" s="1029">
        <f t="shared" si="65"/>
        <v>3002</v>
      </c>
      <c r="M178" s="1029"/>
      <c r="N178" s="908">
        <f>F178+J178</f>
        <v>7179</v>
      </c>
      <c r="O178" s="1021"/>
      <c r="P178" s="923">
        <v>2138</v>
      </c>
      <c r="Q178" s="908"/>
      <c r="R178" s="908">
        <v>7182</v>
      </c>
      <c r="S178" s="908"/>
      <c r="T178" s="908">
        <v>39</v>
      </c>
      <c r="U178" s="908">
        <v>304</v>
      </c>
      <c r="V178" s="908">
        <f>T178+P178</f>
        <v>2177</v>
      </c>
      <c r="W178" s="1026"/>
      <c r="X178" s="908">
        <f>U178+R178</f>
        <v>7486</v>
      </c>
      <c r="Y178" s="1021"/>
      <c r="Z178" s="965" t="s">
        <v>43</v>
      </c>
      <c r="AA178" s="1011"/>
      <c r="AB178" s="908">
        <v>10642</v>
      </c>
      <c r="AC178" s="1021"/>
      <c r="AD178" s="908">
        <f t="shared" si="64"/>
        <v>17821</v>
      </c>
      <c r="AE178" s="1021"/>
      <c r="AF178" s="768">
        <v>2017</v>
      </c>
      <c r="AG178" s="892" t="s">
        <v>79</v>
      </c>
      <c r="AH178" s="286"/>
    </row>
    <row r="179" spans="1:41" s="200" customFormat="1" ht="12.75" hidden="1" customHeight="1">
      <c r="A179" s="902"/>
      <c r="B179" s="874">
        <v>2017</v>
      </c>
      <c r="C179" s="1031" t="s">
        <v>30</v>
      </c>
      <c r="D179" s="923">
        <v>2420</v>
      </c>
      <c r="E179" s="908"/>
      <c r="F179" s="908">
        <v>9008</v>
      </c>
      <c r="G179" s="908"/>
      <c r="H179" s="908">
        <v>50</v>
      </c>
      <c r="I179" s="908"/>
      <c r="J179" s="908">
        <v>492</v>
      </c>
      <c r="K179" s="908"/>
      <c r="L179" s="1029">
        <f t="shared" si="65"/>
        <v>2470</v>
      </c>
      <c r="M179" s="1029"/>
      <c r="N179" s="908">
        <f>F179+J179</f>
        <v>9500</v>
      </c>
      <c r="O179" s="1021"/>
      <c r="P179" s="923">
        <v>1697</v>
      </c>
      <c r="Q179" s="908"/>
      <c r="R179" s="908">
        <v>7991</v>
      </c>
      <c r="S179" s="908"/>
      <c r="T179" s="908">
        <v>23</v>
      </c>
      <c r="U179" s="908">
        <v>270</v>
      </c>
      <c r="V179" s="908">
        <f>T179+P179</f>
        <v>1720</v>
      </c>
      <c r="W179" s="908"/>
      <c r="X179" s="908">
        <f>U179+R179</f>
        <v>8261</v>
      </c>
      <c r="Y179" s="1021"/>
      <c r="Z179" s="965" t="s">
        <v>43</v>
      </c>
      <c r="AA179" s="1011"/>
      <c r="AB179" s="908">
        <v>11149</v>
      </c>
      <c r="AC179" s="1021"/>
      <c r="AD179" s="908">
        <f t="shared" si="64"/>
        <v>20649</v>
      </c>
      <c r="AE179" s="1021"/>
      <c r="AF179" s="768">
        <v>2017</v>
      </c>
      <c r="AG179" s="892" t="s">
        <v>80</v>
      </c>
      <c r="AH179" s="286"/>
    </row>
    <row r="180" spans="1:41" s="200" customFormat="1" ht="12.75" hidden="1" customHeight="1">
      <c r="A180" s="902"/>
      <c r="B180" s="874">
        <v>2017</v>
      </c>
      <c r="C180" s="1031" t="s">
        <v>36</v>
      </c>
      <c r="D180" s="923">
        <v>1865</v>
      </c>
      <c r="E180" s="908"/>
      <c r="F180" s="908">
        <v>11134</v>
      </c>
      <c r="G180" s="908"/>
      <c r="H180" s="908">
        <v>95</v>
      </c>
      <c r="I180" s="908"/>
      <c r="J180" s="908">
        <v>921</v>
      </c>
      <c r="K180" s="908"/>
      <c r="L180" s="1029">
        <f t="shared" si="65"/>
        <v>1960</v>
      </c>
      <c r="M180" s="1029"/>
      <c r="N180" s="908">
        <f>F180+J180</f>
        <v>12055</v>
      </c>
      <c r="O180" s="1021"/>
      <c r="P180" s="923">
        <v>1927</v>
      </c>
      <c r="Q180" s="1042"/>
      <c r="R180" s="908">
        <v>12533</v>
      </c>
      <c r="S180" s="1042"/>
      <c r="T180" s="908">
        <v>34</v>
      </c>
      <c r="U180" s="908">
        <v>322</v>
      </c>
      <c r="V180" s="908">
        <f>T180+P180</f>
        <v>1961</v>
      </c>
      <c r="W180" s="908"/>
      <c r="X180" s="908">
        <f>U180+R180</f>
        <v>12855</v>
      </c>
      <c r="Y180" s="1021"/>
      <c r="Z180" s="965" t="s">
        <v>43</v>
      </c>
      <c r="AA180" s="1011"/>
      <c r="AB180" s="908">
        <v>10983</v>
      </c>
      <c r="AC180" s="1021"/>
      <c r="AD180" s="908">
        <f t="shared" si="64"/>
        <v>23038</v>
      </c>
      <c r="AE180" s="1021"/>
      <c r="AF180" s="768">
        <v>2017</v>
      </c>
      <c r="AG180" s="892" t="s">
        <v>81</v>
      </c>
      <c r="AH180" s="286"/>
      <c r="AK180" s="202"/>
      <c r="AO180" s="374"/>
    </row>
    <row r="181" spans="1:41" s="200" customFormat="1" ht="12.75" hidden="1" customHeight="1">
      <c r="A181" s="902"/>
      <c r="B181" s="874">
        <v>2017</v>
      </c>
      <c r="C181" s="1031" t="s">
        <v>37</v>
      </c>
      <c r="D181" s="923">
        <v>1468</v>
      </c>
      <c r="E181" s="908"/>
      <c r="F181" s="908">
        <v>7840</v>
      </c>
      <c r="G181" s="908"/>
      <c r="H181" s="908">
        <v>83</v>
      </c>
      <c r="I181" s="908"/>
      <c r="J181" s="908">
        <v>461</v>
      </c>
      <c r="K181" s="908"/>
      <c r="L181" s="1029">
        <f t="shared" si="65"/>
        <v>1551</v>
      </c>
      <c r="M181" s="1029"/>
      <c r="N181" s="908">
        <f>F181+J181</f>
        <v>8301</v>
      </c>
      <c r="O181" s="1021"/>
      <c r="P181" s="923">
        <v>1733</v>
      </c>
      <c r="Q181" s="908"/>
      <c r="R181" s="908">
        <v>8446</v>
      </c>
      <c r="S181" s="908"/>
      <c r="T181" s="908">
        <v>57</v>
      </c>
      <c r="U181" s="908">
        <v>357</v>
      </c>
      <c r="V181" s="908">
        <f t="shared" ref="V181:V186" si="66">P181+T181</f>
        <v>1790</v>
      </c>
      <c r="W181" s="1026"/>
      <c r="X181" s="908">
        <f t="shared" ref="X181:X186" si="67">R181+U181</f>
        <v>8803</v>
      </c>
      <c r="Y181" s="1021"/>
      <c r="Z181" s="965" t="s">
        <v>43</v>
      </c>
      <c r="AA181" s="1011"/>
      <c r="AB181" s="908">
        <v>17791</v>
      </c>
      <c r="AC181" s="1021"/>
      <c r="AD181" s="908">
        <f t="shared" si="64"/>
        <v>26092</v>
      </c>
      <c r="AE181" s="1021"/>
      <c r="AF181" s="768">
        <v>2017</v>
      </c>
      <c r="AG181" s="892" t="s">
        <v>82</v>
      </c>
      <c r="AH181" s="286"/>
      <c r="AK181" s="202"/>
      <c r="AO181" s="374"/>
    </row>
    <row r="182" spans="1:41" s="200" customFormat="1" ht="12.75" hidden="1" customHeight="1">
      <c r="A182" s="902"/>
      <c r="B182" s="874">
        <v>2017</v>
      </c>
      <c r="C182" s="1031" t="s">
        <v>31</v>
      </c>
      <c r="D182" s="923">
        <v>3156</v>
      </c>
      <c r="E182" s="908"/>
      <c r="F182" s="908">
        <v>10379</v>
      </c>
      <c r="G182" s="908"/>
      <c r="H182" s="908">
        <v>53</v>
      </c>
      <c r="I182" s="908"/>
      <c r="J182" s="908">
        <v>498</v>
      </c>
      <c r="K182" s="908"/>
      <c r="L182" s="1029">
        <f t="shared" ref="L182:L187" si="68">D182+H182</f>
        <v>3209</v>
      </c>
      <c r="M182" s="1029"/>
      <c r="N182" s="908">
        <f>F182+J182</f>
        <v>10877</v>
      </c>
      <c r="O182" s="1021"/>
      <c r="P182" s="923">
        <v>1860</v>
      </c>
      <c r="Q182" s="908"/>
      <c r="R182" s="908">
        <v>10079</v>
      </c>
      <c r="S182" s="908"/>
      <c r="T182" s="908">
        <v>54</v>
      </c>
      <c r="U182" s="908">
        <v>374</v>
      </c>
      <c r="V182" s="908">
        <f t="shared" si="66"/>
        <v>1914</v>
      </c>
      <c r="W182" s="1026"/>
      <c r="X182" s="908">
        <f t="shared" si="67"/>
        <v>10453</v>
      </c>
      <c r="Y182" s="1021"/>
      <c r="Z182" s="965" t="s">
        <v>43</v>
      </c>
      <c r="AA182" s="1011"/>
      <c r="AB182" s="908">
        <v>16829</v>
      </c>
      <c r="AC182" s="1021"/>
      <c r="AD182" s="908">
        <f t="shared" si="64"/>
        <v>27706</v>
      </c>
      <c r="AE182" s="1021"/>
      <c r="AF182" s="768">
        <v>2017</v>
      </c>
      <c r="AG182" s="892" t="s">
        <v>31</v>
      </c>
      <c r="AH182" s="286"/>
      <c r="AK182" s="202"/>
      <c r="AO182" s="374"/>
    </row>
    <row r="183" spans="1:41" s="200" customFormat="1" ht="12.75" hidden="1" customHeight="1">
      <c r="A183" s="902"/>
      <c r="B183" s="874">
        <v>2017</v>
      </c>
      <c r="C183" s="1031" t="s">
        <v>38</v>
      </c>
      <c r="D183" s="923">
        <v>2133</v>
      </c>
      <c r="E183" s="908"/>
      <c r="F183" s="908">
        <v>10131</v>
      </c>
      <c r="G183" s="908"/>
      <c r="H183" s="908">
        <v>88</v>
      </c>
      <c r="I183" s="908"/>
      <c r="J183" s="908">
        <v>480</v>
      </c>
      <c r="K183" s="908"/>
      <c r="L183" s="1029">
        <f t="shared" si="68"/>
        <v>2221</v>
      </c>
      <c r="M183" s="1029"/>
      <c r="N183" s="908">
        <f t="shared" ref="N183:N188" si="69">F183+J183</f>
        <v>10611</v>
      </c>
      <c r="O183" s="1021"/>
      <c r="P183" s="923">
        <v>2157</v>
      </c>
      <c r="Q183" s="908"/>
      <c r="R183" s="908">
        <v>11545</v>
      </c>
      <c r="S183" s="908"/>
      <c r="T183" s="908">
        <v>71</v>
      </c>
      <c r="U183" s="908">
        <v>583</v>
      </c>
      <c r="V183" s="908">
        <f t="shared" si="66"/>
        <v>2228</v>
      </c>
      <c r="W183" s="1026"/>
      <c r="X183" s="908">
        <f t="shared" si="67"/>
        <v>12128</v>
      </c>
      <c r="Y183" s="1021"/>
      <c r="Z183" s="965" t="s">
        <v>43</v>
      </c>
      <c r="AA183" s="1011"/>
      <c r="AB183" s="908">
        <v>12024</v>
      </c>
      <c r="AC183" s="1021"/>
      <c r="AD183" s="908">
        <f t="shared" si="64"/>
        <v>22635</v>
      </c>
      <c r="AE183" s="1021"/>
      <c r="AF183" s="768">
        <v>2017</v>
      </c>
      <c r="AG183" s="892" t="s">
        <v>38</v>
      </c>
      <c r="AH183" s="286"/>
      <c r="AK183" s="202"/>
      <c r="AO183" s="374"/>
    </row>
    <row r="184" spans="1:41" s="200" customFormat="1" ht="12.75" hidden="1" customHeight="1">
      <c r="A184" s="902"/>
      <c r="B184" s="874">
        <v>2017</v>
      </c>
      <c r="C184" s="1031" t="s">
        <v>39</v>
      </c>
      <c r="D184" s="923">
        <v>2652</v>
      </c>
      <c r="E184" s="908"/>
      <c r="F184" s="908">
        <v>8185</v>
      </c>
      <c r="G184" s="908"/>
      <c r="H184" s="908">
        <v>76</v>
      </c>
      <c r="I184" s="908"/>
      <c r="J184" s="908">
        <v>321</v>
      </c>
      <c r="K184" s="908"/>
      <c r="L184" s="1029">
        <f t="shared" si="68"/>
        <v>2728</v>
      </c>
      <c r="M184" s="1029"/>
      <c r="N184" s="908">
        <f t="shared" si="69"/>
        <v>8506</v>
      </c>
      <c r="O184" s="1021"/>
      <c r="P184" s="923">
        <v>3143</v>
      </c>
      <c r="Q184" s="908"/>
      <c r="R184" s="908">
        <v>8909</v>
      </c>
      <c r="S184" s="908"/>
      <c r="T184" s="908">
        <v>47</v>
      </c>
      <c r="U184" s="908">
        <v>247</v>
      </c>
      <c r="V184" s="908">
        <f t="shared" si="66"/>
        <v>3190</v>
      </c>
      <c r="W184" s="1026"/>
      <c r="X184" s="908">
        <f t="shared" si="67"/>
        <v>9156</v>
      </c>
      <c r="Y184" s="1021"/>
      <c r="Z184" s="965" t="s">
        <v>43</v>
      </c>
      <c r="AA184" s="1011"/>
      <c r="AB184" s="908">
        <v>22401</v>
      </c>
      <c r="AC184" s="1021"/>
      <c r="AD184" s="908">
        <f>N184+AB184</f>
        <v>30907</v>
      </c>
      <c r="AE184" s="1021"/>
      <c r="AF184" s="768">
        <v>2017</v>
      </c>
      <c r="AG184" s="892" t="s">
        <v>39</v>
      </c>
      <c r="AH184" s="286"/>
      <c r="AK184" s="202"/>
      <c r="AO184" s="374"/>
    </row>
    <row r="185" spans="1:41" s="200" customFormat="1" ht="12.75" hidden="1" customHeight="1">
      <c r="A185" s="902"/>
      <c r="B185" s="874">
        <v>2017</v>
      </c>
      <c r="C185" s="1031" t="s">
        <v>32</v>
      </c>
      <c r="D185" s="923">
        <v>2765</v>
      </c>
      <c r="E185" s="908"/>
      <c r="F185" s="908">
        <v>11567</v>
      </c>
      <c r="G185" s="908"/>
      <c r="H185" s="908">
        <v>138</v>
      </c>
      <c r="I185" s="908"/>
      <c r="J185" s="908">
        <v>716</v>
      </c>
      <c r="K185" s="908"/>
      <c r="L185" s="1029">
        <f t="shared" si="68"/>
        <v>2903</v>
      </c>
      <c r="M185" s="1029"/>
      <c r="N185" s="908">
        <f t="shared" si="69"/>
        <v>12283</v>
      </c>
      <c r="O185" s="1021"/>
      <c r="P185" s="923">
        <v>2134</v>
      </c>
      <c r="Q185" s="908"/>
      <c r="R185" s="908">
        <v>11650</v>
      </c>
      <c r="S185" s="908"/>
      <c r="T185" s="908">
        <v>49</v>
      </c>
      <c r="U185" s="908">
        <v>196</v>
      </c>
      <c r="V185" s="908">
        <f t="shared" si="66"/>
        <v>2183</v>
      </c>
      <c r="W185" s="1026"/>
      <c r="X185" s="908">
        <f t="shared" si="67"/>
        <v>11846</v>
      </c>
      <c r="Y185" s="1021"/>
      <c r="Z185" s="965" t="s">
        <v>43</v>
      </c>
      <c r="AA185" s="1011"/>
      <c r="AB185" s="908">
        <v>31907</v>
      </c>
      <c r="AC185" s="1021"/>
      <c r="AD185" s="908">
        <f>N185+AB185</f>
        <v>44190</v>
      </c>
      <c r="AE185" s="1021"/>
      <c r="AF185" s="768">
        <v>2017</v>
      </c>
      <c r="AG185" s="892" t="s">
        <v>32</v>
      </c>
      <c r="AH185" s="286"/>
    </row>
    <row r="186" spans="1:41" s="200" customFormat="1" ht="12.75" hidden="1" customHeight="1">
      <c r="A186" s="902"/>
      <c r="B186" s="874">
        <v>2018</v>
      </c>
      <c r="C186" s="1031" t="s">
        <v>33</v>
      </c>
      <c r="D186" s="923">
        <v>2300</v>
      </c>
      <c r="E186" s="908"/>
      <c r="F186" s="908">
        <v>9716</v>
      </c>
      <c r="G186" s="908"/>
      <c r="H186" s="908">
        <v>102</v>
      </c>
      <c r="I186" s="908"/>
      <c r="J186" s="908">
        <v>414</v>
      </c>
      <c r="K186" s="908"/>
      <c r="L186" s="1029">
        <f t="shared" si="68"/>
        <v>2402</v>
      </c>
      <c r="M186" s="1029"/>
      <c r="N186" s="908">
        <f t="shared" si="69"/>
        <v>10130</v>
      </c>
      <c r="O186" s="1021"/>
      <c r="P186" s="923">
        <v>2326</v>
      </c>
      <c r="Q186" s="908"/>
      <c r="R186" s="908">
        <v>13291</v>
      </c>
      <c r="S186" s="908"/>
      <c r="T186" s="908">
        <v>23</v>
      </c>
      <c r="U186" s="908">
        <v>217</v>
      </c>
      <c r="V186" s="908">
        <f t="shared" si="66"/>
        <v>2349</v>
      </c>
      <c r="W186" s="1026"/>
      <c r="X186" s="908">
        <f t="shared" si="67"/>
        <v>13508</v>
      </c>
      <c r="Y186" s="1021"/>
      <c r="Z186" s="965" t="s">
        <v>43</v>
      </c>
      <c r="AA186" s="1011"/>
      <c r="AB186" s="908">
        <v>34656</v>
      </c>
      <c r="AC186" s="1021"/>
      <c r="AD186" s="908">
        <f>N186+AB186</f>
        <v>44786</v>
      </c>
      <c r="AE186" s="1021"/>
      <c r="AF186" s="768">
        <v>2018</v>
      </c>
      <c r="AG186" s="892" t="s">
        <v>33</v>
      </c>
      <c r="AH186" s="286"/>
    </row>
    <row r="187" spans="1:41" s="200" customFormat="1" ht="12.75" hidden="1" customHeight="1">
      <c r="A187" s="902"/>
      <c r="B187" s="874">
        <v>2018</v>
      </c>
      <c r="C187" s="1031" t="s">
        <v>34</v>
      </c>
      <c r="D187" s="923">
        <v>1355</v>
      </c>
      <c r="E187" s="908"/>
      <c r="F187" s="908">
        <v>6089</v>
      </c>
      <c r="G187" s="908"/>
      <c r="H187" s="908">
        <v>65</v>
      </c>
      <c r="I187" s="908"/>
      <c r="J187" s="908">
        <v>177</v>
      </c>
      <c r="K187" s="908"/>
      <c r="L187" s="1029">
        <f t="shared" si="68"/>
        <v>1420</v>
      </c>
      <c r="M187" s="1029"/>
      <c r="N187" s="908">
        <f t="shared" si="69"/>
        <v>6266</v>
      </c>
      <c r="O187" s="1021"/>
      <c r="P187" s="923">
        <v>2234</v>
      </c>
      <c r="Q187" s="908"/>
      <c r="R187" s="908">
        <v>6443</v>
      </c>
      <c r="S187" s="908"/>
      <c r="T187" s="908">
        <v>35</v>
      </c>
      <c r="U187" s="908">
        <v>125</v>
      </c>
      <c r="V187" s="908">
        <f>P187+T187</f>
        <v>2269</v>
      </c>
      <c r="W187" s="1026"/>
      <c r="X187" s="908">
        <f>R187+U187</f>
        <v>6568</v>
      </c>
      <c r="Y187" s="1021"/>
      <c r="Z187" s="965" t="s">
        <v>43</v>
      </c>
      <c r="AA187" s="1011"/>
      <c r="AB187" s="908">
        <v>21674</v>
      </c>
      <c r="AC187" s="1021"/>
      <c r="AD187" s="908">
        <f>N187+AB187</f>
        <v>27940</v>
      </c>
      <c r="AE187" s="1021"/>
      <c r="AF187" s="768">
        <v>2018</v>
      </c>
      <c r="AG187" s="892" t="s">
        <v>77</v>
      </c>
      <c r="AH187" s="286"/>
    </row>
    <row r="188" spans="1:41" s="200" customFormat="1" ht="12.75" hidden="1" customHeight="1">
      <c r="A188" s="902"/>
      <c r="B188" s="874">
        <v>2018</v>
      </c>
      <c r="C188" s="1031" t="s">
        <v>29</v>
      </c>
      <c r="D188" s="923">
        <v>1594</v>
      </c>
      <c r="E188" s="908"/>
      <c r="F188" s="908">
        <v>6864</v>
      </c>
      <c r="G188" s="908"/>
      <c r="H188" s="908">
        <v>58</v>
      </c>
      <c r="I188" s="908"/>
      <c r="J188" s="908">
        <v>252</v>
      </c>
      <c r="K188" s="908"/>
      <c r="L188" s="1029">
        <f>D188+H188</f>
        <v>1652</v>
      </c>
      <c r="M188" s="1029"/>
      <c r="N188" s="908">
        <f t="shared" si="69"/>
        <v>7116</v>
      </c>
      <c r="O188" s="1021"/>
      <c r="P188" s="923">
        <v>2647</v>
      </c>
      <c r="Q188" s="908"/>
      <c r="R188" s="908">
        <v>6073</v>
      </c>
      <c r="S188" s="908"/>
      <c r="T188" s="908">
        <v>60</v>
      </c>
      <c r="U188" s="908">
        <v>189</v>
      </c>
      <c r="V188" s="908">
        <f>P188+T188</f>
        <v>2707</v>
      </c>
      <c r="W188" s="1026"/>
      <c r="X188" s="908">
        <f>R188+U188</f>
        <v>6262</v>
      </c>
      <c r="Y188" s="1021"/>
      <c r="Z188" s="965" t="s">
        <v>43</v>
      </c>
      <c r="AA188" s="1011"/>
      <c r="AB188" s="908">
        <v>30844</v>
      </c>
      <c r="AC188" s="1021"/>
      <c r="AD188" s="908">
        <f t="shared" ref="AD188:AD196" si="70">AB188+N188</f>
        <v>37960</v>
      </c>
      <c r="AE188" s="1021"/>
      <c r="AF188" s="768">
        <v>2018</v>
      </c>
      <c r="AG188" s="892" t="s">
        <v>29</v>
      </c>
      <c r="AH188" s="286"/>
    </row>
    <row r="189" spans="1:41" s="200" customFormat="1" ht="12.75" hidden="1" customHeight="1">
      <c r="A189" s="902"/>
      <c r="B189" s="874">
        <v>2018</v>
      </c>
      <c r="C189" s="1031" t="s">
        <v>35</v>
      </c>
      <c r="D189" s="923">
        <v>2618</v>
      </c>
      <c r="E189" s="908"/>
      <c r="F189" s="908">
        <v>8773</v>
      </c>
      <c r="G189" s="908"/>
      <c r="H189" s="908">
        <v>54</v>
      </c>
      <c r="I189" s="908"/>
      <c r="J189" s="908">
        <v>420</v>
      </c>
      <c r="K189" s="908"/>
      <c r="L189" s="1029">
        <f t="shared" ref="L189:L194" si="71">D189+H189</f>
        <v>2672</v>
      </c>
      <c r="M189" s="1029"/>
      <c r="N189" s="908">
        <f t="shared" ref="N189:N201" si="72">F189+J189</f>
        <v>9193</v>
      </c>
      <c r="O189" s="1021"/>
      <c r="P189" s="923">
        <v>1875</v>
      </c>
      <c r="Q189" s="908"/>
      <c r="R189" s="908">
        <v>9327</v>
      </c>
      <c r="S189" s="908"/>
      <c r="T189" s="908">
        <v>14</v>
      </c>
      <c r="U189" s="908">
        <v>432</v>
      </c>
      <c r="V189" s="908">
        <f>P189+T189</f>
        <v>1889</v>
      </c>
      <c r="W189" s="1026"/>
      <c r="X189" s="908">
        <f>R189+U189</f>
        <v>9759</v>
      </c>
      <c r="Y189" s="1021"/>
      <c r="Z189" s="965" t="s">
        <v>43</v>
      </c>
      <c r="AA189" s="1011"/>
      <c r="AB189" s="908">
        <v>27537</v>
      </c>
      <c r="AC189" s="1021"/>
      <c r="AD189" s="908">
        <f t="shared" si="70"/>
        <v>36730</v>
      </c>
      <c r="AE189" s="1021"/>
      <c r="AF189" s="768">
        <v>2018</v>
      </c>
      <c r="AG189" s="892" t="s">
        <v>78</v>
      </c>
      <c r="AH189" s="286"/>
    </row>
    <row r="190" spans="1:41" s="200" customFormat="1" ht="12.75" hidden="1" customHeight="1">
      <c r="A190" s="902"/>
      <c r="B190" s="874">
        <v>2018</v>
      </c>
      <c r="C190" s="1031" t="s">
        <v>4</v>
      </c>
      <c r="D190" s="923">
        <v>2682</v>
      </c>
      <c r="E190" s="908"/>
      <c r="F190" s="908">
        <v>8389</v>
      </c>
      <c r="G190" s="908"/>
      <c r="H190" s="908">
        <v>32</v>
      </c>
      <c r="I190" s="908"/>
      <c r="J190" s="908">
        <v>464</v>
      </c>
      <c r="K190" s="908"/>
      <c r="L190" s="1029">
        <f t="shared" si="71"/>
        <v>2714</v>
      </c>
      <c r="M190" s="1029"/>
      <c r="N190" s="908">
        <f t="shared" si="72"/>
        <v>8853</v>
      </c>
      <c r="O190" s="1021"/>
      <c r="P190" s="923">
        <v>2364</v>
      </c>
      <c r="Q190" s="908"/>
      <c r="R190" s="908">
        <v>8884</v>
      </c>
      <c r="S190" s="908"/>
      <c r="T190" s="908">
        <v>12</v>
      </c>
      <c r="U190" s="908">
        <v>307</v>
      </c>
      <c r="V190" s="908">
        <f>P190+T190</f>
        <v>2376</v>
      </c>
      <c r="W190" s="1026"/>
      <c r="X190" s="908">
        <f>R190+U190</f>
        <v>9191</v>
      </c>
      <c r="Y190" s="1021"/>
      <c r="Z190" s="965" t="s">
        <v>43</v>
      </c>
      <c r="AA190" s="1011"/>
      <c r="AB190" s="908">
        <v>16576</v>
      </c>
      <c r="AC190" s="1021"/>
      <c r="AD190" s="908">
        <f t="shared" si="70"/>
        <v>25429</v>
      </c>
      <c r="AE190" s="1021"/>
      <c r="AF190" s="768">
        <v>2018</v>
      </c>
      <c r="AG190" s="892" t="s">
        <v>79</v>
      </c>
      <c r="AH190" s="286"/>
    </row>
    <row r="191" spans="1:41" s="200" customFormat="1" ht="12.75" hidden="1" customHeight="1">
      <c r="A191" s="902"/>
      <c r="B191" s="874">
        <v>2018</v>
      </c>
      <c r="C191" s="1031" t="s">
        <v>30</v>
      </c>
      <c r="D191" s="923">
        <v>2586</v>
      </c>
      <c r="E191" s="908"/>
      <c r="F191" s="908">
        <v>10181</v>
      </c>
      <c r="G191" s="908"/>
      <c r="H191" s="908">
        <v>33</v>
      </c>
      <c r="I191" s="908"/>
      <c r="J191" s="908">
        <v>392</v>
      </c>
      <c r="K191" s="908"/>
      <c r="L191" s="1029">
        <f t="shared" si="71"/>
        <v>2619</v>
      </c>
      <c r="M191" s="1029"/>
      <c r="N191" s="908">
        <f t="shared" si="72"/>
        <v>10573</v>
      </c>
      <c r="O191" s="1021"/>
      <c r="P191" s="923">
        <v>1841</v>
      </c>
      <c r="Q191" s="908"/>
      <c r="R191" s="908">
        <v>8444</v>
      </c>
      <c r="S191" s="908"/>
      <c r="T191" s="908">
        <v>13</v>
      </c>
      <c r="U191" s="908">
        <v>272</v>
      </c>
      <c r="V191" s="908">
        <f>P191+T191</f>
        <v>1854</v>
      </c>
      <c r="W191" s="1026"/>
      <c r="X191" s="908">
        <f>R191+U191</f>
        <v>8716</v>
      </c>
      <c r="Y191" s="1021"/>
      <c r="Z191" s="965" t="s">
        <v>43</v>
      </c>
      <c r="AA191" s="1011"/>
      <c r="AB191" s="908">
        <v>9734</v>
      </c>
      <c r="AC191" s="1021"/>
      <c r="AD191" s="908">
        <f t="shared" si="70"/>
        <v>20307</v>
      </c>
      <c r="AE191" s="1021"/>
      <c r="AF191" s="768">
        <v>2018</v>
      </c>
      <c r="AG191" s="892" t="s">
        <v>80</v>
      </c>
      <c r="AH191" s="286"/>
    </row>
    <row r="192" spans="1:41" s="200" customFormat="1" ht="12.75" hidden="1" customHeight="1">
      <c r="A192" s="902"/>
      <c r="B192" s="874">
        <v>2018</v>
      </c>
      <c r="C192" s="1031" t="s">
        <v>36</v>
      </c>
      <c r="D192" s="923">
        <v>2133</v>
      </c>
      <c r="E192" s="908"/>
      <c r="F192" s="908">
        <v>12793</v>
      </c>
      <c r="G192" s="908"/>
      <c r="H192" s="908">
        <v>6</v>
      </c>
      <c r="I192" s="908"/>
      <c r="J192" s="908">
        <v>391</v>
      </c>
      <c r="K192" s="908"/>
      <c r="L192" s="1029">
        <f t="shared" si="71"/>
        <v>2139</v>
      </c>
      <c r="M192" s="1029"/>
      <c r="N192" s="908">
        <f t="shared" si="72"/>
        <v>13184</v>
      </c>
      <c r="O192" s="1021"/>
      <c r="P192" s="923">
        <v>2196</v>
      </c>
      <c r="Q192" s="908"/>
      <c r="R192" s="908">
        <v>13448</v>
      </c>
      <c r="S192" s="908"/>
      <c r="T192" s="908">
        <v>3</v>
      </c>
      <c r="U192" s="908">
        <v>377</v>
      </c>
      <c r="V192" s="908">
        <f t="shared" ref="V192:V197" si="73">T192+P192</f>
        <v>2199</v>
      </c>
      <c r="W192" s="1026"/>
      <c r="X192" s="908">
        <f t="shared" ref="X192:X197" si="74">U192+R192</f>
        <v>13825</v>
      </c>
      <c r="Y192" s="1021"/>
      <c r="Z192" s="965" t="s">
        <v>43</v>
      </c>
      <c r="AA192" s="1011"/>
      <c r="AB192" s="908">
        <v>11662</v>
      </c>
      <c r="AC192" s="1021"/>
      <c r="AD192" s="908">
        <f t="shared" si="70"/>
        <v>24846</v>
      </c>
      <c r="AE192" s="1021"/>
      <c r="AF192" s="768">
        <v>2018</v>
      </c>
      <c r="AG192" s="892" t="s">
        <v>81</v>
      </c>
      <c r="AH192" s="286"/>
    </row>
    <row r="193" spans="1:34" s="200" customFormat="1" ht="12.75" hidden="1" customHeight="1">
      <c r="A193" s="902"/>
      <c r="B193" s="874">
        <v>2018</v>
      </c>
      <c r="C193" s="1031" t="s">
        <v>37</v>
      </c>
      <c r="D193" s="923">
        <v>1425</v>
      </c>
      <c r="E193" s="908"/>
      <c r="F193" s="908">
        <v>8575</v>
      </c>
      <c r="G193" s="908"/>
      <c r="H193" s="908">
        <v>39</v>
      </c>
      <c r="I193" s="908"/>
      <c r="J193" s="908">
        <v>397</v>
      </c>
      <c r="K193" s="908"/>
      <c r="L193" s="1029">
        <f t="shared" si="71"/>
        <v>1464</v>
      </c>
      <c r="M193" s="1029"/>
      <c r="N193" s="908">
        <f t="shared" si="72"/>
        <v>8972</v>
      </c>
      <c r="O193" s="1021"/>
      <c r="P193" s="923">
        <v>2441</v>
      </c>
      <c r="Q193" s="908"/>
      <c r="R193" s="908">
        <v>11810</v>
      </c>
      <c r="S193" s="908"/>
      <c r="T193" s="908">
        <v>15</v>
      </c>
      <c r="U193" s="908">
        <v>453</v>
      </c>
      <c r="V193" s="908">
        <f t="shared" si="73"/>
        <v>2456</v>
      </c>
      <c r="W193" s="1026"/>
      <c r="X193" s="908">
        <f t="shared" si="74"/>
        <v>12263</v>
      </c>
      <c r="Y193" s="1021"/>
      <c r="Z193" s="965" t="s">
        <v>43</v>
      </c>
      <c r="AA193" s="1011"/>
      <c r="AB193" s="908">
        <v>10751</v>
      </c>
      <c r="AC193" s="1021"/>
      <c r="AD193" s="908">
        <f t="shared" si="70"/>
        <v>19723</v>
      </c>
      <c r="AE193" s="1021"/>
      <c r="AF193" s="768">
        <v>2018</v>
      </c>
      <c r="AG193" s="892" t="str">
        <f>AG181</f>
        <v>Aoû</v>
      </c>
      <c r="AH193" s="286"/>
    </row>
    <row r="194" spans="1:34" s="200" customFormat="1" ht="12.75" hidden="1" customHeight="1">
      <c r="A194" s="902"/>
      <c r="B194" s="874">
        <v>2018</v>
      </c>
      <c r="C194" s="1031" t="s">
        <v>31</v>
      </c>
      <c r="D194" s="923">
        <v>3314</v>
      </c>
      <c r="E194" s="908"/>
      <c r="F194" s="908">
        <v>11070</v>
      </c>
      <c r="G194" s="908"/>
      <c r="H194" s="908">
        <v>35</v>
      </c>
      <c r="I194" s="908"/>
      <c r="J194" s="908">
        <v>356</v>
      </c>
      <c r="K194" s="908"/>
      <c r="L194" s="1029">
        <f t="shared" si="71"/>
        <v>3349</v>
      </c>
      <c r="M194" s="1029"/>
      <c r="N194" s="908">
        <f t="shared" si="72"/>
        <v>11426</v>
      </c>
      <c r="O194" s="1021"/>
      <c r="P194" s="923">
        <v>2436</v>
      </c>
      <c r="Q194" s="908"/>
      <c r="R194" s="908">
        <v>10745</v>
      </c>
      <c r="S194" s="908"/>
      <c r="T194" s="908">
        <v>16</v>
      </c>
      <c r="U194" s="908">
        <v>452</v>
      </c>
      <c r="V194" s="908">
        <f t="shared" si="73"/>
        <v>2452</v>
      </c>
      <c r="W194" s="1026"/>
      <c r="X194" s="908">
        <f t="shared" si="74"/>
        <v>11197</v>
      </c>
      <c r="Y194" s="1021"/>
      <c r="Z194" s="965" t="s">
        <v>43</v>
      </c>
      <c r="AA194" s="1011"/>
      <c r="AB194" s="908">
        <v>19632</v>
      </c>
      <c r="AC194" s="1021"/>
      <c r="AD194" s="908">
        <f t="shared" si="70"/>
        <v>31058</v>
      </c>
      <c r="AE194" s="1021"/>
      <c r="AF194" s="768">
        <v>2018</v>
      </c>
      <c r="AG194" s="892" t="s">
        <v>31</v>
      </c>
      <c r="AH194" s="286"/>
    </row>
    <row r="195" spans="1:34" s="200" customFormat="1" ht="12.75" hidden="1" customHeight="1">
      <c r="A195" s="902"/>
      <c r="B195" s="874">
        <v>2018</v>
      </c>
      <c r="C195" s="1031" t="s">
        <v>38</v>
      </c>
      <c r="D195" s="923">
        <v>2116</v>
      </c>
      <c r="E195" s="908"/>
      <c r="F195" s="908">
        <v>9865</v>
      </c>
      <c r="G195" s="908"/>
      <c r="H195" s="908">
        <v>50</v>
      </c>
      <c r="I195" s="908"/>
      <c r="J195" s="908">
        <v>544</v>
      </c>
      <c r="K195" s="908"/>
      <c r="L195" s="1029">
        <f t="shared" ref="L195:L201" si="75">D195+H195</f>
        <v>2166</v>
      </c>
      <c r="M195" s="1029"/>
      <c r="N195" s="908">
        <f t="shared" si="72"/>
        <v>10409</v>
      </c>
      <c r="O195" s="1021"/>
      <c r="P195" s="923">
        <v>2947</v>
      </c>
      <c r="Q195" s="908"/>
      <c r="R195" s="908">
        <v>12945</v>
      </c>
      <c r="S195" s="908"/>
      <c r="T195" s="908">
        <v>15</v>
      </c>
      <c r="U195" s="908">
        <v>706</v>
      </c>
      <c r="V195" s="908">
        <f t="shared" si="73"/>
        <v>2962</v>
      </c>
      <c r="W195" s="1026"/>
      <c r="X195" s="908">
        <f t="shared" si="74"/>
        <v>13651</v>
      </c>
      <c r="Y195" s="1021"/>
      <c r="Z195" s="965" t="s">
        <v>43</v>
      </c>
      <c r="AA195" s="1011"/>
      <c r="AB195" s="908">
        <v>16114</v>
      </c>
      <c r="AC195" s="1021"/>
      <c r="AD195" s="908">
        <f t="shared" si="70"/>
        <v>26523</v>
      </c>
      <c r="AE195" s="1021"/>
      <c r="AF195" s="768">
        <v>2018</v>
      </c>
      <c r="AG195" s="892" t="s">
        <v>38</v>
      </c>
      <c r="AH195" s="286"/>
    </row>
    <row r="196" spans="1:34" s="200" customFormat="1" ht="12.75" hidden="1" customHeight="1">
      <c r="A196" s="902"/>
      <c r="B196" s="874">
        <v>2018</v>
      </c>
      <c r="C196" s="1031" t="s">
        <v>39</v>
      </c>
      <c r="D196" s="923">
        <v>2593</v>
      </c>
      <c r="E196" s="908"/>
      <c r="F196" s="908">
        <v>8760</v>
      </c>
      <c r="G196" s="908"/>
      <c r="H196" s="908">
        <v>29</v>
      </c>
      <c r="I196" s="908"/>
      <c r="J196" s="908">
        <v>284</v>
      </c>
      <c r="K196" s="908"/>
      <c r="L196" s="1029">
        <f>D196+H196</f>
        <v>2622</v>
      </c>
      <c r="M196" s="1029"/>
      <c r="N196" s="908">
        <f>F196+J196</f>
        <v>9044</v>
      </c>
      <c r="O196" s="1021"/>
      <c r="P196" s="923">
        <v>2847</v>
      </c>
      <c r="Q196" s="908"/>
      <c r="R196" s="908">
        <v>9292</v>
      </c>
      <c r="S196" s="908"/>
      <c r="T196" s="908">
        <v>7</v>
      </c>
      <c r="U196" s="908">
        <v>162</v>
      </c>
      <c r="V196" s="908">
        <f t="shared" si="73"/>
        <v>2854</v>
      </c>
      <c r="W196" s="1026"/>
      <c r="X196" s="908">
        <f t="shared" si="74"/>
        <v>9454</v>
      </c>
      <c r="Y196" s="1021"/>
      <c r="Z196" s="965" t="s">
        <v>43</v>
      </c>
      <c r="AA196" s="1011"/>
      <c r="AB196" s="908">
        <v>18066</v>
      </c>
      <c r="AC196" s="1021"/>
      <c r="AD196" s="908">
        <f t="shared" si="70"/>
        <v>27110</v>
      </c>
      <c r="AE196" s="1021"/>
      <c r="AF196" s="768">
        <v>2018</v>
      </c>
      <c r="AG196" s="892" t="s">
        <v>39</v>
      </c>
      <c r="AH196" s="286"/>
    </row>
    <row r="197" spans="1:34" s="200" customFormat="1" ht="12.75" hidden="1" customHeight="1">
      <c r="A197" s="902"/>
      <c r="B197" s="874">
        <v>2018</v>
      </c>
      <c r="C197" s="1031" t="s">
        <v>32</v>
      </c>
      <c r="D197" s="923">
        <v>3710</v>
      </c>
      <c r="E197" s="908"/>
      <c r="F197" s="908">
        <v>10221</v>
      </c>
      <c r="G197" s="908"/>
      <c r="H197" s="908">
        <v>7</v>
      </c>
      <c r="I197" s="908"/>
      <c r="J197" s="908">
        <v>247</v>
      </c>
      <c r="K197" s="908"/>
      <c r="L197" s="1029">
        <f t="shared" si="75"/>
        <v>3717</v>
      </c>
      <c r="M197" s="1029"/>
      <c r="N197" s="908">
        <f t="shared" si="72"/>
        <v>10468</v>
      </c>
      <c r="O197" s="1021"/>
      <c r="P197" s="923">
        <v>2006</v>
      </c>
      <c r="Q197" s="908"/>
      <c r="R197" s="908">
        <v>10034</v>
      </c>
      <c r="S197" s="908"/>
      <c r="T197" s="908">
        <v>18</v>
      </c>
      <c r="U197" s="908">
        <v>148</v>
      </c>
      <c r="V197" s="908">
        <f t="shared" si="73"/>
        <v>2024</v>
      </c>
      <c r="W197" s="1026"/>
      <c r="X197" s="908">
        <f t="shared" si="74"/>
        <v>10182</v>
      </c>
      <c r="Y197" s="1021"/>
      <c r="Z197" s="965" t="s">
        <v>43</v>
      </c>
      <c r="AA197" s="1011"/>
      <c r="AB197" s="908">
        <v>17321</v>
      </c>
      <c r="AC197" s="1021"/>
      <c r="AD197" s="908">
        <f>N197+AB197</f>
        <v>27789</v>
      </c>
      <c r="AE197" s="1021"/>
      <c r="AF197" s="768">
        <v>2018</v>
      </c>
      <c r="AG197" s="892" t="s">
        <v>83</v>
      </c>
      <c r="AH197" s="286"/>
    </row>
    <row r="198" spans="1:34" s="200" customFormat="1" ht="12.75" hidden="1" customHeight="1">
      <c r="A198" s="902"/>
      <c r="B198" s="874">
        <v>2019</v>
      </c>
      <c r="C198" s="1031" t="s">
        <v>33</v>
      </c>
      <c r="D198" s="923">
        <v>2561</v>
      </c>
      <c r="E198" s="908"/>
      <c r="F198" s="908">
        <v>9244</v>
      </c>
      <c r="G198" s="908"/>
      <c r="H198" s="908">
        <v>25</v>
      </c>
      <c r="I198" s="908"/>
      <c r="J198" s="908">
        <v>304</v>
      </c>
      <c r="K198" s="908"/>
      <c r="L198" s="1029">
        <f t="shared" si="75"/>
        <v>2586</v>
      </c>
      <c r="M198" s="1029"/>
      <c r="N198" s="908">
        <f t="shared" si="72"/>
        <v>9548</v>
      </c>
      <c r="O198" s="1021"/>
      <c r="P198" s="923">
        <v>2288</v>
      </c>
      <c r="Q198" s="908"/>
      <c r="R198" s="908">
        <v>13563</v>
      </c>
      <c r="S198" s="908"/>
      <c r="T198" s="908">
        <v>9</v>
      </c>
      <c r="U198" s="908">
        <v>423</v>
      </c>
      <c r="V198" s="908">
        <f t="shared" ref="V198:V203" si="76">T198+P198</f>
        <v>2297</v>
      </c>
      <c r="W198" s="1026"/>
      <c r="X198" s="908">
        <f t="shared" ref="X198:X203" si="77">U198+R198</f>
        <v>13986</v>
      </c>
      <c r="Y198" s="1021"/>
      <c r="Z198" s="965" t="s">
        <v>43</v>
      </c>
      <c r="AA198" s="1011"/>
      <c r="AB198" s="908">
        <v>14440</v>
      </c>
      <c r="AC198" s="1021"/>
      <c r="AD198" s="908">
        <f>N198+AB198</f>
        <v>23988</v>
      </c>
      <c r="AE198" s="1021"/>
      <c r="AF198" s="768">
        <v>2019</v>
      </c>
      <c r="AG198" s="892" t="s">
        <v>33</v>
      </c>
      <c r="AH198" s="286"/>
    </row>
    <row r="199" spans="1:34" s="200" customFormat="1" ht="12.75" hidden="1" customHeight="1">
      <c r="A199" s="902"/>
      <c r="B199" s="874">
        <v>2019</v>
      </c>
      <c r="C199" s="1031" t="s">
        <v>34</v>
      </c>
      <c r="D199" s="923">
        <v>1401</v>
      </c>
      <c r="E199" s="908"/>
      <c r="F199" s="908">
        <v>5727</v>
      </c>
      <c r="G199" s="908"/>
      <c r="H199" s="908">
        <v>8</v>
      </c>
      <c r="I199" s="908"/>
      <c r="J199" s="908">
        <v>108</v>
      </c>
      <c r="K199" s="908"/>
      <c r="L199" s="1029">
        <f t="shared" si="75"/>
        <v>1409</v>
      </c>
      <c r="M199" s="1029"/>
      <c r="N199" s="908">
        <f t="shared" si="72"/>
        <v>5835</v>
      </c>
      <c r="O199" s="1021"/>
      <c r="P199" s="923">
        <v>2535</v>
      </c>
      <c r="Q199" s="908"/>
      <c r="R199" s="908">
        <v>6792</v>
      </c>
      <c r="S199" s="908"/>
      <c r="T199" s="908">
        <v>9</v>
      </c>
      <c r="U199" s="908">
        <v>84</v>
      </c>
      <c r="V199" s="908">
        <f t="shared" si="76"/>
        <v>2544</v>
      </c>
      <c r="W199" s="1026"/>
      <c r="X199" s="908">
        <f t="shared" si="77"/>
        <v>6876</v>
      </c>
      <c r="Y199" s="1021"/>
      <c r="Z199" s="965" t="s">
        <v>43</v>
      </c>
      <c r="AA199" s="1011"/>
      <c r="AB199" s="908">
        <v>9849</v>
      </c>
      <c r="AC199" s="1021"/>
      <c r="AD199" s="908">
        <f>N199+AB199</f>
        <v>15684</v>
      </c>
      <c r="AE199" s="1021"/>
      <c r="AF199" s="768">
        <v>2019</v>
      </c>
      <c r="AG199" s="892" t="s">
        <v>357</v>
      </c>
      <c r="AH199" s="286"/>
    </row>
    <row r="200" spans="1:34" s="200" customFormat="1" ht="12.75" hidden="1" customHeight="1">
      <c r="A200" s="902"/>
      <c r="B200" s="874">
        <v>2019</v>
      </c>
      <c r="C200" s="1031" t="s">
        <v>29</v>
      </c>
      <c r="D200" s="923">
        <v>2151</v>
      </c>
      <c r="E200" s="908"/>
      <c r="F200" s="908">
        <v>6807</v>
      </c>
      <c r="G200" s="908"/>
      <c r="H200" s="908">
        <v>37</v>
      </c>
      <c r="I200" s="908"/>
      <c r="J200" s="908">
        <v>219</v>
      </c>
      <c r="K200" s="908"/>
      <c r="L200" s="1029">
        <f t="shared" si="75"/>
        <v>2188</v>
      </c>
      <c r="M200" s="1029"/>
      <c r="N200" s="908">
        <f t="shared" si="72"/>
        <v>7026</v>
      </c>
      <c r="O200" s="1021"/>
      <c r="P200" s="923">
        <v>2717</v>
      </c>
      <c r="Q200" s="908"/>
      <c r="R200" s="908">
        <v>7940</v>
      </c>
      <c r="S200" s="908"/>
      <c r="T200" s="908">
        <v>13</v>
      </c>
      <c r="U200" s="908">
        <v>233</v>
      </c>
      <c r="V200" s="908">
        <f t="shared" si="76"/>
        <v>2730</v>
      </c>
      <c r="W200" s="1026"/>
      <c r="X200" s="908">
        <f t="shared" si="77"/>
        <v>8173</v>
      </c>
      <c r="Y200" s="1021"/>
      <c r="Z200" s="965" t="s">
        <v>43</v>
      </c>
      <c r="AA200" s="1011"/>
      <c r="AB200" s="908">
        <v>12237</v>
      </c>
      <c r="AC200" s="1021"/>
      <c r="AD200" s="908">
        <f t="shared" ref="AD200:AD209" si="78">AB200+N200</f>
        <v>19263</v>
      </c>
      <c r="AE200" s="1021"/>
      <c r="AF200" s="768">
        <v>2019</v>
      </c>
      <c r="AG200" s="892" t="s">
        <v>29</v>
      </c>
      <c r="AH200" s="313"/>
    </row>
    <row r="201" spans="1:34" s="200" customFormat="1" ht="12.75" hidden="1" customHeight="1">
      <c r="A201" s="902"/>
      <c r="B201" s="874">
        <v>2019</v>
      </c>
      <c r="C201" s="1031" t="s">
        <v>35</v>
      </c>
      <c r="D201" s="923">
        <v>2880</v>
      </c>
      <c r="E201" s="908"/>
      <c r="F201" s="908">
        <v>9103</v>
      </c>
      <c r="G201" s="908"/>
      <c r="H201" s="908">
        <v>35</v>
      </c>
      <c r="I201" s="908"/>
      <c r="J201" s="908">
        <v>342</v>
      </c>
      <c r="K201" s="908"/>
      <c r="L201" s="1029">
        <f t="shared" si="75"/>
        <v>2915</v>
      </c>
      <c r="M201" s="1029"/>
      <c r="N201" s="908">
        <f t="shared" si="72"/>
        <v>9445</v>
      </c>
      <c r="O201" s="1021"/>
      <c r="P201" s="923">
        <v>2334</v>
      </c>
      <c r="Q201" s="908"/>
      <c r="R201" s="908">
        <v>9670</v>
      </c>
      <c r="S201" s="908"/>
      <c r="T201" s="908">
        <v>23</v>
      </c>
      <c r="U201" s="908">
        <v>320</v>
      </c>
      <c r="V201" s="908">
        <f>T201+P201</f>
        <v>2357</v>
      </c>
      <c r="W201" s="1026"/>
      <c r="X201" s="908">
        <f>U201+R201</f>
        <v>9990</v>
      </c>
      <c r="Y201" s="1021"/>
      <c r="Z201" s="965" t="s">
        <v>43</v>
      </c>
      <c r="AA201" s="1011"/>
      <c r="AB201" s="908">
        <v>9740</v>
      </c>
      <c r="AC201" s="1021"/>
      <c r="AD201" s="908">
        <f t="shared" si="78"/>
        <v>19185</v>
      </c>
      <c r="AE201" s="1021"/>
      <c r="AF201" s="768">
        <v>2019</v>
      </c>
      <c r="AG201" s="892" t="s">
        <v>353</v>
      </c>
      <c r="AH201" s="313"/>
    </row>
    <row r="202" spans="1:34" s="200" customFormat="1" ht="12.75" hidden="1" customHeight="1">
      <c r="A202" s="902"/>
      <c r="B202" s="874">
        <v>2019</v>
      </c>
      <c r="C202" s="1031" t="s">
        <v>4</v>
      </c>
      <c r="D202" s="923">
        <v>3061</v>
      </c>
      <c r="E202" s="908"/>
      <c r="F202" s="908">
        <v>8071</v>
      </c>
      <c r="G202" s="908"/>
      <c r="H202" s="908">
        <v>35</v>
      </c>
      <c r="I202" s="908"/>
      <c r="J202" s="908">
        <v>288</v>
      </c>
      <c r="K202" s="908"/>
      <c r="L202" s="1029">
        <f>D202+H202</f>
        <v>3096</v>
      </c>
      <c r="M202" s="1029"/>
      <c r="N202" s="908">
        <f t="shared" ref="N202:N209" si="79">F202+J202</f>
        <v>8359</v>
      </c>
      <c r="O202" s="1021"/>
      <c r="P202" s="923">
        <v>2879</v>
      </c>
      <c r="Q202" s="908"/>
      <c r="R202" s="908">
        <v>8844</v>
      </c>
      <c r="S202" s="908"/>
      <c r="T202" s="908">
        <v>10</v>
      </c>
      <c r="U202" s="908">
        <v>309</v>
      </c>
      <c r="V202" s="908">
        <f>T202+P202</f>
        <v>2889</v>
      </c>
      <c r="W202" s="1026"/>
      <c r="X202" s="908">
        <f t="shared" si="77"/>
        <v>9153</v>
      </c>
      <c r="Y202" s="1021"/>
      <c r="Z202" s="965" t="s">
        <v>43</v>
      </c>
      <c r="AA202" s="1011"/>
      <c r="AB202" s="908">
        <v>7460</v>
      </c>
      <c r="AC202" s="1021"/>
      <c r="AD202" s="908">
        <f t="shared" si="78"/>
        <v>15819</v>
      </c>
      <c r="AE202" s="1021"/>
      <c r="AF202" s="768">
        <v>2019</v>
      </c>
      <c r="AG202" s="892" t="s">
        <v>79</v>
      </c>
      <c r="AH202" s="313"/>
    </row>
    <row r="203" spans="1:34" s="200" customFormat="1" ht="12.75" hidden="1" customHeight="1">
      <c r="A203" s="902"/>
      <c r="B203" s="874">
        <v>2019</v>
      </c>
      <c r="C203" s="884" t="s">
        <v>30</v>
      </c>
      <c r="D203" s="923">
        <v>3035</v>
      </c>
      <c r="E203" s="908"/>
      <c r="F203" s="908">
        <v>10321</v>
      </c>
      <c r="G203" s="908"/>
      <c r="H203" s="908">
        <v>5</v>
      </c>
      <c r="I203" s="908"/>
      <c r="J203" s="908">
        <v>286</v>
      </c>
      <c r="K203" s="908"/>
      <c r="L203" s="1029">
        <f t="shared" ref="L203:L209" si="80">D203+H203</f>
        <v>3040</v>
      </c>
      <c r="M203" s="1029"/>
      <c r="N203" s="908">
        <f t="shared" si="79"/>
        <v>10607</v>
      </c>
      <c r="O203" s="1021"/>
      <c r="P203" s="923">
        <v>1334</v>
      </c>
      <c r="Q203" s="908"/>
      <c r="R203" s="908">
        <v>10670</v>
      </c>
      <c r="S203" s="908"/>
      <c r="T203" s="908">
        <v>23</v>
      </c>
      <c r="U203" s="908">
        <v>320</v>
      </c>
      <c r="V203" s="908">
        <f t="shared" si="76"/>
        <v>1357</v>
      </c>
      <c r="W203" s="1026"/>
      <c r="X203" s="908">
        <f t="shared" si="77"/>
        <v>10990</v>
      </c>
      <c r="Y203" s="1021"/>
      <c r="Z203" s="965" t="s">
        <v>43</v>
      </c>
      <c r="AA203" s="1011"/>
      <c r="AB203" s="908">
        <v>7555</v>
      </c>
      <c r="AC203" s="1021"/>
      <c r="AD203" s="908">
        <f t="shared" si="78"/>
        <v>18162</v>
      </c>
      <c r="AE203" s="1021"/>
      <c r="AF203" s="768">
        <v>2019</v>
      </c>
      <c r="AG203" s="892" t="s">
        <v>355</v>
      </c>
      <c r="AH203" s="313"/>
    </row>
    <row r="204" spans="1:34" s="200" customFormat="1" ht="12.75" hidden="1" customHeight="1">
      <c r="A204" s="902"/>
      <c r="B204" s="874">
        <v>2019</v>
      </c>
      <c r="C204" s="884" t="s">
        <v>266</v>
      </c>
      <c r="D204" s="923">
        <v>2258</v>
      </c>
      <c r="E204" s="908"/>
      <c r="F204" s="908">
        <v>12196</v>
      </c>
      <c r="G204" s="908"/>
      <c r="H204" s="908">
        <v>6</v>
      </c>
      <c r="I204" s="908"/>
      <c r="J204" s="908">
        <v>416</v>
      </c>
      <c r="K204" s="908"/>
      <c r="L204" s="1029">
        <f t="shared" si="80"/>
        <v>2264</v>
      </c>
      <c r="M204" s="1029"/>
      <c r="N204" s="908">
        <f t="shared" si="79"/>
        <v>12612</v>
      </c>
      <c r="O204" s="1021"/>
      <c r="P204" s="923">
        <v>2267</v>
      </c>
      <c r="Q204" s="908"/>
      <c r="R204" s="908">
        <v>14677</v>
      </c>
      <c r="S204" s="908"/>
      <c r="T204" s="908">
        <v>22</v>
      </c>
      <c r="U204" s="908">
        <v>387</v>
      </c>
      <c r="V204" s="908">
        <f t="shared" ref="V204:V209" si="81">T204+P204</f>
        <v>2289</v>
      </c>
      <c r="W204" s="1026"/>
      <c r="X204" s="908">
        <f t="shared" ref="X204:X209" si="82">U204+R204</f>
        <v>15064</v>
      </c>
      <c r="Y204" s="1021"/>
      <c r="Z204" s="965" t="s">
        <v>43</v>
      </c>
      <c r="AA204" s="1011"/>
      <c r="AB204" s="908">
        <v>10728</v>
      </c>
      <c r="AC204" s="1021"/>
      <c r="AD204" s="908">
        <f t="shared" si="78"/>
        <v>23340</v>
      </c>
      <c r="AE204" s="1021"/>
      <c r="AF204" s="768">
        <v>2019</v>
      </c>
      <c r="AG204" s="892" t="s">
        <v>81</v>
      </c>
      <c r="AH204" s="313"/>
    </row>
    <row r="205" spans="1:34" s="200" customFormat="1" ht="12.75" hidden="1" customHeight="1">
      <c r="A205" s="902"/>
      <c r="B205" s="874">
        <v>2019</v>
      </c>
      <c r="C205" s="884" t="s">
        <v>37</v>
      </c>
      <c r="D205" s="923">
        <v>2687</v>
      </c>
      <c r="E205" s="908"/>
      <c r="F205" s="908">
        <v>12032</v>
      </c>
      <c r="G205" s="908"/>
      <c r="H205" s="908">
        <v>19</v>
      </c>
      <c r="I205" s="908"/>
      <c r="J205" s="908">
        <v>243</v>
      </c>
      <c r="K205" s="908"/>
      <c r="L205" s="1029">
        <f t="shared" si="80"/>
        <v>2706</v>
      </c>
      <c r="M205" s="1029"/>
      <c r="N205" s="908">
        <f t="shared" si="79"/>
        <v>12275</v>
      </c>
      <c r="O205" s="1021"/>
      <c r="P205" s="923">
        <v>2676</v>
      </c>
      <c r="Q205" s="908"/>
      <c r="R205" s="908">
        <v>13317</v>
      </c>
      <c r="S205" s="908"/>
      <c r="T205" s="908">
        <v>46</v>
      </c>
      <c r="U205" s="908">
        <v>187</v>
      </c>
      <c r="V205" s="908">
        <f t="shared" si="81"/>
        <v>2722</v>
      </c>
      <c r="W205" s="1026"/>
      <c r="X205" s="908">
        <f t="shared" si="82"/>
        <v>13504</v>
      </c>
      <c r="Y205" s="1021"/>
      <c r="Z205" s="965" t="s">
        <v>43</v>
      </c>
      <c r="AA205" s="1011"/>
      <c r="AB205" s="908">
        <v>8402</v>
      </c>
      <c r="AC205" s="1021"/>
      <c r="AD205" s="908">
        <f t="shared" si="78"/>
        <v>20677</v>
      </c>
      <c r="AE205" s="1021"/>
      <c r="AF205" s="768">
        <v>2019</v>
      </c>
      <c r="AG205" s="892" t="s">
        <v>356</v>
      </c>
      <c r="AH205" s="313"/>
    </row>
    <row r="206" spans="1:34" s="200" customFormat="1" ht="12.75" hidden="1" customHeight="1">
      <c r="A206" s="902"/>
      <c r="B206" s="874">
        <v>2019</v>
      </c>
      <c r="C206" s="884" t="s">
        <v>31</v>
      </c>
      <c r="D206" s="923">
        <v>3689</v>
      </c>
      <c r="E206" s="908"/>
      <c r="F206" s="908">
        <v>11442</v>
      </c>
      <c r="G206" s="908"/>
      <c r="H206" s="908">
        <v>39</v>
      </c>
      <c r="I206" s="908"/>
      <c r="J206" s="908">
        <v>258</v>
      </c>
      <c r="K206" s="908"/>
      <c r="L206" s="1029">
        <f t="shared" si="80"/>
        <v>3728</v>
      </c>
      <c r="M206" s="1029"/>
      <c r="N206" s="908">
        <f t="shared" si="79"/>
        <v>11700</v>
      </c>
      <c r="O206" s="1021"/>
      <c r="P206" s="923">
        <v>6094</v>
      </c>
      <c r="Q206" s="908"/>
      <c r="R206" s="908">
        <v>22738</v>
      </c>
      <c r="S206" s="908"/>
      <c r="T206" s="908">
        <v>36</v>
      </c>
      <c r="U206" s="908">
        <v>420</v>
      </c>
      <c r="V206" s="908">
        <f t="shared" si="81"/>
        <v>6130</v>
      </c>
      <c r="W206" s="1026"/>
      <c r="X206" s="908">
        <f t="shared" si="82"/>
        <v>23158</v>
      </c>
      <c r="Y206" s="1021"/>
      <c r="Z206" s="965" t="s">
        <v>43</v>
      </c>
      <c r="AA206" s="1011"/>
      <c r="AB206" s="908">
        <v>7690</v>
      </c>
      <c r="AC206" s="1021"/>
      <c r="AD206" s="908">
        <f t="shared" si="78"/>
        <v>19390</v>
      </c>
      <c r="AE206" s="1021"/>
      <c r="AF206" s="768">
        <v>2019</v>
      </c>
      <c r="AG206" s="892" t="s">
        <v>31</v>
      </c>
      <c r="AH206" s="313"/>
    </row>
    <row r="207" spans="1:34" s="200" customFormat="1" ht="12.75" hidden="1" customHeight="1">
      <c r="A207" s="902"/>
      <c r="B207" s="874">
        <v>2019</v>
      </c>
      <c r="C207" s="884" t="s">
        <v>50</v>
      </c>
      <c r="D207" s="923">
        <v>3090</v>
      </c>
      <c r="E207" s="908"/>
      <c r="F207" s="908">
        <v>10516</v>
      </c>
      <c r="G207" s="908"/>
      <c r="H207" s="908">
        <v>16</v>
      </c>
      <c r="I207" s="908"/>
      <c r="J207" s="908">
        <v>364</v>
      </c>
      <c r="K207" s="908"/>
      <c r="L207" s="1029">
        <f t="shared" si="80"/>
        <v>3106</v>
      </c>
      <c r="M207" s="1029"/>
      <c r="N207" s="908">
        <f t="shared" si="79"/>
        <v>10880</v>
      </c>
      <c r="O207" s="1021"/>
      <c r="P207" s="923">
        <v>3818</v>
      </c>
      <c r="Q207" s="908"/>
      <c r="R207" s="908">
        <v>13287</v>
      </c>
      <c r="S207" s="908"/>
      <c r="T207" s="908">
        <v>46</v>
      </c>
      <c r="U207" s="908">
        <v>260</v>
      </c>
      <c r="V207" s="908">
        <f t="shared" si="81"/>
        <v>3864</v>
      </c>
      <c r="W207" s="1026"/>
      <c r="X207" s="908">
        <f t="shared" si="82"/>
        <v>13547</v>
      </c>
      <c r="Y207" s="1021"/>
      <c r="Z207" s="965" t="s">
        <v>43</v>
      </c>
      <c r="AA207" s="1011"/>
      <c r="AB207" s="908">
        <v>12863</v>
      </c>
      <c r="AC207" s="1021"/>
      <c r="AD207" s="908">
        <f t="shared" si="78"/>
        <v>23743</v>
      </c>
      <c r="AE207" s="1021"/>
      <c r="AF207" s="768">
        <v>2019</v>
      </c>
      <c r="AG207" s="892" t="s">
        <v>50</v>
      </c>
      <c r="AH207" s="313"/>
    </row>
    <row r="208" spans="1:34" s="200" customFormat="1" ht="12.75" hidden="1" customHeight="1">
      <c r="A208" s="902"/>
      <c r="B208" s="874">
        <v>2019</v>
      </c>
      <c r="C208" s="884" t="s">
        <v>348</v>
      </c>
      <c r="D208" s="923">
        <v>3160</v>
      </c>
      <c r="E208" s="908"/>
      <c r="F208" s="908">
        <v>9611</v>
      </c>
      <c r="G208" s="908"/>
      <c r="H208" s="908">
        <v>31</v>
      </c>
      <c r="I208" s="908"/>
      <c r="J208" s="908">
        <v>249</v>
      </c>
      <c r="K208" s="908"/>
      <c r="L208" s="1029">
        <f t="shared" si="80"/>
        <v>3191</v>
      </c>
      <c r="M208" s="1029"/>
      <c r="N208" s="908">
        <f t="shared" si="79"/>
        <v>9860</v>
      </c>
      <c r="O208" s="1021"/>
      <c r="P208" s="923">
        <v>3852</v>
      </c>
      <c r="Q208" s="908"/>
      <c r="R208" s="908">
        <v>10660</v>
      </c>
      <c r="S208" s="908"/>
      <c r="T208" s="908">
        <v>34</v>
      </c>
      <c r="U208" s="908">
        <v>148</v>
      </c>
      <c r="V208" s="908">
        <f t="shared" si="81"/>
        <v>3886</v>
      </c>
      <c r="W208" s="1026"/>
      <c r="X208" s="908">
        <f t="shared" si="82"/>
        <v>10808</v>
      </c>
      <c r="Y208" s="1021"/>
      <c r="Z208" s="965" t="s">
        <v>43</v>
      </c>
      <c r="AA208" s="1011"/>
      <c r="AB208" s="908">
        <v>10493</v>
      </c>
      <c r="AC208" s="1021"/>
      <c r="AD208" s="908">
        <f t="shared" si="78"/>
        <v>20353</v>
      </c>
      <c r="AE208" s="1021"/>
      <c r="AF208" s="768">
        <v>2019</v>
      </c>
      <c r="AG208" s="892" t="s">
        <v>348</v>
      </c>
      <c r="AH208" s="313"/>
    </row>
    <row r="209" spans="1:34" s="200" customFormat="1" ht="12.75" hidden="1" customHeight="1">
      <c r="A209" s="902"/>
      <c r="B209" s="874">
        <v>2019</v>
      </c>
      <c r="C209" s="884" t="s">
        <v>349</v>
      </c>
      <c r="D209" s="923">
        <v>4602</v>
      </c>
      <c r="E209" s="908"/>
      <c r="F209" s="908">
        <v>12084</v>
      </c>
      <c r="G209" s="908"/>
      <c r="H209" s="908">
        <v>70</v>
      </c>
      <c r="I209" s="908"/>
      <c r="J209" s="908">
        <v>397</v>
      </c>
      <c r="K209" s="908"/>
      <c r="L209" s="1029">
        <f t="shared" si="80"/>
        <v>4672</v>
      </c>
      <c r="M209" s="1029"/>
      <c r="N209" s="908">
        <f t="shared" si="79"/>
        <v>12481</v>
      </c>
      <c r="O209" s="1021"/>
      <c r="P209" s="923">
        <v>3082</v>
      </c>
      <c r="Q209" s="908"/>
      <c r="R209" s="908">
        <v>9854</v>
      </c>
      <c r="S209" s="908"/>
      <c r="T209" s="908">
        <v>258</v>
      </c>
      <c r="U209" s="908">
        <v>212</v>
      </c>
      <c r="V209" s="908">
        <f t="shared" si="81"/>
        <v>3340</v>
      </c>
      <c r="W209" s="1026"/>
      <c r="X209" s="908">
        <f t="shared" si="82"/>
        <v>10066</v>
      </c>
      <c r="Y209" s="1021"/>
      <c r="Z209" s="965" t="s">
        <v>43</v>
      </c>
      <c r="AA209" s="1011"/>
      <c r="AB209" s="908">
        <v>23900</v>
      </c>
      <c r="AC209" s="1021"/>
      <c r="AD209" s="908">
        <f t="shared" si="78"/>
        <v>36381</v>
      </c>
      <c r="AE209" s="1021"/>
      <c r="AF209" s="768">
        <v>2019</v>
      </c>
      <c r="AG209" s="892" t="s">
        <v>362</v>
      </c>
      <c r="AH209" s="313"/>
    </row>
    <row r="210" spans="1:34" s="200" customFormat="1" ht="12.75" hidden="1" customHeight="1">
      <c r="A210" s="902"/>
      <c r="B210" s="874">
        <v>2020</v>
      </c>
      <c r="C210" s="884" t="s">
        <v>33</v>
      </c>
      <c r="D210" s="923">
        <v>2610</v>
      </c>
      <c r="E210" s="908"/>
      <c r="F210" s="908">
        <v>11732</v>
      </c>
      <c r="G210" s="908"/>
      <c r="H210" s="908">
        <v>17</v>
      </c>
      <c r="I210" s="908"/>
      <c r="J210" s="908">
        <v>201</v>
      </c>
      <c r="K210" s="908"/>
      <c r="L210" s="1029">
        <v>2627</v>
      </c>
      <c r="M210" s="1029"/>
      <c r="N210" s="908">
        <v>11933</v>
      </c>
      <c r="O210" s="1021"/>
      <c r="P210" s="923">
        <v>2754</v>
      </c>
      <c r="Q210" s="908"/>
      <c r="R210" s="908">
        <v>15805</v>
      </c>
      <c r="S210" s="908"/>
      <c r="T210" s="908">
        <v>253</v>
      </c>
      <c r="U210" s="908">
        <v>37</v>
      </c>
      <c r="V210" s="908">
        <f>P210+T210</f>
        <v>3007</v>
      </c>
      <c r="W210" s="1026"/>
      <c r="X210" s="908">
        <f>R210+U210</f>
        <v>15842</v>
      </c>
      <c r="Y210" s="1021"/>
      <c r="Z210" s="965" t="s">
        <v>43</v>
      </c>
      <c r="AA210" s="1011"/>
      <c r="AB210" s="908">
        <v>36023</v>
      </c>
      <c r="AC210" s="1021"/>
      <c r="AD210" s="908">
        <f>N210+AB210</f>
        <v>47956</v>
      </c>
      <c r="AE210" s="1021"/>
      <c r="AF210" s="768">
        <v>2020</v>
      </c>
      <c r="AG210" s="892" t="s">
        <v>33</v>
      </c>
      <c r="AH210" s="286"/>
    </row>
    <row r="211" spans="1:34" s="200" customFormat="1" ht="12.75" hidden="1" customHeight="1">
      <c r="A211" s="902"/>
      <c r="B211" s="874">
        <v>2020</v>
      </c>
      <c r="C211" s="884" t="s">
        <v>34</v>
      </c>
      <c r="D211" s="923">
        <v>2070</v>
      </c>
      <c r="E211" s="908"/>
      <c r="F211" s="908">
        <v>6594</v>
      </c>
      <c r="G211" s="908"/>
      <c r="H211" s="908">
        <v>0</v>
      </c>
      <c r="I211" s="908"/>
      <c r="J211" s="908">
        <v>0</v>
      </c>
      <c r="K211" s="919"/>
      <c r="L211" s="1029">
        <v>2070</v>
      </c>
      <c r="M211" s="1029"/>
      <c r="N211" s="908">
        <v>6594</v>
      </c>
      <c r="O211" s="1021"/>
      <c r="P211" s="923">
        <v>3429</v>
      </c>
      <c r="Q211" s="908"/>
      <c r="R211" s="908">
        <v>6890</v>
      </c>
      <c r="S211" s="908"/>
      <c r="T211" s="965" t="s">
        <v>43</v>
      </c>
      <c r="U211" s="908">
        <v>0</v>
      </c>
      <c r="V211" s="908">
        <v>3429</v>
      </c>
      <c r="W211" s="1026"/>
      <c r="X211" s="908">
        <v>6890</v>
      </c>
      <c r="Y211" s="1021"/>
      <c r="Z211" s="965" t="s">
        <v>43</v>
      </c>
      <c r="AA211" s="1011"/>
      <c r="AB211" s="908">
        <v>16493</v>
      </c>
      <c r="AC211" s="1021"/>
      <c r="AD211" s="908">
        <f>N211+AB211</f>
        <v>23087</v>
      </c>
      <c r="AE211" s="1021"/>
      <c r="AF211" s="768">
        <v>2020</v>
      </c>
      <c r="AG211" s="892" t="s">
        <v>77</v>
      </c>
      <c r="AH211" s="286"/>
    </row>
    <row r="212" spans="1:34" s="200" customFormat="1" ht="12.75" hidden="1" customHeight="1">
      <c r="A212" s="902"/>
      <c r="B212" s="874">
        <v>2020</v>
      </c>
      <c r="C212" s="884" t="s">
        <v>29</v>
      </c>
      <c r="D212" s="923">
        <v>1229</v>
      </c>
      <c r="E212" s="908"/>
      <c r="F212" s="908">
        <v>3438</v>
      </c>
      <c r="G212" s="908"/>
      <c r="H212" s="908">
        <v>0</v>
      </c>
      <c r="I212" s="908"/>
      <c r="J212" s="908">
        <v>0</v>
      </c>
      <c r="K212" s="919"/>
      <c r="L212" s="1029">
        <v>1229</v>
      </c>
      <c r="M212" s="1029"/>
      <c r="N212" s="908">
        <v>3438</v>
      </c>
      <c r="O212" s="1021"/>
      <c r="P212" s="923">
        <v>1904</v>
      </c>
      <c r="Q212" s="908"/>
      <c r="R212" s="908">
        <v>4793</v>
      </c>
      <c r="S212" s="908"/>
      <c r="T212" s="965" t="s">
        <v>43</v>
      </c>
      <c r="U212" s="908">
        <v>2</v>
      </c>
      <c r="V212" s="908">
        <v>1904</v>
      </c>
      <c r="W212" s="1026"/>
      <c r="X212" s="908">
        <v>4795</v>
      </c>
      <c r="Y212" s="1021"/>
      <c r="Z212" s="965" t="s">
        <v>43</v>
      </c>
      <c r="AA212" s="1011"/>
      <c r="AB212" s="908">
        <v>7885</v>
      </c>
      <c r="AC212" s="1021"/>
      <c r="AD212" s="908">
        <f t="shared" ref="AD212:AD225" si="83">AB212+N212</f>
        <v>11323</v>
      </c>
      <c r="AE212" s="1021"/>
      <c r="AF212" s="768">
        <v>2020</v>
      </c>
      <c r="AG212" s="892" t="s">
        <v>29</v>
      </c>
      <c r="AH212" s="286"/>
    </row>
    <row r="213" spans="1:34" s="200" customFormat="1" ht="12.75" hidden="1" customHeight="1">
      <c r="A213" s="902"/>
      <c r="B213" s="874">
        <v>2020</v>
      </c>
      <c r="C213" s="884" t="s">
        <v>35</v>
      </c>
      <c r="D213" s="923">
        <v>0</v>
      </c>
      <c r="E213" s="908"/>
      <c r="F213" s="908">
        <v>0</v>
      </c>
      <c r="G213" s="908"/>
      <c r="H213" s="908">
        <v>0</v>
      </c>
      <c r="I213" s="908"/>
      <c r="J213" s="908">
        <v>0</v>
      </c>
      <c r="K213" s="919"/>
      <c r="L213" s="1029">
        <v>0</v>
      </c>
      <c r="M213" s="1029"/>
      <c r="N213" s="908">
        <v>0</v>
      </c>
      <c r="O213" s="1021"/>
      <c r="P213" s="923">
        <v>39</v>
      </c>
      <c r="Q213" s="908"/>
      <c r="R213" s="908">
        <v>228</v>
      </c>
      <c r="S213" s="908"/>
      <c r="T213" s="965" t="s">
        <v>43</v>
      </c>
      <c r="U213" s="908">
        <v>0</v>
      </c>
      <c r="V213" s="908">
        <v>39</v>
      </c>
      <c r="W213" s="1026"/>
      <c r="X213" s="908">
        <v>228</v>
      </c>
      <c r="Y213" s="1021"/>
      <c r="Z213" s="965" t="s">
        <v>43</v>
      </c>
      <c r="AA213" s="1011"/>
      <c r="AB213" s="908">
        <v>0</v>
      </c>
      <c r="AC213" s="1021"/>
      <c r="AD213" s="908">
        <f t="shared" si="83"/>
        <v>0</v>
      </c>
      <c r="AE213" s="1021"/>
      <c r="AF213" s="768">
        <v>2020</v>
      </c>
      <c r="AG213" s="892" t="s">
        <v>78</v>
      </c>
      <c r="AH213" s="286"/>
    </row>
    <row r="214" spans="1:34" s="200" customFormat="1" ht="12.75" hidden="1" customHeight="1">
      <c r="A214" s="902"/>
      <c r="B214" s="874">
        <v>2020</v>
      </c>
      <c r="C214" s="884" t="s">
        <v>4</v>
      </c>
      <c r="D214" s="923">
        <v>0</v>
      </c>
      <c r="E214" s="908"/>
      <c r="F214" s="908">
        <v>0</v>
      </c>
      <c r="G214" s="908"/>
      <c r="H214" s="908">
        <v>0</v>
      </c>
      <c r="I214" s="908"/>
      <c r="J214" s="908">
        <v>0</v>
      </c>
      <c r="K214" s="919"/>
      <c r="L214" s="1029">
        <v>0</v>
      </c>
      <c r="M214" s="1029"/>
      <c r="N214" s="908">
        <v>0</v>
      </c>
      <c r="O214" s="1021"/>
      <c r="P214" s="923">
        <v>19</v>
      </c>
      <c r="Q214" s="908"/>
      <c r="R214" s="908">
        <v>54</v>
      </c>
      <c r="S214" s="908"/>
      <c r="T214" s="965" t="s">
        <v>43</v>
      </c>
      <c r="U214" s="908">
        <v>0</v>
      </c>
      <c r="V214" s="908">
        <v>19</v>
      </c>
      <c r="W214" s="1026"/>
      <c r="X214" s="908">
        <v>54</v>
      </c>
      <c r="Y214" s="1021"/>
      <c r="Z214" s="965" t="s">
        <v>43</v>
      </c>
      <c r="AA214" s="1011"/>
      <c r="AB214" s="908">
        <v>0</v>
      </c>
      <c r="AC214" s="1021"/>
      <c r="AD214" s="908">
        <f t="shared" si="83"/>
        <v>0</v>
      </c>
      <c r="AE214" s="1021"/>
      <c r="AF214" s="768">
        <v>2020</v>
      </c>
      <c r="AG214" s="892" t="s">
        <v>79</v>
      </c>
      <c r="AH214" s="286"/>
    </row>
    <row r="215" spans="1:34" s="200" customFormat="1" ht="12.75" hidden="1" customHeight="1">
      <c r="A215" s="902"/>
      <c r="B215" s="874">
        <v>2020</v>
      </c>
      <c r="C215" s="884" t="s">
        <v>30</v>
      </c>
      <c r="D215" s="923">
        <v>1460</v>
      </c>
      <c r="E215" s="908"/>
      <c r="F215" s="908">
        <v>0</v>
      </c>
      <c r="G215" s="908" t="s">
        <v>41</v>
      </c>
      <c r="H215" s="908">
        <v>0</v>
      </c>
      <c r="I215" s="908"/>
      <c r="J215" s="908">
        <v>0</v>
      </c>
      <c r="K215" s="908"/>
      <c r="L215" s="1029">
        <v>1460</v>
      </c>
      <c r="M215" s="1029"/>
      <c r="N215" s="908">
        <v>0</v>
      </c>
      <c r="O215" s="1021" t="s">
        <v>41</v>
      </c>
      <c r="P215" s="923">
        <v>11</v>
      </c>
      <c r="Q215" s="908"/>
      <c r="R215" s="908">
        <v>121</v>
      </c>
      <c r="S215" s="908"/>
      <c r="T215" s="965" t="s">
        <v>43</v>
      </c>
      <c r="U215" s="908">
        <v>0</v>
      </c>
      <c r="V215" s="908">
        <v>11</v>
      </c>
      <c r="W215" s="1026"/>
      <c r="X215" s="908">
        <v>121</v>
      </c>
      <c r="Y215" s="1021"/>
      <c r="Z215" s="965" t="s">
        <v>43</v>
      </c>
      <c r="AA215" s="1011"/>
      <c r="AB215" s="908">
        <v>0</v>
      </c>
      <c r="AC215" s="1021"/>
      <c r="AD215" s="908">
        <f t="shared" si="83"/>
        <v>0</v>
      </c>
      <c r="AE215" s="1021"/>
      <c r="AF215" s="768">
        <v>2020</v>
      </c>
      <c r="AG215" s="892" t="s">
        <v>80</v>
      </c>
      <c r="AH215" s="286"/>
    </row>
    <row r="216" spans="1:34" s="200" customFormat="1" ht="12.75" hidden="1" customHeight="1">
      <c r="A216" s="902"/>
      <c r="B216" s="874">
        <v>2020</v>
      </c>
      <c r="C216" s="884" t="s">
        <v>266</v>
      </c>
      <c r="D216" s="923">
        <v>0</v>
      </c>
      <c r="E216" s="908"/>
      <c r="F216" s="908">
        <v>0</v>
      </c>
      <c r="G216" s="908"/>
      <c r="H216" s="908">
        <v>0</v>
      </c>
      <c r="I216" s="908"/>
      <c r="J216" s="908">
        <v>0</v>
      </c>
      <c r="K216" s="908"/>
      <c r="L216" s="1029">
        <v>0</v>
      </c>
      <c r="M216" s="1029"/>
      <c r="N216" s="908">
        <v>0</v>
      </c>
      <c r="O216" s="1021"/>
      <c r="P216" s="923">
        <v>41</v>
      </c>
      <c r="Q216" s="908"/>
      <c r="R216" s="908">
        <v>37</v>
      </c>
      <c r="S216" s="908"/>
      <c r="T216" s="965" t="s">
        <v>43</v>
      </c>
      <c r="U216" s="908">
        <v>0</v>
      </c>
      <c r="V216" s="908">
        <v>41</v>
      </c>
      <c r="W216" s="1026"/>
      <c r="X216" s="908">
        <v>37</v>
      </c>
      <c r="Y216" s="1021"/>
      <c r="Z216" s="965" t="s">
        <v>43</v>
      </c>
      <c r="AA216" s="1011"/>
      <c r="AB216" s="908">
        <v>0</v>
      </c>
      <c r="AC216" s="1021"/>
      <c r="AD216" s="908">
        <f t="shared" si="83"/>
        <v>0</v>
      </c>
      <c r="AE216" s="1021"/>
      <c r="AF216" s="768">
        <v>2020</v>
      </c>
      <c r="AG216" s="892" t="s">
        <v>81</v>
      </c>
      <c r="AH216" s="286"/>
    </row>
    <row r="217" spans="1:34" s="200" customFormat="1" ht="12.75" hidden="1" customHeight="1">
      <c r="A217" s="902"/>
      <c r="B217" s="874">
        <v>2020</v>
      </c>
      <c r="C217" s="884" t="s">
        <v>271</v>
      </c>
      <c r="D217" s="923">
        <v>141</v>
      </c>
      <c r="E217" s="908"/>
      <c r="F217" s="908">
        <v>0</v>
      </c>
      <c r="G217" s="908"/>
      <c r="H217" s="908">
        <v>0</v>
      </c>
      <c r="I217" s="908"/>
      <c r="J217" s="908">
        <v>0</v>
      </c>
      <c r="K217" s="908"/>
      <c r="L217" s="1029">
        <v>141</v>
      </c>
      <c r="M217" s="1029"/>
      <c r="N217" s="908">
        <v>0</v>
      </c>
      <c r="O217" s="1021"/>
      <c r="P217" s="923">
        <v>29</v>
      </c>
      <c r="Q217" s="908"/>
      <c r="R217" s="908">
        <v>15</v>
      </c>
      <c r="S217" s="908"/>
      <c r="T217" s="965" t="s">
        <v>43</v>
      </c>
      <c r="U217" s="908">
        <v>0</v>
      </c>
      <c r="V217" s="908">
        <v>29</v>
      </c>
      <c r="W217" s="1026"/>
      <c r="X217" s="908">
        <v>15</v>
      </c>
      <c r="Y217" s="1021"/>
      <c r="Z217" s="965" t="s">
        <v>43</v>
      </c>
      <c r="AA217" s="1011"/>
      <c r="AB217" s="908">
        <v>0</v>
      </c>
      <c r="AC217" s="1021"/>
      <c r="AD217" s="908">
        <f t="shared" si="83"/>
        <v>0</v>
      </c>
      <c r="AE217" s="1021"/>
      <c r="AF217" s="768">
        <v>2020</v>
      </c>
      <c r="AG217" s="892" t="s">
        <v>82</v>
      </c>
      <c r="AH217" s="286"/>
    </row>
    <row r="218" spans="1:34" s="200" customFormat="1" ht="12.75" hidden="1" customHeight="1">
      <c r="A218" s="902"/>
      <c r="B218" s="874">
        <v>2020</v>
      </c>
      <c r="C218" s="884" t="s">
        <v>347</v>
      </c>
      <c r="D218" s="923">
        <v>1156</v>
      </c>
      <c r="E218" s="908"/>
      <c r="F218" s="908">
        <v>0</v>
      </c>
      <c r="G218" s="908"/>
      <c r="H218" s="908">
        <v>0</v>
      </c>
      <c r="I218" s="908"/>
      <c r="J218" s="908">
        <v>0</v>
      </c>
      <c r="K218" s="908"/>
      <c r="L218" s="1029">
        <v>1156</v>
      </c>
      <c r="M218" s="1029"/>
      <c r="N218" s="908">
        <v>0</v>
      </c>
      <c r="O218" s="1021"/>
      <c r="P218" s="923">
        <v>237</v>
      </c>
      <c r="Q218" s="908"/>
      <c r="R218" s="908">
        <v>49</v>
      </c>
      <c r="S218" s="908"/>
      <c r="T218" s="965" t="s">
        <v>43</v>
      </c>
      <c r="U218" s="908">
        <v>0</v>
      </c>
      <c r="V218" s="908">
        <v>237</v>
      </c>
      <c r="W218" s="1026"/>
      <c r="X218" s="908">
        <v>49</v>
      </c>
      <c r="Y218" s="1021"/>
      <c r="Z218" s="965" t="s">
        <v>43</v>
      </c>
      <c r="AA218" s="1011"/>
      <c r="AB218" s="908">
        <v>0</v>
      </c>
      <c r="AC218" s="1021"/>
      <c r="AD218" s="908">
        <f t="shared" si="83"/>
        <v>0</v>
      </c>
      <c r="AE218" s="1021"/>
      <c r="AF218" s="768">
        <v>2020</v>
      </c>
      <c r="AG218" s="892" t="s">
        <v>31</v>
      </c>
      <c r="AH218" s="286"/>
    </row>
    <row r="219" spans="1:34" s="200" customFormat="1" ht="12.75" hidden="1" customHeight="1">
      <c r="A219" s="902"/>
      <c r="B219" s="874">
        <v>2020</v>
      </c>
      <c r="C219" s="884" t="s">
        <v>50</v>
      </c>
      <c r="D219" s="923">
        <v>705</v>
      </c>
      <c r="E219" s="908"/>
      <c r="F219" s="908">
        <v>0</v>
      </c>
      <c r="G219" s="908"/>
      <c r="H219" s="908">
        <v>0</v>
      </c>
      <c r="I219" s="908"/>
      <c r="J219" s="908">
        <v>0</v>
      </c>
      <c r="K219" s="919"/>
      <c r="L219" s="1029">
        <v>705</v>
      </c>
      <c r="M219" s="1029"/>
      <c r="N219" s="908">
        <v>0</v>
      </c>
      <c r="O219" s="1021"/>
      <c r="P219" s="923">
        <v>228</v>
      </c>
      <c r="Q219" s="908"/>
      <c r="R219" s="908">
        <v>22</v>
      </c>
      <c r="S219" s="908"/>
      <c r="T219" s="965" t="s">
        <v>43</v>
      </c>
      <c r="U219" s="908">
        <v>0</v>
      </c>
      <c r="V219" s="908">
        <v>228</v>
      </c>
      <c r="W219" s="1026"/>
      <c r="X219" s="908">
        <v>22</v>
      </c>
      <c r="Y219" s="1021"/>
      <c r="Z219" s="965" t="s">
        <v>43</v>
      </c>
      <c r="AA219" s="1011"/>
      <c r="AB219" s="908">
        <v>0</v>
      </c>
      <c r="AC219" s="1021"/>
      <c r="AD219" s="908">
        <f t="shared" si="83"/>
        <v>0</v>
      </c>
      <c r="AE219" s="1021"/>
      <c r="AF219" s="768">
        <v>2022</v>
      </c>
      <c r="AG219" s="892" t="s">
        <v>38</v>
      </c>
      <c r="AH219" s="286"/>
    </row>
    <row r="220" spans="1:34" s="200" customFormat="1" ht="12.75" hidden="1" customHeight="1">
      <c r="A220" s="902"/>
      <c r="B220" s="874">
        <v>2020</v>
      </c>
      <c r="C220" s="884" t="s">
        <v>348</v>
      </c>
      <c r="D220" s="923">
        <v>515</v>
      </c>
      <c r="E220" s="908"/>
      <c r="F220" s="908">
        <v>0</v>
      </c>
      <c r="G220" s="908"/>
      <c r="H220" s="908">
        <v>0</v>
      </c>
      <c r="I220" s="908"/>
      <c r="J220" s="908">
        <v>0</v>
      </c>
      <c r="K220" s="908"/>
      <c r="L220" s="1029">
        <v>515</v>
      </c>
      <c r="M220" s="1029"/>
      <c r="N220" s="908">
        <v>0</v>
      </c>
      <c r="O220" s="1021"/>
      <c r="P220" s="923">
        <v>94</v>
      </c>
      <c r="Q220" s="908"/>
      <c r="R220" s="908">
        <v>28</v>
      </c>
      <c r="S220" s="908"/>
      <c r="T220" s="965" t="s">
        <v>43</v>
      </c>
      <c r="U220" s="965">
        <v>0</v>
      </c>
      <c r="V220" s="908">
        <v>94</v>
      </c>
      <c r="W220" s="1026"/>
      <c r="X220" s="908">
        <v>28</v>
      </c>
      <c r="Y220" s="1021"/>
      <c r="Z220" s="965" t="s">
        <v>43</v>
      </c>
      <c r="AA220" s="1011"/>
      <c r="AB220" s="908">
        <v>0</v>
      </c>
      <c r="AC220" s="1021"/>
      <c r="AD220" s="908">
        <f t="shared" si="83"/>
        <v>0</v>
      </c>
      <c r="AE220" s="1021"/>
      <c r="AF220" s="768">
        <v>2020</v>
      </c>
      <c r="AG220" s="892" t="s">
        <v>39</v>
      </c>
      <c r="AH220" s="286"/>
    </row>
    <row r="221" spans="1:34" s="200" customFormat="1" ht="12.75" hidden="1" customHeight="1">
      <c r="A221" s="902"/>
      <c r="B221" s="874">
        <v>2020</v>
      </c>
      <c r="C221" s="884" t="s">
        <v>349</v>
      </c>
      <c r="D221" s="923">
        <v>506</v>
      </c>
      <c r="E221" s="908"/>
      <c r="F221" s="908">
        <v>0</v>
      </c>
      <c r="G221" s="908"/>
      <c r="H221" s="908">
        <v>0</v>
      </c>
      <c r="I221" s="908"/>
      <c r="J221" s="908">
        <v>0</v>
      </c>
      <c r="K221" s="919"/>
      <c r="L221" s="1029">
        <v>506</v>
      </c>
      <c r="M221" s="1029"/>
      <c r="N221" s="908">
        <v>0</v>
      </c>
      <c r="O221" s="1021"/>
      <c r="P221" s="923">
        <v>337</v>
      </c>
      <c r="Q221" s="908"/>
      <c r="R221" s="908">
        <v>53</v>
      </c>
      <c r="S221" s="908"/>
      <c r="T221" s="965" t="s">
        <v>43</v>
      </c>
      <c r="U221" s="908">
        <v>0</v>
      </c>
      <c r="V221" s="908">
        <v>337</v>
      </c>
      <c r="W221" s="1026"/>
      <c r="X221" s="908">
        <v>53</v>
      </c>
      <c r="Y221" s="1021"/>
      <c r="Z221" s="965" t="s">
        <v>43</v>
      </c>
      <c r="AA221" s="1011"/>
      <c r="AB221" s="908">
        <v>0</v>
      </c>
      <c r="AC221" s="1021"/>
      <c r="AD221" s="908">
        <f t="shared" si="83"/>
        <v>0</v>
      </c>
      <c r="AE221" s="1021"/>
      <c r="AF221" s="768">
        <v>2022</v>
      </c>
      <c r="AG221" s="892" t="s">
        <v>83</v>
      </c>
      <c r="AH221" s="286"/>
    </row>
    <row r="222" spans="1:34" s="200" customFormat="1" ht="12.75" hidden="1" customHeight="1">
      <c r="A222" s="902"/>
      <c r="B222" s="874">
        <v>2021</v>
      </c>
      <c r="C222" s="884" t="s">
        <v>260</v>
      </c>
      <c r="D222" s="923">
        <v>325</v>
      </c>
      <c r="E222" s="908"/>
      <c r="F222" s="908">
        <v>0</v>
      </c>
      <c r="G222" s="908" t="s">
        <v>41</v>
      </c>
      <c r="H222" s="908">
        <v>0</v>
      </c>
      <c r="I222" s="908"/>
      <c r="J222" s="908">
        <v>0</v>
      </c>
      <c r="K222" s="919"/>
      <c r="L222" s="1029">
        <v>325</v>
      </c>
      <c r="M222" s="1029"/>
      <c r="N222" s="908">
        <v>0</v>
      </c>
      <c r="O222" s="1021" t="s">
        <v>41</v>
      </c>
      <c r="P222" s="923">
        <v>660</v>
      </c>
      <c r="Q222" s="908"/>
      <c r="R222" s="965" t="s">
        <v>43</v>
      </c>
      <c r="S222" s="908" t="s">
        <v>41</v>
      </c>
      <c r="T222" s="965" t="s">
        <v>43</v>
      </c>
      <c r="U222" s="908">
        <v>0</v>
      </c>
      <c r="V222" s="908">
        <v>660</v>
      </c>
      <c r="W222" s="1026"/>
      <c r="X222" s="908">
        <v>0</v>
      </c>
      <c r="Y222" s="1021" t="s">
        <v>41</v>
      </c>
      <c r="Z222" s="965" t="s">
        <v>43</v>
      </c>
      <c r="AA222" s="1011"/>
      <c r="AB222" s="908">
        <v>0</v>
      </c>
      <c r="AC222" s="1021"/>
      <c r="AD222" s="908">
        <f t="shared" si="83"/>
        <v>0</v>
      </c>
      <c r="AE222" s="1021"/>
      <c r="AF222" s="768">
        <v>2021</v>
      </c>
      <c r="AG222" s="892" t="s">
        <v>33</v>
      </c>
      <c r="AH222" s="313"/>
    </row>
    <row r="223" spans="1:34" s="200" customFormat="1" ht="12.75" hidden="1" customHeight="1">
      <c r="A223" s="902"/>
      <c r="B223" s="874">
        <v>2021</v>
      </c>
      <c r="C223" s="884" t="s">
        <v>34</v>
      </c>
      <c r="D223" s="923">
        <v>209</v>
      </c>
      <c r="E223" s="908"/>
      <c r="F223" s="908">
        <v>0</v>
      </c>
      <c r="G223" s="908"/>
      <c r="H223" s="908">
        <v>0</v>
      </c>
      <c r="I223" s="908"/>
      <c r="J223" s="908">
        <v>0</v>
      </c>
      <c r="K223" s="908"/>
      <c r="L223" s="1029">
        <v>209</v>
      </c>
      <c r="M223" s="1029"/>
      <c r="N223" s="908">
        <v>0</v>
      </c>
      <c r="O223" s="1021"/>
      <c r="P223" s="923">
        <v>936</v>
      </c>
      <c r="Q223" s="908"/>
      <c r="R223" s="965" t="s">
        <v>43</v>
      </c>
      <c r="S223" s="908"/>
      <c r="T223" s="965" t="s">
        <v>43</v>
      </c>
      <c r="U223" s="908">
        <v>0</v>
      </c>
      <c r="V223" s="908">
        <v>936</v>
      </c>
      <c r="W223" s="1026"/>
      <c r="X223" s="908">
        <v>0</v>
      </c>
      <c r="Y223" s="1021"/>
      <c r="Z223" s="965" t="s">
        <v>43</v>
      </c>
      <c r="AA223" s="1011"/>
      <c r="AB223" s="908">
        <v>0</v>
      </c>
      <c r="AC223" s="1021"/>
      <c r="AD223" s="908">
        <f t="shared" si="83"/>
        <v>0</v>
      </c>
      <c r="AE223" s="1021"/>
      <c r="AF223" s="768">
        <v>2021</v>
      </c>
      <c r="AG223" s="892" t="s">
        <v>77</v>
      </c>
      <c r="AH223" s="313"/>
    </row>
    <row r="224" spans="1:34" s="200" customFormat="1" ht="12.75" hidden="1" customHeight="1">
      <c r="A224" s="902"/>
      <c r="B224" s="874">
        <v>2021</v>
      </c>
      <c r="C224" s="884" t="s">
        <v>29</v>
      </c>
      <c r="D224" s="923">
        <v>279</v>
      </c>
      <c r="E224" s="908"/>
      <c r="F224" s="908">
        <v>0</v>
      </c>
      <c r="G224" s="908"/>
      <c r="H224" s="908">
        <v>0</v>
      </c>
      <c r="I224" s="908"/>
      <c r="J224" s="908">
        <v>0</v>
      </c>
      <c r="K224" s="919"/>
      <c r="L224" s="1029">
        <v>279</v>
      </c>
      <c r="M224" s="1029"/>
      <c r="N224" s="908">
        <v>0</v>
      </c>
      <c r="O224" s="1021"/>
      <c r="P224" s="923">
        <v>882</v>
      </c>
      <c r="Q224" s="908"/>
      <c r="R224" s="965" t="s">
        <v>43</v>
      </c>
      <c r="S224" s="908"/>
      <c r="T224" s="965" t="s">
        <v>43</v>
      </c>
      <c r="U224" s="908">
        <v>0</v>
      </c>
      <c r="V224" s="908">
        <v>882</v>
      </c>
      <c r="W224" s="1026"/>
      <c r="X224" s="908">
        <v>0</v>
      </c>
      <c r="Y224" s="1021"/>
      <c r="Z224" s="965" t="s">
        <v>43</v>
      </c>
      <c r="AA224" s="1011"/>
      <c r="AB224" s="908">
        <v>0</v>
      </c>
      <c r="AC224" s="1021"/>
      <c r="AD224" s="908">
        <f t="shared" si="83"/>
        <v>0</v>
      </c>
      <c r="AE224" s="1021"/>
      <c r="AF224" s="768">
        <v>2021</v>
      </c>
      <c r="AG224" s="892" t="s">
        <v>65</v>
      </c>
      <c r="AH224" s="313"/>
    </row>
    <row r="225" spans="1:34" s="200" customFormat="1" ht="12.75" hidden="1" customHeight="1">
      <c r="A225" s="902"/>
      <c r="B225" s="874">
        <v>2021</v>
      </c>
      <c r="C225" s="884" t="s">
        <v>351</v>
      </c>
      <c r="D225" s="923">
        <v>245</v>
      </c>
      <c r="E225" s="908"/>
      <c r="F225" s="908">
        <v>0</v>
      </c>
      <c r="G225" s="908"/>
      <c r="H225" s="908">
        <v>0</v>
      </c>
      <c r="I225" s="908"/>
      <c r="J225" s="908">
        <v>0</v>
      </c>
      <c r="K225" s="919"/>
      <c r="L225" s="1029">
        <v>245</v>
      </c>
      <c r="M225" s="1029"/>
      <c r="N225" s="908">
        <v>0</v>
      </c>
      <c r="O225" s="1021"/>
      <c r="P225" s="923">
        <v>575</v>
      </c>
      <c r="Q225" s="908"/>
      <c r="R225" s="965" t="s">
        <v>43</v>
      </c>
      <c r="S225" s="908"/>
      <c r="T225" s="965" t="s">
        <v>43</v>
      </c>
      <c r="U225" s="908">
        <v>0</v>
      </c>
      <c r="V225" s="908">
        <v>575</v>
      </c>
      <c r="W225" s="1026"/>
      <c r="X225" s="908">
        <v>0</v>
      </c>
      <c r="Y225" s="908"/>
      <c r="Z225" s="1012" t="s">
        <v>43</v>
      </c>
      <c r="AA225" s="1011"/>
      <c r="AB225" s="908">
        <v>0</v>
      </c>
      <c r="AC225" s="1021"/>
      <c r="AD225" s="908">
        <f t="shared" si="83"/>
        <v>0</v>
      </c>
      <c r="AE225" s="1021"/>
      <c r="AF225" s="768">
        <v>2021</v>
      </c>
      <c r="AG225" s="892" t="s">
        <v>353</v>
      </c>
      <c r="AH225" s="313"/>
    </row>
    <row r="226" spans="1:34" s="200" customFormat="1" ht="12.75" hidden="1" customHeight="1">
      <c r="A226" s="902"/>
      <c r="B226" s="874">
        <v>2021</v>
      </c>
      <c r="C226" s="884" t="s">
        <v>4</v>
      </c>
      <c r="D226" s="923">
        <v>355</v>
      </c>
      <c r="E226" s="908"/>
      <c r="F226" s="908">
        <v>0</v>
      </c>
      <c r="G226" s="908"/>
      <c r="H226" s="908">
        <v>0</v>
      </c>
      <c r="I226" s="908"/>
      <c r="J226" s="908">
        <v>0</v>
      </c>
      <c r="K226" s="919"/>
      <c r="L226" s="1029">
        <v>355</v>
      </c>
      <c r="M226" s="1029"/>
      <c r="N226" s="908">
        <v>0</v>
      </c>
      <c r="O226" s="1021"/>
      <c r="P226" s="923">
        <v>688</v>
      </c>
      <c r="Q226" s="908"/>
      <c r="R226" s="965" t="s">
        <v>43</v>
      </c>
      <c r="S226" s="908"/>
      <c r="T226" s="965" t="s">
        <v>43</v>
      </c>
      <c r="U226" s="908">
        <v>0</v>
      </c>
      <c r="V226" s="908">
        <v>688</v>
      </c>
      <c r="W226" s="1026"/>
      <c r="X226" s="908">
        <v>0</v>
      </c>
      <c r="Y226" s="908"/>
      <c r="Z226" s="1012" t="s">
        <v>43</v>
      </c>
      <c r="AA226" s="1011"/>
      <c r="AB226" s="908">
        <v>0</v>
      </c>
      <c r="AC226" s="1021"/>
      <c r="AD226" s="908">
        <f>N226+X226</f>
        <v>0</v>
      </c>
      <c r="AE226" s="1021"/>
      <c r="AF226" s="768">
        <v>2021</v>
      </c>
      <c r="AG226" s="892" t="s">
        <v>354</v>
      </c>
      <c r="AH226" s="313"/>
    </row>
    <row r="227" spans="1:34" s="200" customFormat="1" ht="12.75" hidden="1" customHeight="1">
      <c r="A227" s="902"/>
      <c r="B227" s="874">
        <v>2021</v>
      </c>
      <c r="C227" s="884" t="s">
        <v>30</v>
      </c>
      <c r="D227" s="923">
        <v>376</v>
      </c>
      <c r="E227" s="908"/>
      <c r="F227" s="908">
        <v>0</v>
      </c>
      <c r="G227" s="908"/>
      <c r="H227" s="908">
        <v>0</v>
      </c>
      <c r="I227" s="908"/>
      <c r="J227" s="908">
        <v>0</v>
      </c>
      <c r="K227" s="908"/>
      <c r="L227" s="1029">
        <v>376</v>
      </c>
      <c r="M227" s="1029"/>
      <c r="N227" s="908">
        <v>0</v>
      </c>
      <c r="O227" s="1021"/>
      <c r="P227" s="923">
        <v>1041</v>
      </c>
      <c r="Q227" s="908"/>
      <c r="R227" s="965" t="s">
        <v>43</v>
      </c>
      <c r="S227" s="908"/>
      <c r="T227" s="965" t="s">
        <v>43</v>
      </c>
      <c r="U227" s="908">
        <v>0</v>
      </c>
      <c r="V227" s="908">
        <v>1041</v>
      </c>
      <c r="W227" s="1026"/>
      <c r="X227" s="908">
        <v>0</v>
      </c>
      <c r="Y227" s="908"/>
      <c r="Z227" s="1012" t="s">
        <v>43</v>
      </c>
      <c r="AA227" s="1011"/>
      <c r="AB227" s="908">
        <v>0</v>
      </c>
      <c r="AC227" s="1021"/>
      <c r="AD227" s="908">
        <f t="shared" ref="AD227:AD239" si="84">N227+AB227</f>
        <v>0</v>
      </c>
      <c r="AE227" s="1021"/>
      <c r="AF227" s="768">
        <v>2021</v>
      </c>
      <c r="AG227" s="892" t="s">
        <v>355</v>
      </c>
      <c r="AH227" s="313"/>
    </row>
    <row r="228" spans="1:34" s="200" customFormat="1" ht="12.75" hidden="1" customHeight="1">
      <c r="A228" s="902"/>
      <c r="B228" s="874">
        <v>2021</v>
      </c>
      <c r="C228" s="884" t="s">
        <v>36</v>
      </c>
      <c r="D228" s="923">
        <v>98</v>
      </c>
      <c r="E228" s="908"/>
      <c r="F228" s="908">
        <v>0</v>
      </c>
      <c r="G228" s="908"/>
      <c r="H228" s="908">
        <v>0</v>
      </c>
      <c r="I228" s="908"/>
      <c r="J228" s="908">
        <v>0</v>
      </c>
      <c r="K228" s="919"/>
      <c r="L228" s="1029">
        <v>98</v>
      </c>
      <c r="M228" s="1029"/>
      <c r="N228" s="908">
        <v>0</v>
      </c>
      <c r="O228" s="1021"/>
      <c r="P228" s="923">
        <v>822</v>
      </c>
      <c r="Q228" s="908"/>
      <c r="R228" s="965" t="s">
        <v>43</v>
      </c>
      <c r="S228" s="908"/>
      <c r="T228" s="965" t="s">
        <v>43</v>
      </c>
      <c r="U228" s="908">
        <v>0</v>
      </c>
      <c r="V228" s="908">
        <v>822</v>
      </c>
      <c r="W228" s="1026"/>
      <c r="X228" s="908">
        <v>0</v>
      </c>
      <c r="Y228" s="908"/>
      <c r="Z228" s="1012" t="s">
        <v>43</v>
      </c>
      <c r="AA228" s="1011"/>
      <c r="AB228" s="908">
        <v>0</v>
      </c>
      <c r="AC228" s="1021"/>
      <c r="AD228" s="908">
        <f t="shared" si="84"/>
        <v>0</v>
      </c>
      <c r="AE228" s="1021"/>
      <c r="AF228" s="768">
        <v>2021</v>
      </c>
      <c r="AG228" s="892" t="s">
        <v>264</v>
      </c>
      <c r="AH228" s="313"/>
    </row>
    <row r="229" spans="1:34" s="200" customFormat="1" ht="12.75" hidden="1" customHeight="1">
      <c r="A229" s="902"/>
      <c r="B229" s="874">
        <v>2021</v>
      </c>
      <c r="C229" s="884" t="s">
        <v>271</v>
      </c>
      <c r="D229" s="923">
        <v>244</v>
      </c>
      <c r="E229" s="908"/>
      <c r="F229" s="908">
        <v>0</v>
      </c>
      <c r="G229" s="908"/>
      <c r="H229" s="908">
        <v>0</v>
      </c>
      <c r="I229" s="908"/>
      <c r="J229" s="908">
        <v>0</v>
      </c>
      <c r="K229" s="919"/>
      <c r="L229" s="1029">
        <v>244</v>
      </c>
      <c r="M229" s="1029"/>
      <c r="N229" s="908">
        <v>0</v>
      </c>
      <c r="O229" s="1021"/>
      <c r="P229" s="923">
        <v>1007</v>
      </c>
      <c r="Q229" s="908"/>
      <c r="R229" s="965" t="s">
        <v>43</v>
      </c>
      <c r="S229" s="908"/>
      <c r="T229" s="965" t="s">
        <v>43</v>
      </c>
      <c r="U229" s="908">
        <v>0</v>
      </c>
      <c r="V229" s="908">
        <v>1007</v>
      </c>
      <c r="W229" s="1026"/>
      <c r="X229" s="908">
        <v>0</v>
      </c>
      <c r="Y229" s="908"/>
      <c r="Z229" s="1012" t="s">
        <v>43</v>
      </c>
      <c r="AA229" s="1011"/>
      <c r="AB229" s="908">
        <v>0</v>
      </c>
      <c r="AC229" s="1021"/>
      <c r="AD229" s="908">
        <f t="shared" si="84"/>
        <v>0</v>
      </c>
      <c r="AE229" s="1021"/>
      <c r="AF229" s="768">
        <v>2021</v>
      </c>
      <c r="AG229" s="892" t="s">
        <v>356</v>
      </c>
      <c r="AH229" s="313"/>
    </row>
    <row r="230" spans="1:34" s="200" customFormat="1" ht="12.75" hidden="1" customHeight="1">
      <c r="A230" s="902"/>
      <c r="B230" s="874">
        <v>2021</v>
      </c>
      <c r="C230" s="884" t="s">
        <v>347</v>
      </c>
      <c r="D230" s="923">
        <v>44</v>
      </c>
      <c r="E230" s="908"/>
      <c r="F230" s="908">
        <v>0</v>
      </c>
      <c r="G230" s="908"/>
      <c r="H230" s="908">
        <v>0</v>
      </c>
      <c r="I230" s="908"/>
      <c r="J230" s="908">
        <v>0</v>
      </c>
      <c r="K230" s="908"/>
      <c r="L230" s="1029">
        <v>44</v>
      </c>
      <c r="M230" s="1029"/>
      <c r="N230" s="908">
        <v>0</v>
      </c>
      <c r="O230" s="1021"/>
      <c r="P230" s="923">
        <v>502</v>
      </c>
      <c r="Q230" s="908"/>
      <c r="R230" s="965" t="s">
        <v>43</v>
      </c>
      <c r="S230" s="908"/>
      <c r="T230" s="965" t="s">
        <v>43</v>
      </c>
      <c r="U230" s="908">
        <v>0</v>
      </c>
      <c r="V230" s="908">
        <v>502</v>
      </c>
      <c r="W230" s="1026"/>
      <c r="X230" s="908">
        <v>0</v>
      </c>
      <c r="Y230" s="908"/>
      <c r="Z230" s="1012" t="s">
        <v>43</v>
      </c>
      <c r="AA230" s="1011"/>
      <c r="AB230" s="908">
        <v>0</v>
      </c>
      <c r="AC230" s="1021"/>
      <c r="AD230" s="908">
        <f t="shared" si="84"/>
        <v>0</v>
      </c>
      <c r="AE230" s="1021"/>
      <c r="AF230" s="768">
        <v>2021</v>
      </c>
      <c r="AG230" s="892" t="s">
        <v>347</v>
      </c>
      <c r="AH230" s="313"/>
    </row>
    <row r="231" spans="1:34" s="200" customFormat="1" ht="12.75" hidden="1" customHeight="1">
      <c r="A231" s="902"/>
      <c r="B231" s="874">
        <v>2021</v>
      </c>
      <c r="C231" s="884" t="s">
        <v>50</v>
      </c>
      <c r="D231" s="923">
        <v>319</v>
      </c>
      <c r="E231" s="908"/>
      <c r="F231" s="908">
        <v>0</v>
      </c>
      <c r="G231" s="908"/>
      <c r="H231" s="908">
        <v>0</v>
      </c>
      <c r="I231" s="908"/>
      <c r="J231" s="908">
        <v>0</v>
      </c>
      <c r="K231" s="908"/>
      <c r="L231" s="1029">
        <v>319</v>
      </c>
      <c r="M231" s="1029"/>
      <c r="N231" s="908">
        <v>0</v>
      </c>
      <c r="O231" s="908"/>
      <c r="P231" s="923">
        <v>747</v>
      </c>
      <c r="Q231" s="908"/>
      <c r="R231" s="965" t="s">
        <v>43</v>
      </c>
      <c r="S231" s="908"/>
      <c r="T231" s="965" t="s">
        <v>43</v>
      </c>
      <c r="U231" s="908">
        <v>0</v>
      </c>
      <c r="V231" s="908">
        <v>747</v>
      </c>
      <c r="W231" s="1026"/>
      <c r="X231" s="908">
        <v>0</v>
      </c>
      <c r="Y231" s="908"/>
      <c r="Z231" s="1012" t="s">
        <v>43</v>
      </c>
      <c r="AA231" s="1011"/>
      <c r="AB231" s="908">
        <v>0</v>
      </c>
      <c r="AC231" s="1021"/>
      <c r="AD231" s="908">
        <f t="shared" si="84"/>
        <v>0</v>
      </c>
      <c r="AE231" s="1021"/>
      <c r="AF231" s="768">
        <v>2021</v>
      </c>
      <c r="AG231" s="892" t="s">
        <v>50</v>
      </c>
      <c r="AH231" s="313"/>
    </row>
    <row r="232" spans="1:34" s="200" customFormat="1" ht="12.75" hidden="1" customHeight="1">
      <c r="A232" s="902"/>
      <c r="B232" s="874">
        <v>2021</v>
      </c>
      <c r="C232" s="1043" t="s">
        <v>348</v>
      </c>
      <c r="D232" s="908">
        <v>648</v>
      </c>
      <c r="E232" s="908"/>
      <c r="F232" s="908">
        <v>0</v>
      </c>
      <c r="G232" s="908"/>
      <c r="H232" s="908">
        <v>0</v>
      </c>
      <c r="I232" s="908"/>
      <c r="J232" s="908">
        <v>0</v>
      </c>
      <c r="K232" s="908"/>
      <c r="L232" s="1029">
        <v>648</v>
      </c>
      <c r="M232" s="1029"/>
      <c r="N232" s="908">
        <v>0</v>
      </c>
      <c r="O232" s="1021"/>
      <c r="P232" s="908">
        <v>751</v>
      </c>
      <c r="Q232" s="908"/>
      <c r="R232" s="965" t="s">
        <v>43</v>
      </c>
      <c r="S232" s="908"/>
      <c r="T232" s="965" t="s">
        <v>43</v>
      </c>
      <c r="U232" s="908">
        <v>0</v>
      </c>
      <c r="V232" s="908">
        <v>751</v>
      </c>
      <c r="W232" s="1026"/>
      <c r="X232" s="908">
        <v>0</v>
      </c>
      <c r="Y232" s="908"/>
      <c r="Z232" s="1012" t="s">
        <v>43</v>
      </c>
      <c r="AA232" s="1011"/>
      <c r="AB232" s="908">
        <v>0</v>
      </c>
      <c r="AC232" s="1021"/>
      <c r="AD232" s="908">
        <f t="shared" si="84"/>
        <v>0</v>
      </c>
      <c r="AE232" s="1021"/>
      <c r="AF232" s="768">
        <v>2021</v>
      </c>
      <c r="AG232" s="892" t="s">
        <v>348</v>
      </c>
      <c r="AH232" s="313"/>
    </row>
    <row r="233" spans="1:34" s="200" customFormat="1" ht="12.75" hidden="1" customHeight="1">
      <c r="A233" s="902"/>
      <c r="B233" s="874">
        <v>2021</v>
      </c>
      <c r="C233" s="1043" t="s">
        <v>349</v>
      </c>
      <c r="D233" s="923">
        <v>353</v>
      </c>
      <c r="E233" s="908"/>
      <c r="F233" s="908">
        <v>0</v>
      </c>
      <c r="G233" s="908"/>
      <c r="H233" s="908">
        <v>0</v>
      </c>
      <c r="I233" s="908"/>
      <c r="J233" s="908">
        <v>0</v>
      </c>
      <c r="K233" s="908"/>
      <c r="L233" s="1029">
        <v>353</v>
      </c>
      <c r="M233" s="1029"/>
      <c r="N233" s="908">
        <v>0</v>
      </c>
      <c r="O233" s="908"/>
      <c r="P233" s="923">
        <v>353</v>
      </c>
      <c r="Q233" s="908"/>
      <c r="R233" s="965" t="s">
        <v>43</v>
      </c>
      <c r="S233" s="908"/>
      <c r="T233" s="965" t="s">
        <v>43</v>
      </c>
      <c r="U233" s="908">
        <v>0</v>
      </c>
      <c r="V233" s="908">
        <v>353</v>
      </c>
      <c r="W233" s="1026"/>
      <c r="X233" s="908">
        <v>0</v>
      </c>
      <c r="Y233" s="908"/>
      <c r="Z233" s="1012" t="s">
        <v>43</v>
      </c>
      <c r="AA233" s="1011"/>
      <c r="AB233" s="908">
        <v>0</v>
      </c>
      <c r="AC233" s="1021"/>
      <c r="AD233" s="908">
        <f t="shared" si="84"/>
        <v>0</v>
      </c>
      <c r="AE233" s="1021"/>
      <c r="AF233" s="768">
        <v>2021</v>
      </c>
      <c r="AG233" s="892" t="s">
        <v>362</v>
      </c>
      <c r="AH233" s="313"/>
    </row>
    <row r="234" spans="1:34" s="200" customFormat="1" ht="12.75" hidden="1" customHeight="1">
      <c r="A234" s="902"/>
      <c r="B234" s="874">
        <v>2022</v>
      </c>
      <c r="C234" s="1043" t="s">
        <v>363</v>
      </c>
      <c r="D234" s="1044">
        <v>0</v>
      </c>
      <c r="E234" s="908">
        <v>0</v>
      </c>
      <c r="F234" s="908">
        <v>0</v>
      </c>
      <c r="G234" s="908"/>
      <c r="H234" s="908">
        <v>0</v>
      </c>
      <c r="I234" s="908" t="s">
        <v>41</v>
      </c>
      <c r="J234" s="908">
        <v>0</v>
      </c>
      <c r="K234" s="908">
        <v>0</v>
      </c>
      <c r="L234" s="1029">
        <v>0</v>
      </c>
      <c r="M234" s="908">
        <v>0</v>
      </c>
      <c r="N234" s="908">
        <v>0</v>
      </c>
      <c r="O234" s="1021"/>
      <c r="P234" s="908">
        <v>955</v>
      </c>
      <c r="Q234" s="908"/>
      <c r="R234" s="965" t="s">
        <v>43</v>
      </c>
      <c r="S234" s="908"/>
      <c r="T234" s="965" t="s">
        <v>43</v>
      </c>
      <c r="U234" s="1045">
        <v>0</v>
      </c>
      <c r="V234" s="908">
        <v>955</v>
      </c>
      <c r="W234" s="1026"/>
      <c r="X234" s="908">
        <v>0</v>
      </c>
      <c r="Y234" s="908"/>
      <c r="Z234" s="1012" t="s">
        <v>43</v>
      </c>
      <c r="AA234" s="1011"/>
      <c r="AB234" s="908">
        <v>0</v>
      </c>
      <c r="AC234" s="1021"/>
      <c r="AD234" s="908">
        <f t="shared" si="84"/>
        <v>0</v>
      </c>
      <c r="AE234" s="1021"/>
      <c r="AF234" s="768">
        <v>2022</v>
      </c>
      <c r="AG234" s="892" t="s">
        <v>260</v>
      </c>
      <c r="AH234" s="286"/>
    </row>
    <row r="235" spans="1:34" s="200" customFormat="1" ht="12.75" hidden="1" customHeight="1">
      <c r="A235" s="902"/>
      <c r="B235" s="874">
        <v>2022</v>
      </c>
      <c r="C235" s="1043" t="s">
        <v>350</v>
      </c>
      <c r="D235" s="908">
        <v>374</v>
      </c>
      <c r="E235" s="908"/>
      <c r="F235" s="908">
        <v>0</v>
      </c>
      <c r="G235" s="908"/>
      <c r="H235" s="908">
        <v>0</v>
      </c>
      <c r="I235" s="908"/>
      <c r="J235" s="908">
        <v>0</v>
      </c>
      <c r="K235" s="908"/>
      <c r="L235" s="908">
        <v>374</v>
      </c>
      <c r="M235" s="908"/>
      <c r="N235" s="908">
        <v>0</v>
      </c>
      <c r="O235" s="1021"/>
      <c r="P235" s="908">
        <v>1179</v>
      </c>
      <c r="Q235" s="908"/>
      <c r="R235" s="965" t="s">
        <v>43</v>
      </c>
      <c r="S235" s="908"/>
      <c r="T235" s="965" t="s">
        <v>43</v>
      </c>
      <c r="U235" s="1045">
        <v>0</v>
      </c>
      <c r="V235" s="908">
        <v>1179</v>
      </c>
      <c r="W235" s="1026"/>
      <c r="X235" s="908">
        <v>0</v>
      </c>
      <c r="Y235" s="908"/>
      <c r="Z235" s="1012" t="s">
        <v>43</v>
      </c>
      <c r="AA235" s="1011"/>
      <c r="AB235" s="908">
        <v>0</v>
      </c>
      <c r="AC235" s="1021"/>
      <c r="AD235" s="908">
        <f t="shared" si="84"/>
        <v>0</v>
      </c>
      <c r="AE235" s="1021"/>
      <c r="AF235" s="768">
        <v>2022</v>
      </c>
      <c r="AG235" s="892" t="s">
        <v>77</v>
      </c>
      <c r="AH235" s="286"/>
    </row>
    <row r="236" spans="1:34" s="200" customFormat="1" ht="12.75" hidden="1" customHeight="1">
      <c r="A236" s="902"/>
      <c r="B236" s="874">
        <v>2022</v>
      </c>
      <c r="C236" s="884" t="s">
        <v>29</v>
      </c>
      <c r="D236" s="923">
        <v>16</v>
      </c>
      <c r="E236" s="908"/>
      <c r="F236" s="908">
        <v>0</v>
      </c>
      <c r="G236" s="908"/>
      <c r="H236" s="1065">
        <v>0</v>
      </c>
      <c r="I236" s="908"/>
      <c r="J236" s="1200">
        <v>0</v>
      </c>
      <c r="K236" s="908"/>
      <c r="L236" s="908">
        <v>16</v>
      </c>
      <c r="M236" s="908"/>
      <c r="N236" s="908">
        <v>0</v>
      </c>
      <c r="O236" s="908"/>
      <c r="P236" s="923">
        <v>865</v>
      </c>
      <c r="Q236" s="908"/>
      <c r="R236" s="965" t="s">
        <v>43</v>
      </c>
      <c r="S236" s="908"/>
      <c r="T236" s="965" t="s">
        <v>43</v>
      </c>
      <c r="U236" s="1045">
        <v>0</v>
      </c>
      <c r="V236" s="908">
        <v>865</v>
      </c>
      <c r="W236" s="1026"/>
      <c r="X236" s="908">
        <v>0</v>
      </c>
      <c r="Y236" s="908"/>
      <c r="Z236" s="1012" t="s">
        <v>43</v>
      </c>
      <c r="AA236" s="1011"/>
      <c r="AB236" s="908">
        <v>0</v>
      </c>
      <c r="AC236" s="1021"/>
      <c r="AD236" s="908">
        <f t="shared" si="84"/>
        <v>0</v>
      </c>
      <c r="AE236" s="1021"/>
      <c r="AF236" s="768">
        <v>2022</v>
      </c>
      <c r="AG236" s="892" t="s">
        <v>65</v>
      </c>
      <c r="AH236" s="286"/>
    </row>
    <row r="237" spans="1:34" s="200" customFormat="1" ht="12.75" customHeight="1">
      <c r="A237" s="902"/>
      <c r="B237" s="874">
        <v>2022</v>
      </c>
      <c r="C237" s="884" t="s">
        <v>351</v>
      </c>
      <c r="D237" s="923">
        <v>65</v>
      </c>
      <c r="E237" s="908"/>
      <c r="F237" s="908">
        <v>0</v>
      </c>
      <c r="G237" s="908"/>
      <c r="H237" s="908">
        <v>0</v>
      </c>
      <c r="I237" s="908"/>
      <c r="J237" s="908">
        <v>0</v>
      </c>
      <c r="K237" s="908"/>
      <c r="L237" s="908">
        <v>65</v>
      </c>
      <c r="M237" s="908"/>
      <c r="N237" s="908">
        <v>0</v>
      </c>
      <c r="O237" s="908"/>
      <c r="P237" s="923">
        <v>1213</v>
      </c>
      <c r="Q237" s="908"/>
      <c r="R237" s="965" t="s">
        <v>43</v>
      </c>
      <c r="S237" s="908"/>
      <c r="T237" s="965" t="s">
        <v>43</v>
      </c>
      <c r="U237" s="1045">
        <v>0</v>
      </c>
      <c r="V237" s="908">
        <v>1213</v>
      </c>
      <c r="W237" s="1026"/>
      <c r="X237" s="908">
        <v>0</v>
      </c>
      <c r="Y237" s="908"/>
      <c r="Z237" s="1012" t="s">
        <v>43</v>
      </c>
      <c r="AA237" s="1011"/>
      <c r="AB237" s="908">
        <v>0</v>
      </c>
      <c r="AC237" s="1021"/>
      <c r="AD237" s="908">
        <f t="shared" si="84"/>
        <v>0</v>
      </c>
      <c r="AE237" s="1021"/>
      <c r="AF237" s="768">
        <v>2022</v>
      </c>
      <c r="AG237" s="892" t="s">
        <v>353</v>
      </c>
      <c r="AH237" s="286"/>
    </row>
    <row r="238" spans="1:34" s="200" customFormat="1" ht="12.75" hidden="1" customHeight="1">
      <c r="A238" s="902"/>
      <c r="B238" s="874">
        <v>2022</v>
      </c>
      <c r="C238" s="884" t="s">
        <v>4</v>
      </c>
      <c r="D238" s="923">
        <v>1056</v>
      </c>
      <c r="E238" s="908"/>
      <c r="F238" s="908">
        <v>0</v>
      </c>
      <c r="G238" s="908"/>
      <c r="H238" s="908">
        <v>0</v>
      </c>
      <c r="I238" s="908"/>
      <c r="J238" s="908">
        <v>0</v>
      </c>
      <c r="K238" s="908"/>
      <c r="L238" s="908">
        <v>1056</v>
      </c>
      <c r="M238" s="908"/>
      <c r="N238" s="908">
        <v>0</v>
      </c>
      <c r="O238" s="908"/>
      <c r="P238" s="923">
        <v>1040</v>
      </c>
      <c r="Q238" s="908"/>
      <c r="R238" s="965" t="s">
        <v>43</v>
      </c>
      <c r="S238" s="908"/>
      <c r="T238" s="965" t="s">
        <v>43</v>
      </c>
      <c r="U238" s="1045">
        <v>0</v>
      </c>
      <c r="V238" s="908">
        <v>1040</v>
      </c>
      <c r="W238" s="1026"/>
      <c r="X238" s="908">
        <v>0</v>
      </c>
      <c r="Y238" s="908"/>
      <c r="Z238" s="1012" t="s">
        <v>43</v>
      </c>
      <c r="AA238" s="1011"/>
      <c r="AB238" s="908">
        <v>0</v>
      </c>
      <c r="AC238" s="1021"/>
      <c r="AD238" s="908">
        <f t="shared" si="84"/>
        <v>0</v>
      </c>
      <c r="AE238" s="1021"/>
      <c r="AF238" s="768">
        <v>2022</v>
      </c>
      <c r="AG238" s="892" t="s">
        <v>79</v>
      </c>
      <c r="AH238" s="286"/>
    </row>
    <row r="239" spans="1:34" s="200" customFormat="1" ht="12.75" hidden="1" customHeight="1">
      <c r="A239" s="902"/>
      <c r="B239" s="874">
        <v>2022</v>
      </c>
      <c r="C239" s="884" t="s">
        <v>30</v>
      </c>
      <c r="D239" s="923">
        <v>950</v>
      </c>
      <c r="E239" s="908"/>
      <c r="F239" s="908">
        <v>0</v>
      </c>
      <c r="G239" s="908"/>
      <c r="H239" s="1046">
        <v>0</v>
      </c>
      <c r="I239" s="908"/>
      <c r="J239" s="908">
        <v>0</v>
      </c>
      <c r="K239" s="908"/>
      <c r="L239" s="908">
        <v>950</v>
      </c>
      <c r="M239" s="908"/>
      <c r="N239" s="908">
        <v>0</v>
      </c>
      <c r="O239" s="908"/>
      <c r="P239" s="923">
        <v>827</v>
      </c>
      <c r="Q239" s="908"/>
      <c r="R239" s="965" t="s">
        <v>43</v>
      </c>
      <c r="S239" s="908"/>
      <c r="T239" s="965" t="s">
        <v>43</v>
      </c>
      <c r="U239" s="1045">
        <v>0</v>
      </c>
      <c r="V239" s="908">
        <v>827</v>
      </c>
      <c r="W239" s="1026"/>
      <c r="X239" s="908">
        <v>0</v>
      </c>
      <c r="Y239" s="908"/>
      <c r="Z239" s="1012" t="s">
        <v>43</v>
      </c>
      <c r="AA239" s="1011"/>
      <c r="AB239" s="908">
        <v>0</v>
      </c>
      <c r="AC239" s="1021"/>
      <c r="AD239" s="908">
        <f t="shared" si="84"/>
        <v>0</v>
      </c>
      <c r="AE239" s="1021"/>
      <c r="AF239" s="768">
        <v>2022</v>
      </c>
      <c r="AG239" s="892" t="s">
        <v>80</v>
      </c>
      <c r="AH239" s="286"/>
    </row>
    <row r="240" spans="1:34" s="200" customFormat="1" ht="12.75" hidden="1" customHeight="1">
      <c r="A240" s="902"/>
      <c r="B240" s="874">
        <v>2022</v>
      </c>
      <c r="C240" s="1043" t="s">
        <v>36</v>
      </c>
      <c r="D240" s="908">
        <v>3342</v>
      </c>
      <c r="E240" s="908"/>
      <c r="F240" s="908">
        <v>3538</v>
      </c>
      <c r="G240" s="908"/>
      <c r="H240" s="1046" t="s">
        <v>43</v>
      </c>
      <c r="I240" s="908"/>
      <c r="J240" s="1046" t="s">
        <v>43</v>
      </c>
      <c r="K240" s="908"/>
      <c r="L240" s="908">
        <v>3342</v>
      </c>
      <c r="M240" s="908"/>
      <c r="N240" s="908">
        <v>3538</v>
      </c>
      <c r="O240" s="1021"/>
      <c r="P240" s="908">
        <v>1150</v>
      </c>
      <c r="Q240" s="908"/>
      <c r="R240" s="908">
        <v>3623</v>
      </c>
      <c r="S240" s="908"/>
      <c r="T240" s="965" t="s">
        <v>43</v>
      </c>
      <c r="U240" s="1045">
        <v>12</v>
      </c>
      <c r="V240" s="908">
        <v>1150</v>
      </c>
      <c r="W240" s="1026"/>
      <c r="X240" s="1046">
        <v>3623</v>
      </c>
      <c r="Y240" s="908"/>
      <c r="Z240" s="1179">
        <v>2</v>
      </c>
      <c r="AA240" s="1183"/>
      <c r="AB240" s="1046" t="s">
        <v>43</v>
      </c>
      <c r="AC240" s="1078"/>
      <c r="AD240" s="908">
        <v>3540</v>
      </c>
      <c r="AE240" s="1021"/>
      <c r="AF240" s="768">
        <v>2022</v>
      </c>
      <c r="AG240" s="892" t="s">
        <v>81</v>
      </c>
      <c r="AH240" s="286"/>
    </row>
    <row r="241" spans="1:34" s="200" customFormat="1" ht="12.75" hidden="1" customHeight="1">
      <c r="A241" s="902"/>
      <c r="B241" s="874">
        <v>2022</v>
      </c>
      <c r="C241" s="1043" t="s">
        <v>271</v>
      </c>
      <c r="D241" s="908">
        <v>2390</v>
      </c>
      <c r="E241" s="908"/>
      <c r="F241" s="908">
        <v>4575</v>
      </c>
      <c r="G241" s="908"/>
      <c r="H241" s="1046">
        <v>0</v>
      </c>
      <c r="I241" s="908"/>
      <c r="J241" s="908">
        <v>0</v>
      </c>
      <c r="K241" s="908"/>
      <c r="L241" s="908">
        <v>2390</v>
      </c>
      <c r="M241" s="908"/>
      <c r="N241" s="908">
        <v>4575</v>
      </c>
      <c r="O241" s="1021"/>
      <c r="P241" s="908">
        <v>1343</v>
      </c>
      <c r="Q241" s="908"/>
      <c r="R241" s="908">
        <v>4579</v>
      </c>
      <c r="S241" s="908"/>
      <c r="T241" s="965" t="s">
        <v>43</v>
      </c>
      <c r="U241" s="1045">
        <v>0</v>
      </c>
      <c r="V241" s="908">
        <v>1343</v>
      </c>
      <c r="W241" s="1026"/>
      <c r="X241" s="908">
        <v>4579</v>
      </c>
      <c r="Y241" s="908"/>
      <c r="Z241" s="1178">
        <v>156</v>
      </c>
      <c r="AA241" s="1042"/>
      <c r="AB241" s="1184" t="s">
        <v>43</v>
      </c>
      <c r="AC241" s="1078"/>
      <c r="AD241" s="908">
        <v>4731</v>
      </c>
      <c r="AE241" s="1021"/>
      <c r="AF241" s="768">
        <v>2022</v>
      </c>
      <c r="AG241" s="892" t="s">
        <v>356</v>
      </c>
      <c r="AH241" s="286"/>
    </row>
    <row r="242" spans="1:34" s="200" customFormat="1" ht="12.75" hidden="1" customHeight="1">
      <c r="A242" s="902"/>
      <c r="B242" s="874">
        <v>2022</v>
      </c>
      <c r="C242" s="1043" t="s">
        <v>31</v>
      </c>
      <c r="D242" s="908">
        <v>2546</v>
      </c>
      <c r="E242" s="908"/>
      <c r="F242" s="908">
        <v>5636</v>
      </c>
      <c r="G242" s="908"/>
      <c r="H242" s="1046">
        <v>0</v>
      </c>
      <c r="I242" s="908"/>
      <c r="J242" s="908">
        <v>0</v>
      </c>
      <c r="K242" s="908"/>
      <c r="L242" s="908">
        <v>2546</v>
      </c>
      <c r="M242" s="908"/>
      <c r="N242" s="908">
        <v>5636</v>
      </c>
      <c r="O242" s="1021"/>
      <c r="P242" s="908">
        <v>1031</v>
      </c>
      <c r="Q242" s="908"/>
      <c r="R242" s="908">
        <v>3028</v>
      </c>
      <c r="S242" s="908"/>
      <c r="T242" s="965" t="s">
        <v>43</v>
      </c>
      <c r="U242" s="1045">
        <v>0</v>
      </c>
      <c r="V242" s="908">
        <v>1031</v>
      </c>
      <c r="W242" s="1026"/>
      <c r="X242" s="908">
        <v>3028</v>
      </c>
      <c r="Y242" s="908"/>
      <c r="Z242" s="1012" t="s">
        <v>43</v>
      </c>
      <c r="AA242" s="965"/>
      <c r="AB242" s="1184" t="s">
        <v>43</v>
      </c>
      <c r="AC242" s="1078"/>
      <c r="AD242" s="908">
        <f>N242</f>
        <v>5636</v>
      </c>
      <c r="AE242" s="1021"/>
      <c r="AF242" s="768">
        <v>2022</v>
      </c>
      <c r="AG242" s="892" t="s">
        <v>31</v>
      </c>
      <c r="AH242" s="286"/>
    </row>
    <row r="243" spans="1:34" ht="12.75" hidden="1" customHeight="1">
      <c r="A243" s="864"/>
      <c r="B243" s="874">
        <v>2022</v>
      </c>
      <c r="C243" s="1043" t="s">
        <v>50</v>
      </c>
      <c r="D243" s="1048">
        <v>1955</v>
      </c>
      <c r="E243" s="1048" t="s">
        <v>41</v>
      </c>
      <c r="F243" s="1048">
        <v>4104</v>
      </c>
      <c r="G243" s="1048" t="s">
        <v>41</v>
      </c>
      <c r="H243" s="1049">
        <v>0</v>
      </c>
      <c r="I243" s="1048" t="s">
        <v>41</v>
      </c>
      <c r="J243" s="1048">
        <v>0</v>
      </c>
      <c r="K243" s="1048" t="s">
        <v>391</v>
      </c>
      <c r="L243" s="1048">
        <v>1955</v>
      </c>
      <c r="M243" s="1048" t="s">
        <v>41</v>
      </c>
      <c r="N243" s="1048">
        <v>4104</v>
      </c>
      <c r="O243" s="1030"/>
      <c r="P243" s="1048">
        <v>1498</v>
      </c>
      <c r="Q243" s="1048"/>
      <c r="R243" s="1048">
        <v>5098</v>
      </c>
      <c r="S243" s="1048"/>
      <c r="T243" s="965" t="s">
        <v>43</v>
      </c>
      <c r="U243" s="1050">
        <v>0</v>
      </c>
      <c r="V243" s="1048">
        <v>1498</v>
      </c>
      <c r="W243" s="1048"/>
      <c r="X243" s="1048">
        <v>5098</v>
      </c>
      <c r="Y243" s="370"/>
      <c r="Z243" s="1012" t="s">
        <v>43</v>
      </c>
      <c r="AA243" s="965"/>
      <c r="AB243" s="1184" t="s">
        <v>43</v>
      </c>
      <c r="AC243" s="1078"/>
      <c r="AD243" s="1042">
        <v>4104</v>
      </c>
      <c r="AE243" s="1047"/>
      <c r="AF243" s="768">
        <v>2022</v>
      </c>
      <c r="AG243" s="892" t="s">
        <v>50</v>
      </c>
    </row>
    <row r="244" spans="1:34" ht="12.75" hidden="1" customHeight="1">
      <c r="A244" s="864"/>
      <c r="B244" s="874">
        <v>2022</v>
      </c>
      <c r="C244" s="1043" t="s">
        <v>348</v>
      </c>
      <c r="D244" s="1048">
        <v>2444</v>
      </c>
      <c r="E244" s="1048" t="s">
        <v>41</v>
      </c>
      <c r="F244" s="1048">
        <v>4999</v>
      </c>
      <c r="G244" s="1048" t="s">
        <v>41</v>
      </c>
      <c r="H244" s="1051" t="s">
        <v>43</v>
      </c>
      <c r="I244" s="1052" t="s">
        <v>41</v>
      </c>
      <c r="J244" s="1051" t="s">
        <v>43</v>
      </c>
      <c r="K244" s="1048" t="s">
        <v>391</v>
      </c>
      <c r="L244" s="1048">
        <v>2444</v>
      </c>
      <c r="M244" s="1048" t="s">
        <v>41</v>
      </c>
      <c r="N244" s="1048">
        <v>4999</v>
      </c>
      <c r="O244" s="1030"/>
      <c r="P244" s="1048">
        <v>4283</v>
      </c>
      <c r="Q244" s="1048"/>
      <c r="R244" s="1048">
        <v>5233</v>
      </c>
      <c r="S244" s="1048"/>
      <c r="T244" s="965" t="s">
        <v>43</v>
      </c>
      <c r="U244" s="1053" t="s">
        <v>43</v>
      </c>
      <c r="V244" s="1048">
        <v>4283</v>
      </c>
      <c r="W244" s="1048"/>
      <c r="X244" s="1048">
        <v>5233</v>
      </c>
      <c r="Y244" s="370"/>
      <c r="Z244" s="1012" t="s">
        <v>43</v>
      </c>
      <c r="AA244" s="965"/>
      <c r="AB244" s="1185">
        <f>7782</f>
        <v>7782</v>
      </c>
      <c r="AC244" s="1041"/>
      <c r="AD244" s="1042">
        <f>AB244+N244</f>
        <v>12781</v>
      </c>
      <c r="AE244" s="1047"/>
      <c r="AF244" s="768">
        <v>2022</v>
      </c>
      <c r="AG244" s="892" t="s">
        <v>348</v>
      </c>
      <c r="AH244" s="142"/>
    </row>
    <row r="245" spans="1:34" ht="12.75" hidden="1" customHeight="1">
      <c r="A245" s="864"/>
      <c r="B245" s="874">
        <v>2022</v>
      </c>
      <c r="C245" s="1043" t="s">
        <v>349</v>
      </c>
      <c r="D245" s="1048">
        <v>3409</v>
      </c>
      <c r="E245" s="1054"/>
      <c r="F245" s="1048">
        <v>7522</v>
      </c>
      <c r="G245" s="1048"/>
      <c r="H245" s="1049">
        <v>0</v>
      </c>
      <c r="I245" s="1048" t="s">
        <v>41</v>
      </c>
      <c r="J245" s="1048">
        <v>0</v>
      </c>
      <c r="K245" s="1048" t="s">
        <v>391</v>
      </c>
      <c r="L245" s="1048">
        <v>3409</v>
      </c>
      <c r="M245" s="1048" t="s">
        <v>41</v>
      </c>
      <c r="N245" s="1048">
        <v>7522</v>
      </c>
      <c r="O245" s="1030"/>
      <c r="P245" s="1048">
        <v>2788</v>
      </c>
      <c r="Q245" s="1048"/>
      <c r="R245" s="1048">
        <v>6076</v>
      </c>
      <c r="S245" s="1048"/>
      <c r="T245" s="965" t="s">
        <v>43</v>
      </c>
      <c r="U245" s="1050">
        <v>0</v>
      </c>
      <c r="V245" s="1048">
        <v>2788</v>
      </c>
      <c r="W245" s="1048"/>
      <c r="X245" s="1048">
        <v>6076</v>
      </c>
      <c r="Y245" s="370"/>
      <c r="Z245" s="1012" t="s">
        <v>43</v>
      </c>
      <c r="AA245" s="965"/>
      <c r="AB245" s="1178">
        <v>26772</v>
      </c>
      <c r="AC245" s="1047"/>
      <c r="AD245" s="1042">
        <v>34294</v>
      </c>
      <c r="AE245" s="1047"/>
      <c r="AF245" s="768">
        <v>2022</v>
      </c>
      <c r="AG245" s="892" t="s">
        <v>362</v>
      </c>
      <c r="AH245" s="142"/>
    </row>
    <row r="246" spans="1:34" ht="12.75" hidden="1" customHeight="1">
      <c r="A246" s="864"/>
      <c r="B246" s="347">
        <v>2023</v>
      </c>
      <c r="C246" s="1043" t="s">
        <v>33</v>
      </c>
      <c r="D246" s="370">
        <v>1703</v>
      </c>
      <c r="E246" s="1055"/>
      <c r="F246" s="369">
        <v>6598</v>
      </c>
      <c r="G246" s="369"/>
      <c r="H246" s="1056" t="s">
        <v>43</v>
      </c>
      <c r="I246" s="369"/>
      <c r="J246" s="1057" t="s">
        <v>43</v>
      </c>
      <c r="K246" s="369"/>
      <c r="L246" s="370">
        <v>1703</v>
      </c>
      <c r="M246" s="370"/>
      <c r="N246" s="370">
        <v>6598</v>
      </c>
      <c r="O246" s="1058"/>
      <c r="P246" s="370">
        <v>2047</v>
      </c>
      <c r="Q246" s="370"/>
      <c r="R246" s="370">
        <v>9307</v>
      </c>
      <c r="S246" s="370"/>
      <c r="T246" s="965" t="s">
        <v>43</v>
      </c>
      <c r="U246" s="1059">
        <v>0</v>
      </c>
      <c r="V246" s="370">
        <v>2047</v>
      </c>
      <c r="W246" s="370"/>
      <c r="X246" s="370">
        <v>9307</v>
      </c>
      <c r="Y246" s="389"/>
      <c r="Z246" s="1180">
        <v>6</v>
      </c>
      <c r="AA246" s="1048"/>
      <c r="AB246" s="1060">
        <v>25851</v>
      </c>
      <c r="AC246" s="892"/>
      <c r="AD246" s="370">
        <f>N246+AB246+Z246</f>
        <v>32455</v>
      </c>
      <c r="AE246" s="892"/>
      <c r="AF246" s="768">
        <v>2023</v>
      </c>
      <c r="AG246" s="892" t="s">
        <v>33</v>
      </c>
      <c r="AH246" s="142"/>
    </row>
    <row r="247" spans="1:34" ht="12.75" hidden="1" customHeight="1">
      <c r="A247" s="864"/>
      <c r="B247" s="347">
        <v>2023</v>
      </c>
      <c r="C247" s="1043" t="s">
        <v>34</v>
      </c>
      <c r="D247" s="370">
        <v>1635</v>
      </c>
      <c r="E247" s="370" t="s">
        <v>41</v>
      </c>
      <c r="F247" s="369">
        <v>3239</v>
      </c>
      <c r="G247" s="369" t="s">
        <v>41</v>
      </c>
      <c r="H247" s="1056" t="s">
        <v>43</v>
      </c>
      <c r="I247" s="369"/>
      <c r="J247" s="1057" t="s">
        <v>43</v>
      </c>
      <c r="K247" s="369"/>
      <c r="L247" s="370">
        <v>1635</v>
      </c>
      <c r="M247" s="370" t="s">
        <v>41</v>
      </c>
      <c r="N247" s="370">
        <v>3239</v>
      </c>
      <c r="O247" s="892" t="s">
        <v>41</v>
      </c>
      <c r="P247" s="370">
        <v>3121</v>
      </c>
      <c r="Q247" s="370"/>
      <c r="R247" s="370">
        <v>4357</v>
      </c>
      <c r="S247" s="370"/>
      <c r="T247" s="965" t="s">
        <v>43</v>
      </c>
      <c r="U247" s="1059">
        <v>0</v>
      </c>
      <c r="V247" s="370">
        <v>3121</v>
      </c>
      <c r="W247" s="370"/>
      <c r="X247" s="370">
        <v>4357</v>
      </c>
      <c r="Y247" s="389"/>
      <c r="Z247" s="1180">
        <v>39</v>
      </c>
      <c r="AA247" s="1048"/>
      <c r="AB247" s="1060">
        <v>16827</v>
      </c>
      <c r="AC247" s="892"/>
      <c r="AD247" s="370">
        <f>N247+AB247+Z247</f>
        <v>20105</v>
      </c>
      <c r="AE247" s="892"/>
      <c r="AF247" s="768">
        <v>2023</v>
      </c>
      <c r="AG247" s="892" t="s">
        <v>77</v>
      </c>
      <c r="AH247" s="142"/>
    </row>
    <row r="248" spans="1:34" ht="12.75" hidden="1" customHeight="1">
      <c r="A248" s="864"/>
      <c r="B248" s="347">
        <v>2023</v>
      </c>
      <c r="C248" s="884" t="s">
        <v>29</v>
      </c>
      <c r="D248" s="1060">
        <v>239</v>
      </c>
      <c r="E248" s="1055"/>
      <c r="F248" s="369">
        <v>551</v>
      </c>
      <c r="G248" s="369"/>
      <c r="H248" s="1065" t="s">
        <v>43</v>
      </c>
      <c r="I248" s="369"/>
      <c r="J248" s="1200" t="s">
        <v>43</v>
      </c>
      <c r="K248" s="369"/>
      <c r="L248" s="370">
        <v>239</v>
      </c>
      <c r="M248" s="370"/>
      <c r="N248" s="370">
        <v>551</v>
      </c>
      <c r="O248" s="389"/>
      <c r="P248" s="1060">
        <v>1219</v>
      </c>
      <c r="Q248" s="370"/>
      <c r="R248" s="370">
        <v>1505</v>
      </c>
      <c r="S248" s="370"/>
      <c r="T248" s="965" t="s">
        <v>43</v>
      </c>
      <c r="U248" s="1061">
        <v>0</v>
      </c>
      <c r="V248" s="370">
        <v>1219</v>
      </c>
      <c r="W248" s="370"/>
      <c r="X248" s="370">
        <v>1505</v>
      </c>
      <c r="Y248" s="389"/>
      <c r="Z248" s="1005" t="s">
        <v>43</v>
      </c>
      <c r="AA248" s="1006"/>
      <c r="AB248" s="1186">
        <v>20541</v>
      </c>
      <c r="AC248" s="1066"/>
      <c r="AD248" s="370">
        <f>AB248+N248</f>
        <v>21092</v>
      </c>
      <c r="AE248" s="892"/>
      <c r="AF248" s="768">
        <v>2023</v>
      </c>
      <c r="AG248" s="892" t="s">
        <v>29</v>
      </c>
      <c r="AH248" s="142"/>
    </row>
    <row r="249" spans="1:34" s="96" customFormat="1" ht="12.75" customHeight="1">
      <c r="A249" s="370"/>
      <c r="B249" s="347">
        <v>2023</v>
      </c>
      <c r="C249" s="1043" t="s">
        <v>35</v>
      </c>
      <c r="D249" s="1060">
        <v>2619</v>
      </c>
      <c r="E249" s="1055"/>
      <c r="F249" s="369">
        <v>6898</v>
      </c>
      <c r="G249" s="1062"/>
      <c r="H249" s="1063" t="s">
        <v>43</v>
      </c>
      <c r="I249" s="369"/>
      <c r="J249" s="1057" t="s">
        <v>43</v>
      </c>
      <c r="K249" s="369"/>
      <c r="L249" s="370">
        <v>2619</v>
      </c>
      <c r="M249" s="370"/>
      <c r="N249" s="370">
        <v>6898</v>
      </c>
      <c r="O249" s="370"/>
      <c r="P249" s="1060">
        <v>2338</v>
      </c>
      <c r="Q249" s="370"/>
      <c r="R249" s="370">
        <v>7045</v>
      </c>
      <c r="S249" s="370"/>
      <c r="T249" s="965" t="s">
        <v>43</v>
      </c>
      <c r="U249" s="1064" t="s">
        <v>43</v>
      </c>
      <c r="V249" s="370">
        <v>2338</v>
      </c>
      <c r="W249" s="370"/>
      <c r="X249" s="370">
        <v>7045</v>
      </c>
      <c r="Y249" s="370"/>
      <c r="Z249" s="1180">
        <v>43</v>
      </c>
      <c r="AA249" s="1048"/>
      <c r="AB249" s="1186">
        <v>20610</v>
      </c>
      <c r="AC249" s="1066"/>
      <c r="AD249" s="370">
        <f t="shared" ref="AD249:AD259" si="85">N249+Z249+AB249</f>
        <v>27551</v>
      </c>
      <c r="AE249" s="892"/>
      <c r="AF249" s="768">
        <v>2023</v>
      </c>
      <c r="AG249" s="892" t="s">
        <v>78</v>
      </c>
      <c r="AH249" s="165"/>
    </row>
    <row r="250" spans="1:34" s="96" customFormat="1" ht="12.75" hidden="1" customHeight="1">
      <c r="A250" s="370"/>
      <c r="B250" s="347">
        <v>2023</v>
      </c>
      <c r="C250" s="1043" t="s">
        <v>4</v>
      </c>
      <c r="D250" s="370">
        <v>4168</v>
      </c>
      <c r="E250" s="1055"/>
      <c r="F250" s="369">
        <v>5992</v>
      </c>
      <c r="G250" s="1062"/>
      <c r="H250" s="1065" t="s">
        <v>43</v>
      </c>
      <c r="I250" s="369"/>
      <c r="J250" s="1057" t="s">
        <v>43</v>
      </c>
      <c r="K250" s="369"/>
      <c r="L250" s="370">
        <v>4168</v>
      </c>
      <c r="M250" s="370"/>
      <c r="N250" s="370">
        <v>5992</v>
      </c>
      <c r="O250" s="892"/>
      <c r="P250" s="370">
        <v>2502</v>
      </c>
      <c r="Q250" s="370"/>
      <c r="R250" s="370">
        <v>7395</v>
      </c>
      <c r="S250" s="370"/>
      <c r="T250" s="965" t="s">
        <v>43</v>
      </c>
      <c r="U250" s="1064">
        <v>0</v>
      </c>
      <c r="V250" s="370">
        <v>2502</v>
      </c>
      <c r="W250" s="370"/>
      <c r="X250" s="370">
        <v>7395</v>
      </c>
      <c r="Y250" s="370"/>
      <c r="Z250" s="1060">
        <v>72</v>
      </c>
      <c r="AA250" s="370"/>
      <c r="AB250" s="1186">
        <v>14666</v>
      </c>
      <c r="AC250" s="1066"/>
      <c r="AD250" s="370">
        <f t="shared" si="85"/>
        <v>20730</v>
      </c>
      <c r="AE250" s="892"/>
      <c r="AF250" s="768">
        <v>2023</v>
      </c>
      <c r="AG250" s="892" t="s">
        <v>79</v>
      </c>
      <c r="AH250" s="165"/>
    </row>
    <row r="251" spans="1:34" s="96" customFormat="1" ht="12.75" hidden="1" customHeight="1">
      <c r="A251" s="370"/>
      <c r="B251" s="347">
        <v>2023</v>
      </c>
      <c r="C251" s="1043" t="s">
        <v>30</v>
      </c>
      <c r="D251" s="370">
        <v>3247</v>
      </c>
      <c r="E251" s="1055"/>
      <c r="F251" s="369">
        <v>8429</v>
      </c>
      <c r="G251" s="1062"/>
      <c r="H251" s="1057">
        <v>91</v>
      </c>
      <c r="I251" s="369"/>
      <c r="J251" s="1057">
        <v>223</v>
      </c>
      <c r="K251" s="369"/>
      <c r="L251" s="370">
        <v>3338</v>
      </c>
      <c r="M251" s="370"/>
      <c r="N251" s="370">
        <v>8652</v>
      </c>
      <c r="O251" s="892"/>
      <c r="P251" s="370">
        <v>2164</v>
      </c>
      <c r="Q251" s="370"/>
      <c r="R251" s="370">
        <v>7883</v>
      </c>
      <c r="S251" s="370"/>
      <c r="T251" s="370">
        <v>23</v>
      </c>
      <c r="U251" s="1064">
        <v>153</v>
      </c>
      <c r="V251" s="370">
        <v>2187</v>
      </c>
      <c r="W251" s="370"/>
      <c r="X251" s="370">
        <v>8036</v>
      </c>
      <c r="Y251" s="370"/>
      <c r="Z251" s="1060">
        <v>121</v>
      </c>
      <c r="AA251" s="370"/>
      <c r="AB251" s="1186">
        <v>18408</v>
      </c>
      <c r="AC251" s="1066"/>
      <c r="AD251" s="370">
        <f t="shared" si="85"/>
        <v>27181</v>
      </c>
      <c r="AE251" s="892"/>
      <c r="AF251" s="768">
        <v>2023</v>
      </c>
      <c r="AG251" s="892" t="s">
        <v>80</v>
      </c>
      <c r="AH251" s="165"/>
    </row>
    <row r="252" spans="1:34" s="96" customFormat="1" ht="12.75" hidden="1" customHeight="1">
      <c r="A252" s="370"/>
      <c r="B252" s="347">
        <v>2023</v>
      </c>
      <c r="C252" s="1043" t="s">
        <v>36</v>
      </c>
      <c r="D252" s="370">
        <v>2596</v>
      </c>
      <c r="E252" s="1055"/>
      <c r="F252" s="369">
        <v>9443</v>
      </c>
      <c r="G252" s="1062"/>
      <c r="H252" s="1057">
        <v>39</v>
      </c>
      <c r="I252" s="369"/>
      <c r="J252" s="1057">
        <v>255</v>
      </c>
      <c r="K252" s="369"/>
      <c r="L252" s="370">
        <v>2635</v>
      </c>
      <c r="M252" s="370"/>
      <c r="N252" s="370">
        <v>9698</v>
      </c>
      <c r="O252" s="892"/>
      <c r="P252" s="370">
        <v>2340</v>
      </c>
      <c r="Q252" s="370"/>
      <c r="R252" s="370">
        <v>11106</v>
      </c>
      <c r="S252" s="370"/>
      <c r="T252" s="370">
        <v>13</v>
      </c>
      <c r="U252" s="1064">
        <v>292</v>
      </c>
      <c r="V252" s="370">
        <v>2353</v>
      </c>
      <c r="W252" s="370"/>
      <c r="X252" s="370">
        <v>11398</v>
      </c>
      <c r="Y252" s="370"/>
      <c r="Z252" s="1060">
        <v>118</v>
      </c>
      <c r="AA252" s="370"/>
      <c r="AB252" s="1186">
        <v>19906</v>
      </c>
      <c r="AC252" s="1066"/>
      <c r="AD252" s="370">
        <f t="shared" si="85"/>
        <v>29722</v>
      </c>
      <c r="AE252" s="892"/>
      <c r="AF252" s="768">
        <v>2023</v>
      </c>
      <c r="AG252" s="892" t="s">
        <v>81</v>
      </c>
      <c r="AH252" s="165"/>
    </row>
    <row r="253" spans="1:34" s="96" customFormat="1" ht="12.75" hidden="1" customHeight="1">
      <c r="A253" s="370"/>
      <c r="B253" s="347">
        <v>2023</v>
      </c>
      <c r="C253" s="1043" t="s">
        <v>37</v>
      </c>
      <c r="D253" s="370">
        <v>2570</v>
      </c>
      <c r="E253" s="1055"/>
      <c r="F253" s="369">
        <v>8158</v>
      </c>
      <c r="G253" s="1062"/>
      <c r="H253" s="1057">
        <v>28</v>
      </c>
      <c r="I253" s="369"/>
      <c r="J253" s="1057">
        <v>108</v>
      </c>
      <c r="K253" s="369"/>
      <c r="L253" s="370">
        <v>2598</v>
      </c>
      <c r="M253" s="370"/>
      <c r="N253" s="370">
        <v>8266</v>
      </c>
      <c r="O253" s="892"/>
      <c r="P253" s="370">
        <v>2119</v>
      </c>
      <c r="Q253" s="370"/>
      <c r="R253" s="370">
        <v>9469</v>
      </c>
      <c r="S253" s="370"/>
      <c r="T253" s="370">
        <v>18</v>
      </c>
      <c r="U253" s="1064">
        <v>137</v>
      </c>
      <c r="V253" s="370">
        <v>2137</v>
      </c>
      <c r="W253" s="370"/>
      <c r="X253" s="370">
        <v>9606</v>
      </c>
      <c r="Y253" s="370"/>
      <c r="Z253" s="1060">
        <v>191</v>
      </c>
      <c r="AA253" s="1042"/>
      <c r="AB253" s="1186">
        <v>21849</v>
      </c>
      <c r="AC253" s="1066"/>
      <c r="AD253" s="370">
        <f t="shared" si="85"/>
        <v>30306</v>
      </c>
      <c r="AE253" s="892"/>
      <c r="AF253" s="768">
        <v>2023</v>
      </c>
      <c r="AG253" s="892" t="s">
        <v>82</v>
      </c>
      <c r="AH253" s="165"/>
    </row>
    <row r="254" spans="1:34" s="96" customFormat="1" ht="12.75" hidden="1" customHeight="1">
      <c r="A254" s="370"/>
      <c r="B254" s="347">
        <v>2023</v>
      </c>
      <c r="C254" s="1043" t="s">
        <v>31</v>
      </c>
      <c r="D254" s="370">
        <v>3870</v>
      </c>
      <c r="E254" s="370"/>
      <c r="F254" s="369">
        <v>7398</v>
      </c>
      <c r="G254" s="1062"/>
      <c r="H254" s="1057">
        <v>39</v>
      </c>
      <c r="I254" s="369"/>
      <c r="J254" s="1057">
        <v>296</v>
      </c>
      <c r="K254" s="369"/>
      <c r="L254" s="370">
        <v>3909</v>
      </c>
      <c r="M254" s="370"/>
      <c r="N254" s="370">
        <v>7694</v>
      </c>
      <c r="O254" s="892"/>
      <c r="P254" s="370">
        <v>2196</v>
      </c>
      <c r="Q254" s="370"/>
      <c r="R254" s="370">
        <v>8649</v>
      </c>
      <c r="S254" s="370"/>
      <c r="T254" s="370">
        <v>26</v>
      </c>
      <c r="U254" s="1064">
        <v>164</v>
      </c>
      <c r="V254" s="370">
        <v>2222</v>
      </c>
      <c r="W254" s="370"/>
      <c r="X254" s="370">
        <v>8813</v>
      </c>
      <c r="Y254" s="370"/>
      <c r="Z254" s="1060">
        <v>121</v>
      </c>
      <c r="AA254" s="892"/>
      <c r="AB254" s="1013">
        <v>24521</v>
      </c>
      <c r="AC254" s="1066"/>
      <c r="AD254" s="370">
        <f t="shared" si="85"/>
        <v>32336</v>
      </c>
      <c r="AE254" s="892"/>
      <c r="AF254" s="768">
        <v>2023</v>
      </c>
      <c r="AG254" s="892" t="s">
        <v>31</v>
      </c>
      <c r="AH254" s="165"/>
    </row>
    <row r="255" spans="1:34" s="96" customFormat="1" ht="12.75" hidden="1" customHeight="1">
      <c r="A255" s="370"/>
      <c r="B255" s="347">
        <v>2023</v>
      </c>
      <c r="C255" s="1043" t="s">
        <v>38</v>
      </c>
      <c r="D255" s="370">
        <v>3115</v>
      </c>
      <c r="E255" s="370"/>
      <c r="F255" s="369">
        <v>6977</v>
      </c>
      <c r="G255" s="1062"/>
      <c r="H255" s="1057">
        <v>44</v>
      </c>
      <c r="I255" s="369"/>
      <c r="J255" s="1057">
        <v>222</v>
      </c>
      <c r="K255" s="369"/>
      <c r="L255" s="370">
        <v>3159</v>
      </c>
      <c r="M255" s="370"/>
      <c r="N255" s="370">
        <v>7199</v>
      </c>
      <c r="O255" s="892"/>
      <c r="P255" s="370">
        <v>3411</v>
      </c>
      <c r="Q255" s="370"/>
      <c r="R255" s="370">
        <v>8220</v>
      </c>
      <c r="S255" s="370"/>
      <c r="T255" s="370">
        <v>2</v>
      </c>
      <c r="U255" s="1064">
        <v>116</v>
      </c>
      <c r="V255" s="370">
        <v>3413</v>
      </c>
      <c r="W255" s="370"/>
      <c r="X255" s="370">
        <v>8336</v>
      </c>
      <c r="Y255" s="370"/>
      <c r="Z255" s="1060">
        <v>161</v>
      </c>
      <c r="AA255" s="892"/>
      <c r="AB255" s="1013">
        <v>16119</v>
      </c>
      <c r="AC255" s="1066"/>
      <c r="AD255" s="370">
        <f t="shared" si="85"/>
        <v>23479</v>
      </c>
      <c r="AE255" s="892"/>
      <c r="AF255" s="768">
        <v>2023</v>
      </c>
      <c r="AG255" s="892" t="s">
        <v>38</v>
      </c>
      <c r="AH255" s="165"/>
    </row>
    <row r="256" spans="1:34" s="96" customFormat="1" ht="12.75" hidden="1" customHeight="1">
      <c r="A256" s="370"/>
      <c r="B256" s="874">
        <v>2023</v>
      </c>
      <c r="C256" s="1043" t="s">
        <v>39</v>
      </c>
      <c r="D256" s="370">
        <v>3167</v>
      </c>
      <c r="E256" s="370"/>
      <c r="F256" s="369">
        <v>5172</v>
      </c>
      <c r="G256" s="1062"/>
      <c r="H256" s="1057">
        <v>41</v>
      </c>
      <c r="I256" s="369"/>
      <c r="J256" s="1057">
        <v>272</v>
      </c>
      <c r="K256" s="369"/>
      <c r="L256" s="370">
        <v>3208</v>
      </c>
      <c r="M256" s="370"/>
      <c r="N256" s="370">
        <v>5444</v>
      </c>
      <c r="O256" s="892"/>
      <c r="P256" s="370">
        <v>4228</v>
      </c>
      <c r="Q256" s="370"/>
      <c r="R256" s="370">
        <v>6398</v>
      </c>
      <c r="S256" s="370"/>
      <c r="T256" s="370">
        <v>9</v>
      </c>
      <c r="U256" s="1064">
        <v>45</v>
      </c>
      <c r="V256" s="370">
        <v>4237</v>
      </c>
      <c r="W256" s="370"/>
      <c r="X256" s="370">
        <v>6443</v>
      </c>
      <c r="Y256" s="370"/>
      <c r="Z256" s="1060">
        <v>78</v>
      </c>
      <c r="AA256" s="892"/>
      <c r="AB256" s="1013">
        <v>19038</v>
      </c>
      <c r="AC256" s="1066"/>
      <c r="AD256" s="370">
        <f t="shared" si="85"/>
        <v>24560</v>
      </c>
      <c r="AE256" s="892"/>
      <c r="AF256" s="883">
        <v>2023</v>
      </c>
      <c r="AG256" s="892" t="s">
        <v>39</v>
      </c>
      <c r="AH256" s="165"/>
    </row>
    <row r="257" spans="1:34" s="96" customFormat="1" ht="12.75" hidden="1" customHeight="1">
      <c r="A257" s="370"/>
      <c r="B257" s="874">
        <v>2023</v>
      </c>
      <c r="C257" s="1043" t="s">
        <v>32</v>
      </c>
      <c r="D257" s="370">
        <v>158</v>
      </c>
      <c r="E257" s="1055"/>
      <c r="F257" s="369">
        <v>6447</v>
      </c>
      <c r="G257" s="1062"/>
      <c r="H257" s="1057">
        <v>68</v>
      </c>
      <c r="I257" s="369"/>
      <c r="J257" s="1057">
        <v>321</v>
      </c>
      <c r="K257" s="369"/>
      <c r="L257" s="370">
        <v>226</v>
      </c>
      <c r="M257" s="370"/>
      <c r="N257" s="370">
        <v>6768</v>
      </c>
      <c r="O257" s="892"/>
      <c r="P257" s="370">
        <v>170</v>
      </c>
      <c r="Q257" s="370"/>
      <c r="R257" s="370">
        <v>6816</v>
      </c>
      <c r="S257" s="370"/>
      <c r="T257" s="370">
        <v>65</v>
      </c>
      <c r="U257" s="1064">
        <v>324</v>
      </c>
      <c r="V257" s="370">
        <v>235</v>
      </c>
      <c r="W257" s="370"/>
      <c r="X257" s="370">
        <v>7140</v>
      </c>
      <c r="Y257" s="370"/>
      <c r="Z257" s="1060">
        <v>78</v>
      </c>
      <c r="AA257" s="892"/>
      <c r="AB257" s="1013">
        <v>45242</v>
      </c>
      <c r="AC257" s="1066"/>
      <c r="AD257" s="370">
        <f t="shared" si="85"/>
        <v>52088</v>
      </c>
      <c r="AE257" s="892"/>
      <c r="AF257" s="883">
        <v>2023</v>
      </c>
      <c r="AG257" s="892" t="s">
        <v>83</v>
      </c>
      <c r="AH257" s="165"/>
    </row>
    <row r="258" spans="1:34" s="96" customFormat="1" ht="12.75" hidden="1" customHeight="1">
      <c r="A258" s="370"/>
      <c r="B258" s="874">
        <v>2024</v>
      </c>
      <c r="C258" s="1043" t="s">
        <v>33</v>
      </c>
      <c r="D258" s="370">
        <v>1315</v>
      </c>
      <c r="E258" s="1055"/>
      <c r="F258" s="369">
        <v>6114</v>
      </c>
      <c r="G258" s="1062"/>
      <c r="H258" s="1057">
        <v>31</v>
      </c>
      <c r="I258" s="369"/>
      <c r="J258" s="1057">
        <v>142</v>
      </c>
      <c r="K258" s="369"/>
      <c r="L258" s="370">
        <v>1346</v>
      </c>
      <c r="M258" s="370"/>
      <c r="N258" s="370">
        <v>6256</v>
      </c>
      <c r="O258" s="892"/>
      <c r="P258" s="370">
        <v>1549</v>
      </c>
      <c r="Q258" s="370"/>
      <c r="R258" s="370">
        <v>8729</v>
      </c>
      <c r="S258" s="370"/>
      <c r="T258" s="370">
        <v>15</v>
      </c>
      <c r="U258" s="1064">
        <v>184</v>
      </c>
      <c r="V258" s="370">
        <v>1564</v>
      </c>
      <c r="W258" s="370"/>
      <c r="X258" s="370">
        <v>8913</v>
      </c>
      <c r="Y258" s="370"/>
      <c r="Z258" s="1060">
        <v>5</v>
      </c>
      <c r="AA258" s="892"/>
      <c r="AB258" s="1013">
        <v>52901</v>
      </c>
      <c r="AC258" s="1066"/>
      <c r="AD258" s="370">
        <f t="shared" si="85"/>
        <v>59162</v>
      </c>
      <c r="AE258" s="892"/>
      <c r="AF258" s="768">
        <v>2024</v>
      </c>
      <c r="AG258" s="892" t="s">
        <v>33</v>
      </c>
      <c r="AH258" s="165"/>
    </row>
    <row r="259" spans="1:34" s="96" customFormat="1" ht="12.75" hidden="1" customHeight="1">
      <c r="A259" s="370"/>
      <c r="B259" s="874">
        <v>2024</v>
      </c>
      <c r="C259" s="1043" t="s">
        <v>34</v>
      </c>
      <c r="D259" s="370">
        <v>1262</v>
      </c>
      <c r="E259" s="1055"/>
      <c r="F259" s="369">
        <v>2592</v>
      </c>
      <c r="G259" s="1062"/>
      <c r="H259" s="1057">
        <v>36</v>
      </c>
      <c r="I259" s="369"/>
      <c r="J259" s="1057">
        <v>162</v>
      </c>
      <c r="K259" s="369"/>
      <c r="L259" s="370">
        <v>1298</v>
      </c>
      <c r="M259" s="370"/>
      <c r="N259" s="370">
        <v>2754</v>
      </c>
      <c r="O259" s="892"/>
      <c r="P259" s="370">
        <v>266</v>
      </c>
      <c r="Q259" s="370"/>
      <c r="R259" s="370">
        <v>5749</v>
      </c>
      <c r="S259" s="370"/>
      <c r="T259" s="370">
        <v>58</v>
      </c>
      <c r="U259" s="1064">
        <v>73</v>
      </c>
      <c r="V259" s="370">
        <v>324</v>
      </c>
      <c r="W259" s="370"/>
      <c r="X259" s="370">
        <v>5822</v>
      </c>
      <c r="Y259" s="370"/>
      <c r="Z259" s="1060">
        <v>21</v>
      </c>
      <c r="AA259" s="892"/>
      <c r="AB259" s="1013">
        <v>28146</v>
      </c>
      <c r="AC259" s="1066"/>
      <c r="AD259" s="370">
        <f t="shared" si="85"/>
        <v>30921</v>
      </c>
      <c r="AE259" s="892"/>
      <c r="AF259" s="768">
        <v>2024</v>
      </c>
      <c r="AG259" s="892" t="s">
        <v>77</v>
      </c>
      <c r="AH259" s="165"/>
    </row>
    <row r="260" spans="1:34" s="96" customFormat="1" ht="12.75" hidden="1" customHeight="1">
      <c r="A260" s="370"/>
      <c r="B260" s="874">
        <v>2024</v>
      </c>
      <c r="C260" s="1043" t="s">
        <v>29</v>
      </c>
      <c r="D260" s="370">
        <v>1627</v>
      </c>
      <c r="E260" s="1055"/>
      <c r="F260" s="369">
        <v>4118</v>
      </c>
      <c r="G260" s="1062"/>
      <c r="H260" s="1057">
        <v>21</v>
      </c>
      <c r="I260" s="369"/>
      <c r="J260" s="1057">
        <v>143</v>
      </c>
      <c r="K260" s="369"/>
      <c r="L260" s="370">
        <v>1648</v>
      </c>
      <c r="M260" s="370"/>
      <c r="N260" s="370">
        <v>4261</v>
      </c>
      <c r="O260" s="892"/>
      <c r="P260" s="370">
        <v>2835</v>
      </c>
      <c r="Q260" s="370"/>
      <c r="R260" s="370">
        <v>4571</v>
      </c>
      <c r="S260" s="370"/>
      <c r="T260" s="370">
        <v>16</v>
      </c>
      <c r="U260" s="1064">
        <v>146</v>
      </c>
      <c r="V260" s="370">
        <v>2851</v>
      </c>
      <c r="W260" s="370"/>
      <c r="X260" s="370">
        <v>4717</v>
      </c>
      <c r="Y260" s="370"/>
      <c r="Z260" s="1012" t="s">
        <v>43</v>
      </c>
      <c r="AA260" s="1011"/>
      <c r="AB260" s="1013">
        <v>15875</v>
      </c>
      <c r="AC260" s="1066"/>
      <c r="AD260" s="370">
        <f>N260+AB260</f>
        <v>20136</v>
      </c>
      <c r="AE260" s="892"/>
      <c r="AF260" s="768">
        <v>2024</v>
      </c>
      <c r="AG260" s="892" t="s">
        <v>29</v>
      </c>
      <c r="AH260" s="165"/>
    </row>
    <row r="261" spans="1:34" s="96" customFormat="1" ht="12.75" customHeight="1">
      <c r="A261" s="370"/>
      <c r="B261" s="874">
        <v>2024</v>
      </c>
      <c r="C261" s="1043" t="s">
        <v>35</v>
      </c>
      <c r="D261" s="370">
        <v>1742</v>
      </c>
      <c r="E261" s="1055"/>
      <c r="F261" s="369">
        <v>4945</v>
      </c>
      <c r="G261" s="1062"/>
      <c r="H261" s="1057">
        <v>42</v>
      </c>
      <c r="I261" s="369"/>
      <c r="J261" s="1057">
        <v>183</v>
      </c>
      <c r="K261" s="369"/>
      <c r="L261" s="370">
        <v>1784</v>
      </c>
      <c r="M261" s="370"/>
      <c r="N261" s="370">
        <v>5128</v>
      </c>
      <c r="O261" s="892"/>
      <c r="P261" s="370">
        <v>1186</v>
      </c>
      <c r="Q261" s="370"/>
      <c r="R261" s="370">
        <v>6382</v>
      </c>
      <c r="S261" s="370"/>
      <c r="T261" s="370">
        <v>5</v>
      </c>
      <c r="U261" s="1064">
        <v>76</v>
      </c>
      <c r="V261" s="370">
        <v>1191</v>
      </c>
      <c r="W261" s="370"/>
      <c r="X261" s="370">
        <v>6458</v>
      </c>
      <c r="Y261" s="370"/>
      <c r="Z261" s="1060">
        <v>4</v>
      </c>
      <c r="AA261" s="892"/>
      <c r="AB261" s="1013">
        <v>13513</v>
      </c>
      <c r="AC261" s="1066"/>
      <c r="AD261" s="370">
        <f>N261+Z261+AB261</f>
        <v>18645</v>
      </c>
      <c r="AE261" s="892"/>
      <c r="AF261" s="768">
        <v>2024</v>
      </c>
      <c r="AG261" s="892" t="s">
        <v>78</v>
      </c>
      <c r="AH261" s="165"/>
    </row>
    <row r="262" spans="1:34" s="96" customFormat="1" ht="12.75" hidden="1" customHeight="1">
      <c r="A262" s="370"/>
      <c r="B262" s="347">
        <v>2024</v>
      </c>
      <c r="C262" s="1043" t="s">
        <v>4</v>
      </c>
      <c r="D262" s="370">
        <v>1211</v>
      </c>
      <c r="E262" s="1055"/>
      <c r="F262" s="1067">
        <v>2722</v>
      </c>
      <c r="G262" s="1062"/>
      <c r="H262" s="1057" t="s">
        <v>43</v>
      </c>
      <c r="I262" s="369"/>
      <c r="J262" s="1057" t="s">
        <v>43</v>
      </c>
      <c r="K262" s="369"/>
      <c r="L262" s="370">
        <v>1211</v>
      </c>
      <c r="M262" s="370"/>
      <c r="N262" s="370">
        <v>2722</v>
      </c>
      <c r="O262" s="892"/>
      <c r="P262" s="370">
        <v>924</v>
      </c>
      <c r="Q262" s="370"/>
      <c r="R262" s="370">
        <v>2722</v>
      </c>
      <c r="S262" s="370"/>
      <c r="T262" s="370">
        <v>4</v>
      </c>
      <c r="U262" s="1064">
        <v>46</v>
      </c>
      <c r="V262" s="370">
        <v>928</v>
      </c>
      <c r="W262" s="370"/>
      <c r="X262" s="370">
        <v>3055</v>
      </c>
      <c r="Y262" s="370"/>
      <c r="Z262" s="1060">
        <v>73</v>
      </c>
      <c r="AA262" s="892"/>
      <c r="AB262" s="1013">
        <v>21152</v>
      </c>
      <c r="AC262" s="1066"/>
      <c r="AD262" s="370">
        <f>N262+Z262+AB262</f>
        <v>23947</v>
      </c>
      <c r="AE262" s="892"/>
      <c r="AF262" s="768">
        <v>2024</v>
      </c>
      <c r="AG262" s="892" t="s">
        <v>79</v>
      </c>
      <c r="AH262" s="165"/>
    </row>
    <row r="263" spans="1:34" s="96" customFormat="1" ht="12.75" hidden="1" customHeight="1">
      <c r="A263" s="370"/>
      <c r="B263" s="347">
        <v>2024</v>
      </c>
      <c r="C263" s="1043" t="s">
        <v>68</v>
      </c>
      <c r="D263" s="370">
        <v>1860</v>
      </c>
      <c r="E263" s="1055"/>
      <c r="F263" s="1067">
        <v>1943</v>
      </c>
      <c r="G263" s="1062"/>
      <c r="H263" s="1057" t="s">
        <v>43</v>
      </c>
      <c r="I263" s="369"/>
      <c r="J263" s="1057">
        <v>20</v>
      </c>
      <c r="K263" s="369"/>
      <c r="L263" s="370">
        <v>1860</v>
      </c>
      <c r="M263" s="370"/>
      <c r="N263" s="370">
        <v>1963</v>
      </c>
      <c r="O263" s="892"/>
      <c r="P263" s="370">
        <v>950</v>
      </c>
      <c r="Q263" s="370"/>
      <c r="R263" s="370">
        <v>2091</v>
      </c>
      <c r="S263" s="370"/>
      <c r="T263" s="965" t="s">
        <v>43</v>
      </c>
      <c r="U263" s="1064">
        <v>61</v>
      </c>
      <c r="V263" s="370">
        <v>950</v>
      </c>
      <c r="W263" s="370"/>
      <c r="X263" s="370">
        <v>2152</v>
      </c>
      <c r="Y263" s="370"/>
      <c r="Z263" s="1060">
        <v>37</v>
      </c>
      <c r="AA263" s="892"/>
      <c r="AB263" s="1013">
        <v>12020</v>
      </c>
      <c r="AC263" s="1066"/>
      <c r="AD263" s="370">
        <f>N263+Z263+AB263</f>
        <v>14020</v>
      </c>
      <c r="AE263" s="892"/>
      <c r="AF263" s="768">
        <v>2024</v>
      </c>
      <c r="AG263" s="892" t="s">
        <v>80</v>
      </c>
      <c r="AH263" s="165"/>
    </row>
    <row r="264" spans="1:34" s="96" customFormat="1" ht="12.75" hidden="1" customHeight="1">
      <c r="A264" s="892"/>
      <c r="B264" s="347">
        <v>2024</v>
      </c>
      <c r="C264" s="1043" t="s">
        <v>36</v>
      </c>
      <c r="D264" s="370">
        <v>2159</v>
      </c>
      <c r="E264" s="1055"/>
      <c r="F264" s="1067">
        <v>4194</v>
      </c>
      <c r="G264" s="1062"/>
      <c r="H264" s="1057">
        <v>9</v>
      </c>
      <c r="I264" s="369"/>
      <c r="J264" s="1057">
        <v>97</v>
      </c>
      <c r="K264" s="369"/>
      <c r="L264" s="370">
        <v>2168</v>
      </c>
      <c r="M264" s="370"/>
      <c r="N264" s="370">
        <v>4291</v>
      </c>
      <c r="O264" s="892"/>
      <c r="P264" s="370">
        <v>1460</v>
      </c>
      <c r="Q264" s="370"/>
      <c r="R264" s="370">
        <v>4667</v>
      </c>
      <c r="S264" s="370"/>
      <c r="T264" s="965" t="s">
        <v>43</v>
      </c>
      <c r="U264" s="1064">
        <v>84</v>
      </c>
      <c r="V264" s="370">
        <v>1460</v>
      </c>
      <c r="W264" s="370"/>
      <c r="X264" s="370">
        <v>4751</v>
      </c>
      <c r="Y264" s="370"/>
      <c r="Z264" s="1005" t="s">
        <v>43</v>
      </c>
      <c r="AA264" s="1008"/>
      <c r="AB264" s="1013">
        <v>21816</v>
      </c>
      <c r="AC264" s="1066"/>
      <c r="AD264" s="370">
        <f>N264+AB264</f>
        <v>26107</v>
      </c>
      <c r="AE264" s="892"/>
      <c r="AF264" s="768">
        <v>2024</v>
      </c>
      <c r="AG264" s="892" t="s">
        <v>81</v>
      </c>
      <c r="AH264" s="165"/>
    </row>
    <row r="265" spans="1:34" s="96" customFormat="1" ht="12.75" hidden="1" customHeight="1">
      <c r="A265" s="370"/>
      <c r="B265" s="347">
        <v>2024</v>
      </c>
      <c r="C265" s="1043" t="s">
        <v>37</v>
      </c>
      <c r="D265" s="370">
        <v>3289</v>
      </c>
      <c r="E265" s="1055"/>
      <c r="F265" s="1067">
        <v>5282</v>
      </c>
      <c r="G265" s="1062"/>
      <c r="H265" s="1057">
        <v>0</v>
      </c>
      <c r="I265" s="369"/>
      <c r="J265" s="1057">
        <v>0</v>
      </c>
      <c r="K265" s="369"/>
      <c r="L265" s="370">
        <v>3289</v>
      </c>
      <c r="M265" s="370"/>
      <c r="N265" s="370">
        <v>5282</v>
      </c>
      <c r="O265" s="892"/>
      <c r="P265" s="370">
        <v>2048</v>
      </c>
      <c r="Q265" s="370"/>
      <c r="R265" s="370">
        <v>5905</v>
      </c>
      <c r="S265" s="370"/>
      <c r="T265" s="965" t="s">
        <v>43</v>
      </c>
      <c r="U265" s="1145">
        <v>0</v>
      </c>
      <c r="V265" s="370">
        <v>2048</v>
      </c>
      <c r="W265" s="370"/>
      <c r="X265" s="370">
        <v>5905</v>
      </c>
      <c r="Y265" s="892"/>
      <c r="Z265" s="1006">
        <v>53</v>
      </c>
      <c r="AA265" s="1008"/>
      <c r="AB265" s="1013">
        <v>6046</v>
      </c>
      <c r="AC265" s="1066"/>
      <c r="AD265" s="370">
        <f>N265+Z265+AB265</f>
        <v>11381</v>
      </c>
      <c r="AE265" s="892"/>
      <c r="AF265" s="768">
        <v>2024</v>
      </c>
      <c r="AG265" s="892" t="s">
        <v>82</v>
      </c>
      <c r="AH265" s="165"/>
    </row>
    <row r="266" spans="1:34" s="96" customFormat="1" ht="12.75" hidden="1" customHeight="1">
      <c r="A266" s="370"/>
      <c r="B266" s="347">
        <v>2024</v>
      </c>
      <c r="C266" s="1043" t="s">
        <v>31</v>
      </c>
      <c r="D266" s="370">
        <v>4360</v>
      </c>
      <c r="E266" s="1055"/>
      <c r="F266" s="1067">
        <v>6475</v>
      </c>
      <c r="G266" s="1062"/>
      <c r="H266" s="1057">
        <v>93</v>
      </c>
      <c r="I266" s="369"/>
      <c r="J266" s="1057">
        <v>477</v>
      </c>
      <c r="K266" s="369"/>
      <c r="L266" s="370">
        <v>4453</v>
      </c>
      <c r="M266" s="370"/>
      <c r="N266" s="370">
        <v>6952</v>
      </c>
      <c r="O266" s="892"/>
      <c r="P266" s="370">
        <v>2553</v>
      </c>
      <c r="Q266" s="370"/>
      <c r="R266" s="370">
        <v>6414</v>
      </c>
      <c r="S266" s="370"/>
      <c r="T266" s="965">
        <v>46</v>
      </c>
      <c r="U266" s="1145">
        <v>419</v>
      </c>
      <c r="V266" s="370">
        <v>2599</v>
      </c>
      <c r="W266" s="370"/>
      <c r="X266" s="370">
        <v>6833</v>
      </c>
      <c r="Y266" s="892"/>
      <c r="Z266" s="1006">
        <v>130</v>
      </c>
      <c r="AA266" s="1008"/>
      <c r="AB266" s="1013">
        <v>9432</v>
      </c>
      <c r="AC266" s="1066"/>
      <c r="AD266" s="370">
        <f>N266+Z266+AB266</f>
        <v>16514</v>
      </c>
      <c r="AE266" s="892"/>
      <c r="AF266" s="768">
        <v>2024</v>
      </c>
      <c r="AG266" s="892" t="s">
        <v>31</v>
      </c>
      <c r="AH266" s="165"/>
    </row>
    <row r="267" spans="1:34" s="96" customFormat="1" ht="12.75" hidden="1" customHeight="1">
      <c r="A267" s="370"/>
      <c r="B267" s="347">
        <v>2024</v>
      </c>
      <c r="C267" s="1043" t="s">
        <v>38</v>
      </c>
      <c r="D267" s="370">
        <v>2970</v>
      </c>
      <c r="E267" s="1055"/>
      <c r="F267" s="1067">
        <v>6300</v>
      </c>
      <c r="G267" s="1062"/>
      <c r="H267" s="1057">
        <v>91</v>
      </c>
      <c r="I267" s="369"/>
      <c r="J267" s="1057">
        <v>385</v>
      </c>
      <c r="K267" s="369"/>
      <c r="L267" s="370">
        <v>3061</v>
      </c>
      <c r="M267" s="370"/>
      <c r="N267" s="370">
        <v>6685</v>
      </c>
      <c r="O267" s="892"/>
      <c r="P267" s="370">
        <v>2789</v>
      </c>
      <c r="Q267" s="370"/>
      <c r="R267" s="370">
        <v>7857</v>
      </c>
      <c r="S267" s="370"/>
      <c r="T267" s="965">
        <v>54</v>
      </c>
      <c r="U267" s="1145">
        <v>492</v>
      </c>
      <c r="V267" s="370">
        <v>2843</v>
      </c>
      <c r="W267" s="370"/>
      <c r="X267" s="370">
        <v>8349</v>
      </c>
      <c r="Y267" s="892"/>
      <c r="Z267" s="1005">
        <v>57</v>
      </c>
      <c r="AA267" s="1008"/>
      <c r="AB267" s="1013">
        <v>5789</v>
      </c>
      <c r="AC267" s="1066"/>
      <c r="AD267" s="370">
        <f>N267+Z267+AB267</f>
        <v>12531</v>
      </c>
      <c r="AE267" s="892"/>
      <c r="AF267" s="768">
        <v>2024</v>
      </c>
      <c r="AG267" s="892" t="s">
        <v>38</v>
      </c>
      <c r="AH267" s="165"/>
    </row>
    <row r="268" spans="1:34" s="96" customFormat="1" ht="12.75" hidden="1" customHeight="1">
      <c r="A268" s="370"/>
      <c r="B268" s="347">
        <v>2024</v>
      </c>
      <c r="C268" s="1043" t="s">
        <v>39</v>
      </c>
      <c r="D268" s="370">
        <v>3475</v>
      </c>
      <c r="E268" s="1055"/>
      <c r="F268" s="1067">
        <v>6053</v>
      </c>
      <c r="G268" s="1062"/>
      <c r="H268" s="1057">
        <v>85</v>
      </c>
      <c r="I268" s="369"/>
      <c r="J268" s="1057">
        <v>387</v>
      </c>
      <c r="K268" s="369"/>
      <c r="L268" s="370">
        <v>3560</v>
      </c>
      <c r="M268" s="370"/>
      <c r="N268" s="370">
        <v>6440</v>
      </c>
      <c r="O268" s="892"/>
      <c r="P268" s="370">
        <v>3767</v>
      </c>
      <c r="Q268" s="370"/>
      <c r="R268" s="370">
        <v>6330</v>
      </c>
      <c r="S268" s="370"/>
      <c r="T268" s="965">
        <v>28</v>
      </c>
      <c r="U268" s="1145">
        <v>391</v>
      </c>
      <c r="V268" s="370">
        <v>3795</v>
      </c>
      <c r="W268" s="370"/>
      <c r="X268" s="370">
        <v>6721</v>
      </c>
      <c r="Y268" s="892"/>
      <c r="Z268" s="1005">
        <v>39</v>
      </c>
      <c r="AA268" s="1008"/>
      <c r="AB268" s="1013">
        <v>6462</v>
      </c>
      <c r="AC268" s="1066"/>
      <c r="AD268" s="370">
        <f>N268+Z268+AB268</f>
        <v>12941</v>
      </c>
      <c r="AE268" s="892"/>
      <c r="AF268" s="768">
        <v>2024</v>
      </c>
      <c r="AG268" s="892" t="s">
        <v>39</v>
      </c>
      <c r="AH268" s="165"/>
    </row>
    <row r="269" spans="1:34" s="96" customFormat="1" ht="12.75" hidden="1" customHeight="1">
      <c r="A269" s="370"/>
      <c r="B269" s="347">
        <v>2024</v>
      </c>
      <c r="C269" s="1043" t="s">
        <v>32</v>
      </c>
      <c r="D269" s="370">
        <v>4115</v>
      </c>
      <c r="E269" s="1055"/>
      <c r="F269" s="1067">
        <v>5947</v>
      </c>
      <c r="G269" s="1062"/>
      <c r="H269" s="1057">
        <v>131</v>
      </c>
      <c r="I269" s="369"/>
      <c r="J269" s="1057">
        <v>397</v>
      </c>
      <c r="K269" s="369"/>
      <c r="L269" s="370">
        <v>4246</v>
      </c>
      <c r="M269" s="370"/>
      <c r="N269" s="370">
        <v>6344</v>
      </c>
      <c r="O269" s="892"/>
      <c r="P269" s="370">
        <v>2659</v>
      </c>
      <c r="Q269" s="370"/>
      <c r="R269" s="370">
        <v>6446</v>
      </c>
      <c r="S269" s="370"/>
      <c r="T269" s="965">
        <v>30</v>
      </c>
      <c r="U269" s="1145">
        <v>376</v>
      </c>
      <c r="V269" s="370">
        <v>2689</v>
      </c>
      <c r="W269" s="370"/>
      <c r="X269" s="370">
        <v>6822</v>
      </c>
      <c r="Y269" s="892"/>
      <c r="Z269" s="1005" t="s">
        <v>43</v>
      </c>
      <c r="AA269" s="1008"/>
      <c r="AB269" s="1013">
        <v>11646</v>
      </c>
      <c r="AC269" s="1066"/>
      <c r="AD269" s="370">
        <f>N269+AB269</f>
        <v>17990</v>
      </c>
      <c r="AE269" s="892"/>
      <c r="AF269" s="768">
        <v>2024</v>
      </c>
      <c r="AG269" s="892" t="s">
        <v>83</v>
      </c>
      <c r="AH269" s="165"/>
    </row>
    <row r="270" spans="1:34" s="96" customFormat="1" ht="12.75" hidden="1" customHeight="1">
      <c r="A270" s="370"/>
      <c r="B270" s="347">
        <v>2025</v>
      </c>
      <c r="C270" s="1043" t="s">
        <v>33</v>
      </c>
      <c r="D270" s="370">
        <v>2527</v>
      </c>
      <c r="E270" s="1055"/>
      <c r="F270" s="1067">
        <v>6376</v>
      </c>
      <c r="G270" s="1062"/>
      <c r="H270" s="1057">
        <v>101</v>
      </c>
      <c r="I270" s="369"/>
      <c r="J270" s="1057">
        <v>349</v>
      </c>
      <c r="K270" s="369"/>
      <c r="L270" s="370">
        <v>2628</v>
      </c>
      <c r="M270" s="370"/>
      <c r="N270" s="370">
        <v>6725</v>
      </c>
      <c r="O270" s="892"/>
      <c r="P270" s="370">
        <v>2369</v>
      </c>
      <c r="Q270" s="370"/>
      <c r="R270" s="370">
        <v>7521</v>
      </c>
      <c r="S270" s="370"/>
      <c r="T270" s="965">
        <v>56</v>
      </c>
      <c r="U270" s="1145">
        <v>552</v>
      </c>
      <c r="V270" s="370">
        <v>2425</v>
      </c>
      <c r="W270" s="370"/>
      <c r="X270" s="370">
        <v>8073</v>
      </c>
      <c r="Y270" s="892"/>
      <c r="Z270" s="1005">
        <v>6</v>
      </c>
      <c r="AA270" s="1008"/>
      <c r="AB270" s="1013">
        <v>12635</v>
      </c>
      <c r="AC270" s="1066"/>
      <c r="AD270" s="370">
        <f>N270+Z270+AB270</f>
        <v>19366</v>
      </c>
      <c r="AE270" s="892"/>
      <c r="AF270" s="768">
        <v>2025</v>
      </c>
      <c r="AG270" s="892" t="s">
        <v>33</v>
      </c>
      <c r="AH270" s="165"/>
    </row>
    <row r="271" spans="1:34" s="96" customFormat="1" ht="12.75" hidden="1" customHeight="1">
      <c r="A271" s="370"/>
      <c r="B271" s="347">
        <v>2025</v>
      </c>
      <c r="C271" s="1043" t="s">
        <v>34</v>
      </c>
      <c r="D271" s="370">
        <v>1914</v>
      </c>
      <c r="E271" s="1055"/>
      <c r="F271" s="1067">
        <v>4123</v>
      </c>
      <c r="G271" s="1062"/>
      <c r="H271" s="1057">
        <v>58</v>
      </c>
      <c r="I271" s="369"/>
      <c r="J271" s="1057">
        <v>242</v>
      </c>
      <c r="K271" s="369"/>
      <c r="L271" s="370">
        <v>1972</v>
      </c>
      <c r="M271" s="370"/>
      <c r="N271" s="370">
        <v>4365</v>
      </c>
      <c r="O271" s="892"/>
      <c r="P271" s="370">
        <v>3560</v>
      </c>
      <c r="Q271" s="370"/>
      <c r="R271" s="370">
        <v>4110</v>
      </c>
      <c r="S271" s="370"/>
      <c r="T271" s="965">
        <v>38</v>
      </c>
      <c r="U271" s="1145">
        <v>161</v>
      </c>
      <c r="V271" s="370">
        <v>3598</v>
      </c>
      <c r="W271" s="370"/>
      <c r="X271" s="370">
        <v>4271</v>
      </c>
      <c r="Y271" s="892"/>
      <c r="Z271" s="1006" t="s">
        <v>43</v>
      </c>
      <c r="AA271" s="1008"/>
      <c r="AB271" s="1013">
        <v>18948</v>
      </c>
      <c r="AC271" s="1066"/>
      <c r="AD271" s="370">
        <f>N271+AB271</f>
        <v>23313</v>
      </c>
      <c r="AE271" s="892"/>
      <c r="AF271" s="768">
        <v>2025</v>
      </c>
      <c r="AG271" s="892" t="s">
        <v>77</v>
      </c>
      <c r="AH271" s="165"/>
    </row>
    <row r="272" spans="1:34" s="96" customFormat="1" ht="12.75" hidden="1" customHeight="1">
      <c r="A272" s="370"/>
      <c r="B272" s="347">
        <v>2025</v>
      </c>
      <c r="C272" s="1043" t="s">
        <v>29</v>
      </c>
      <c r="D272" s="370">
        <v>2287</v>
      </c>
      <c r="E272" s="1055"/>
      <c r="F272" s="1067">
        <v>5254</v>
      </c>
      <c r="G272" s="1062"/>
      <c r="H272" s="1057">
        <v>5</v>
      </c>
      <c r="I272" s="369"/>
      <c r="J272" s="1057">
        <v>10</v>
      </c>
      <c r="K272" s="369"/>
      <c r="L272" s="370">
        <v>2292</v>
      </c>
      <c r="M272" s="370"/>
      <c r="N272" s="370">
        <v>5264</v>
      </c>
      <c r="O272" s="892"/>
      <c r="P272" s="370">
        <v>3577</v>
      </c>
      <c r="Q272" s="370"/>
      <c r="R272" s="370">
        <v>5331</v>
      </c>
      <c r="S272" s="370"/>
      <c r="T272" s="965">
        <v>7</v>
      </c>
      <c r="U272" s="1145">
        <v>79</v>
      </c>
      <c r="V272" s="370">
        <v>3584</v>
      </c>
      <c r="W272" s="370"/>
      <c r="X272" s="370">
        <v>5410</v>
      </c>
      <c r="Y272" s="892"/>
      <c r="Z272" s="1006">
        <v>12</v>
      </c>
      <c r="AA272" s="1008"/>
      <c r="AB272" s="1163">
        <v>17075</v>
      </c>
      <c r="AC272" s="1160"/>
      <c r="AD272" s="370">
        <f t="shared" ref="AD272:AD277" si="86">N272+Z272+AB272</f>
        <v>22351</v>
      </c>
      <c r="AE272" s="892"/>
      <c r="AF272" s="768">
        <v>2025</v>
      </c>
      <c r="AG272" s="892" t="s">
        <v>29</v>
      </c>
      <c r="AH272" s="165"/>
    </row>
    <row r="273" spans="1:35" s="96" customFormat="1" ht="12.75" customHeight="1">
      <c r="A273" s="370"/>
      <c r="B273" s="347">
        <v>2025</v>
      </c>
      <c r="C273" s="1043" t="s">
        <v>35</v>
      </c>
      <c r="D273" s="370">
        <v>2974</v>
      </c>
      <c r="E273" s="1055"/>
      <c r="F273" s="1067">
        <v>8009</v>
      </c>
      <c r="G273" s="1062"/>
      <c r="H273" s="1057" t="s">
        <v>391</v>
      </c>
      <c r="I273" s="369"/>
      <c r="J273" s="1057" t="s">
        <v>391</v>
      </c>
      <c r="K273" s="369"/>
      <c r="L273" s="370">
        <v>2974</v>
      </c>
      <c r="M273" s="370"/>
      <c r="N273" s="370">
        <v>8009</v>
      </c>
      <c r="O273" s="892"/>
      <c r="P273" s="370">
        <v>2516</v>
      </c>
      <c r="Q273" s="370"/>
      <c r="R273" s="370">
        <v>7992</v>
      </c>
      <c r="S273" s="370"/>
      <c r="T273" s="965" t="s">
        <v>391</v>
      </c>
      <c r="U273" s="1064" t="s">
        <v>391</v>
      </c>
      <c r="V273" s="370">
        <v>2516</v>
      </c>
      <c r="W273" s="370"/>
      <c r="X273" s="370">
        <v>7992</v>
      </c>
      <c r="Y273" s="892"/>
      <c r="Z273" s="1006">
        <v>29</v>
      </c>
      <c r="AA273" s="1008"/>
      <c r="AB273" s="1163">
        <v>18535</v>
      </c>
      <c r="AC273" s="1160"/>
      <c r="AD273" s="370">
        <f t="shared" si="86"/>
        <v>26573</v>
      </c>
      <c r="AE273" s="892"/>
      <c r="AF273" s="768">
        <v>2025</v>
      </c>
      <c r="AG273" s="892" t="s">
        <v>78</v>
      </c>
      <c r="AH273" s="165"/>
    </row>
    <row r="274" spans="1:35" s="96" customFormat="1" ht="12.75" customHeight="1">
      <c r="A274" s="370"/>
      <c r="B274" s="347"/>
      <c r="C274" s="1043" t="s">
        <v>4</v>
      </c>
      <c r="D274" s="370">
        <v>4259</v>
      </c>
      <c r="E274" s="1055"/>
      <c r="F274" s="1067">
        <v>7103</v>
      </c>
      <c r="G274" s="1062"/>
      <c r="H274" s="1057" t="s">
        <v>391</v>
      </c>
      <c r="I274" s="369"/>
      <c r="J274" s="1057" t="s">
        <v>391</v>
      </c>
      <c r="K274" s="369"/>
      <c r="L274" s="370">
        <v>4259</v>
      </c>
      <c r="M274" s="370"/>
      <c r="N274" s="370">
        <v>7103</v>
      </c>
      <c r="O274" s="892"/>
      <c r="P274" s="370">
        <v>3056</v>
      </c>
      <c r="Q274" s="370"/>
      <c r="R274" s="370">
        <v>7246</v>
      </c>
      <c r="S274" s="370"/>
      <c r="T274" s="965" t="s">
        <v>391</v>
      </c>
      <c r="U274" s="1064" t="s">
        <v>391</v>
      </c>
      <c r="V274" s="370">
        <v>3056</v>
      </c>
      <c r="W274" s="370"/>
      <c r="X274" s="370">
        <v>7246</v>
      </c>
      <c r="Y274" s="892"/>
      <c r="Z274" s="1006">
        <v>131</v>
      </c>
      <c r="AA274" s="1008"/>
      <c r="AB274" s="1163">
        <v>3116</v>
      </c>
      <c r="AC274" s="1160"/>
      <c r="AD274" s="370">
        <f t="shared" si="86"/>
        <v>10350</v>
      </c>
      <c r="AE274" s="892"/>
      <c r="AF274" s="768"/>
      <c r="AG274" s="892" t="s">
        <v>79</v>
      </c>
      <c r="AH274" s="165"/>
    </row>
    <row r="275" spans="1:35" s="96" customFormat="1" ht="12.75" customHeight="1">
      <c r="A275" s="370"/>
      <c r="B275" s="347"/>
      <c r="C275" s="1043" t="s">
        <v>30</v>
      </c>
      <c r="D275" s="370">
        <v>2952</v>
      </c>
      <c r="E275" s="1055"/>
      <c r="F275" s="1067">
        <v>8365</v>
      </c>
      <c r="G275" s="1062"/>
      <c r="H275" s="1057" t="s">
        <v>391</v>
      </c>
      <c r="I275" s="369"/>
      <c r="J275" s="1057" t="s">
        <v>391</v>
      </c>
      <c r="K275" s="369"/>
      <c r="L275" s="370">
        <v>2952</v>
      </c>
      <c r="M275" s="370"/>
      <c r="N275" s="370">
        <v>8365</v>
      </c>
      <c r="O275" s="892"/>
      <c r="P275" s="370">
        <v>2319</v>
      </c>
      <c r="Q275" s="370"/>
      <c r="R275" s="370">
        <v>7790</v>
      </c>
      <c r="S275" s="370"/>
      <c r="T275" s="965" t="s">
        <v>391</v>
      </c>
      <c r="U275" s="1064" t="s">
        <v>391</v>
      </c>
      <c r="V275" s="370">
        <v>2319</v>
      </c>
      <c r="W275" s="370"/>
      <c r="X275" s="370">
        <v>7790</v>
      </c>
      <c r="Y275" s="892"/>
      <c r="Z275" s="1006">
        <v>110</v>
      </c>
      <c r="AA275" s="1008"/>
      <c r="AB275" s="1163">
        <v>6739</v>
      </c>
      <c r="AC275" s="1160"/>
      <c r="AD275" s="370">
        <f t="shared" si="86"/>
        <v>15214</v>
      </c>
      <c r="AE275" s="892"/>
      <c r="AF275" s="768"/>
      <c r="AG275" s="892" t="s">
        <v>80</v>
      </c>
      <c r="AH275" s="165"/>
    </row>
    <row r="276" spans="1:35" s="96" customFormat="1" ht="12.75" customHeight="1">
      <c r="A276" s="370"/>
      <c r="B276" s="347"/>
      <c r="C276" s="1043" t="s">
        <v>36</v>
      </c>
      <c r="D276" s="370">
        <v>2980</v>
      </c>
      <c r="E276" s="1055"/>
      <c r="F276" s="1067">
        <v>10382</v>
      </c>
      <c r="G276" s="1062"/>
      <c r="H276" s="1057" t="s">
        <v>391</v>
      </c>
      <c r="I276" s="369"/>
      <c r="J276" s="1057" t="s">
        <v>391</v>
      </c>
      <c r="K276" s="369"/>
      <c r="L276" s="370">
        <v>2980</v>
      </c>
      <c r="M276" s="370"/>
      <c r="N276" s="370">
        <v>10382</v>
      </c>
      <c r="O276" s="892"/>
      <c r="P276" s="370">
        <v>2377</v>
      </c>
      <c r="Q276" s="370"/>
      <c r="R276" s="370">
        <v>11477</v>
      </c>
      <c r="S276" s="370"/>
      <c r="T276" s="965" t="s">
        <v>391</v>
      </c>
      <c r="U276" s="1064" t="s">
        <v>391</v>
      </c>
      <c r="V276" s="370">
        <v>2377</v>
      </c>
      <c r="W276" s="370"/>
      <c r="X276" s="370">
        <v>10382</v>
      </c>
      <c r="Y276" s="892"/>
      <c r="Z276" s="1005">
        <v>263</v>
      </c>
      <c r="AA276" s="1008"/>
      <c r="AB276" s="1163">
        <v>14023</v>
      </c>
      <c r="AC276" s="1160"/>
      <c r="AD276" s="370">
        <f t="shared" si="86"/>
        <v>24668</v>
      </c>
      <c r="AE276" s="892"/>
      <c r="AF276" s="768"/>
      <c r="AG276" s="892" t="s">
        <v>81</v>
      </c>
      <c r="AH276" s="165"/>
    </row>
    <row r="277" spans="1:35" s="96" customFormat="1" ht="12.75" customHeight="1">
      <c r="A277" s="370"/>
      <c r="B277" s="347"/>
      <c r="C277" s="1043" t="s">
        <v>37</v>
      </c>
      <c r="D277" s="370">
        <v>2969</v>
      </c>
      <c r="E277" s="1055"/>
      <c r="F277" s="1067">
        <v>9231</v>
      </c>
      <c r="G277" s="1062"/>
      <c r="H277" s="1057" t="s">
        <v>391</v>
      </c>
      <c r="I277" s="369"/>
      <c r="J277" s="1057" t="s">
        <v>391</v>
      </c>
      <c r="K277" s="369"/>
      <c r="L277" s="370">
        <v>2969</v>
      </c>
      <c r="M277" s="370"/>
      <c r="N277" s="370">
        <v>9231</v>
      </c>
      <c r="O277" s="892"/>
      <c r="P277" s="370">
        <v>2445</v>
      </c>
      <c r="Q277" s="370"/>
      <c r="R277" s="370">
        <v>10172</v>
      </c>
      <c r="S277" s="370"/>
      <c r="T277" s="965" t="s">
        <v>391</v>
      </c>
      <c r="U277" s="1064" t="s">
        <v>391</v>
      </c>
      <c r="V277" s="370">
        <v>2445</v>
      </c>
      <c r="W277" s="370"/>
      <c r="X277" s="370">
        <v>10172</v>
      </c>
      <c r="Y277" s="892"/>
      <c r="Z277" s="1005">
        <v>131</v>
      </c>
      <c r="AA277" s="1008"/>
      <c r="AB277" s="1049">
        <v>19059</v>
      </c>
      <c r="AC277" s="1160"/>
      <c r="AD277" s="1060">
        <f t="shared" si="86"/>
        <v>28421</v>
      </c>
      <c r="AE277" s="892"/>
      <c r="AF277" s="768"/>
      <c r="AG277" s="892" t="s">
        <v>356</v>
      </c>
      <c r="AH277" s="165"/>
    </row>
    <row r="278" spans="1:35" s="96" customFormat="1" ht="12.75" customHeight="1">
      <c r="A278" s="370"/>
      <c r="B278" s="347"/>
      <c r="C278" s="1043" t="s">
        <v>31</v>
      </c>
      <c r="D278" s="370">
        <v>4405</v>
      </c>
      <c r="E278" s="1055"/>
      <c r="F278" s="1067">
        <v>9922</v>
      </c>
      <c r="G278" s="1062"/>
      <c r="H278" s="1057" t="s">
        <v>391</v>
      </c>
      <c r="I278" s="369"/>
      <c r="J278" s="1057" t="s">
        <v>391</v>
      </c>
      <c r="K278" s="369"/>
      <c r="L278" s="370">
        <v>4405</v>
      </c>
      <c r="M278" s="370"/>
      <c r="N278" s="370">
        <v>9922</v>
      </c>
      <c r="O278" s="892"/>
      <c r="P278" s="370">
        <v>2809</v>
      </c>
      <c r="Q278" s="370"/>
      <c r="R278" s="370">
        <v>9465</v>
      </c>
      <c r="S278" s="370"/>
      <c r="T278" s="965" t="s">
        <v>391</v>
      </c>
      <c r="U278" s="1064" t="s">
        <v>391</v>
      </c>
      <c r="V278" s="370">
        <v>2809</v>
      </c>
      <c r="W278" s="370"/>
      <c r="X278" s="370">
        <v>9465</v>
      </c>
      <c r="Y278" s="892"/>
      <c r="Z278" s="1006">
        <v>237</v>
      </c>
      <c r="AA278" s="1008"/>
      <c r="AB278" s="1049">
        <v>6700</v>
      </c>
      <c r="AC278" s="1160"/>
      <c r="AD278" s="370">
        <f t="shared" ref="AD278:AD285" si="87">N278+Z278+AB278</f>
        <v>16859</v>
      </c>
      <c r="AE278" s="892"/>
      <c r="AF278" s="768"/>
      <c r="AG278" s="892" t="s">
        <v>31</v>
      </c>
      <c r="AH278" s="165"/>
    </row>
    <row r="279" spans="1:35" s="96" customFormat="1" ht="12.75" customHeight="1">
      <c r="A279" s="370"/>
      <c r="B279" s="347"/>
      <c r="C279" s="1043" t="s">
        <v>38</v>
      </c>
      <c r="D279" s="370">
        <v>3296</v>
      </c>
      <c r="E279" s="1055"/>
      <c r="F279" s="1067">
        <v>9749</v>
      </c>
      <c r="G279" s="1062"/>
      <c r="H279" s="1057" t="s">
        <v>391</v>
      </c>
      <c r="I279" s="369"/>
      <c r="J279" s="1057" t="s">
        <v>391</v>
      </c>
      <c r="K279" s="369"/>
      <c r="L279" s="370">
        <v>3296</v>
      </c>
      <c r="M279" s="370"/>
      <c r="N279" s="370">
        <v>9749</v>
      </c>
      <c r="O279" s="892"/>
      <c r="P279" s="370">
        <v>4552</v>
      </c>
      <c r="Q279" s="370"/>
      <c r="R279" s="370">
        <v>10131</v>
      </c>
      <c r="S279" s="370"/>
      <c r="T279" s="965" t="s">
        <v>391</v>
      </c>
      <c r="U279" s="1064" t="s">
        <v>391</v>
      </c>
      <c r="V279" s="370">
        <v>4606</v>
      </c>
      <c r="W279" s="370"/>
      <c r="X279" s="370">
        <v>10623</v>
      </c>
      <c r="Y279" s="892"/>
      <c r="Z279" s="1006">
        <v>147</v>
      </c>
      <c r="AA279" s="1008"/>
      <c r="AB279" s="1049">
        <v>22012</v>
      </c>
      <c r="AC279" s="1160"/>
      <c r="AD279" s="1060">
        <f t="shared" si="87"/>
        <v>31908</v>
      </c>
      <c r="AE279" s="892"/>
      <c r="AF279" s="768"/>
      <c r="AG279" s="892" t="s">
        <v>38</v>
      </c>
      <c r="AH279" s="165"/>
    </row>
    <row r="280" spans="1:35" s="96" customFormat="1" ht="12.75" customHeight="1">
      <c r="A280" s="370"/>
      <c r="B280" s="347"/>
      <c r="C280" s="1043" t="s">
        <v>39</v>
      </c>
      <c r="D280" s="370">
        <v>3368</v>
      </c>
      <c r="E280" s="1055"/>
      <c r="F280" s="1067">
        <v>8506</v>
      </c>
      <c r="G280" s="1062"/>
      <c r="H280" s="1057" t="s">
        <v>391</v>
      </c>
      <c r="I280" s="369"/>
      <c r="J280" s="1057" t="s">
        <v>391</v>
      </c>
      <c r="K280" s="369"/>
      <c r="L280" s="370">
        <v>3368</v>
      </c>
      <c r="M280" s="370"/>
      <c r="N280" s="370">
        <v>8506</v>
      </c>
      <c r="O280" s="892"/>
      <c r="P280" s="370">
        <v>4026</v>
      </c>
      <c r="Q280" s="370"/>
      <c r="R280" s="370">
        <v>8882</v>
      </c>
      <c r="S280" s="370"/>
      <c r="T280" s="965" t="s">
        <v>391</v>
      </c>
      <c r="U280" s="1064" t="s">
        <v>391</v>
      </c>
      <c r="V280" s="370">
        <v>4026</v>
      </c>
      <c r="W280" s="370"/>
      <c r="X280" s="370">
        <v>8882</v>
      </c>
      <c r="Y280" s="892"/>
      <c r="Z280" s="1006">
        <v>17</v>
      </c>
      <c r="AA280" s="1008"/>
      <c r="AB280" s="1049">
        <v>16833</v>
      </c>
      <c r="AC280" s="1160"/>
      <c r="AD280" s="1060">
        <f t="shared" si="87"/>
        <v>25356</v>
      </c>
      <c r="AE280" s="892"/>
      <c r="AF280" s="768"/>
      <c r="AG280" s="892" t="s">
        <v>39</v>
      </c>
      <c r="AH280" s="165"/>
    </row>
    <row r="281" spans="1:35" s="96" customFormat="1" ht="12.75" customHeight="1">
      <c r="A281" s="370"/>
      <c r="B281" s="347"/>
      <c r="C281" s="1043" t="s">
        <v>32</v>
      </c>
      <c r="D281" s="370">
        <v>2891</v>
      </c>
      <c r="E281" s="1055"/>
      <c r="F281" s="1067">
        <v>8298</v>
      </c>
      <c r="G281" s="1062"/>
      <c r="H281" s="1057" t="s">
        <v>391</v>
      </c>
      <c r="I281" s="369"/>
      <c r="J281" s="1057" t="s">
        <v>391</v>
      </c>
      <c r="K281" s="369"/>
      <c r="L281" s="370">
        <v>2891</v>
      </c>
      <c r="M281" s="370"/>
      <c r="N281" s="96">
        <v>8298</v>
      </c>
      <c r="O281" s="892"/>
      <c r="P281" s="370">
        <v>1658</v>
      </c>
      <c r="Q281" s="370"/>
      <c r="R281" s="370">
        <v>6626</v>
      </c>
      <c r="S281" s="370"/>
      <c r="T281" s="965" t="s">
        <v>391</v>
      </c>
      <c r="U281" s="1064" t="s">
        <v>391</v>
      </c>
      <c r="V281" s="370">
        <v>1658</v>
      </c>
      <c r="W281" s="370"/>
      <c r="X281" s="370">
        <v>6626</v>
      </c>
      <c r="Y281" s="892"/>
      <c r="Z281" s="1006">
        <v>31</v>
      </c>
      <c r="AA281" s="1008"/>
      <c r="AB281" s="1049">
        <v>23254</v>
      </c>
      <c r="AC281" s="1160"/>
      <c r="AD281" s="370">
        <f t="shared" si="87"/>
        <v>31583</v>
      </c>
      <c r="AE281" s="892"/>
      <c r="AF281" s="768"/>
      <c r="AG281" s="892" t="s">
        <v>83</v>
      </c>
      <c r="AH281" s="165"/>
    </row>
    <row r="282" spans="1:35" s="96" customFormat="1" ht="12.75" customHeight="1">
      <c r="A282" s="370"/>
      <c r="B282" s="347">
        <v>2026</v>
      </c>
      <c r="C282" s="1043" t="s">
        <v>33</v>
      </c>
      <c r="D282" s="370">
        <v>2456</v>
      </c>
      <c r="E282" s="1055"/>
      <c r="F282" s="1067">
        <v>9657</v>
      </c>
      <c r="G282" s="1062"/>
      <c r="H282" s="1057" t="s">
        <v>391</v>
      </c>
      <c r="I282" s="369"/>
      <c r="J282" s="1057" t="s">
        <v>391</v>
      </c>
      <c r="K282" s="369"/>
      <c r="L282" s="370">
        <v>2456</v>
      </c>
      <c r="M282" s="370"/>
      <c r="N282" s="96">
        <v>9657</v>
      </c>
      <c r="O282" s="892"/>
      <c r="P282" s="370">
        <v>2698</v>
      </c>
      <c r="Q282" s="370"/>
      <c r="R282" s="370">
        <v>12184</v>
      </c>
      <c r="S282" s="370"/>
      <c r="T282" s="965" t="s">
        <v>391</v>
      </c>
      <c r="U282" s="1064" t="s">
        <v>391</v>
      </c>
      <c r="V282" s="370">
        <v>2698</v>
      </c>
      <c r="W282" s="370"/>
      <c r="X282" s="370">
        <v>12184</v>
      </c>
      <c r="Y282" s="892"/>
      <c r="Z282" s="1006">
        <v>5</v>
      </c>
      <c r="AA282" s="1006"/>
      <c r="AB282" s="1195">
        <v>40002</v>
      </c>
      <c r="AC282" s="1030" t="s">
        <v>122</v>
      </c>
      <c r="AD282" s="370">
        <f t="shared" si="87"/>
        <v>49664</v>
      </c>
      <c r="AE282" s="892"/>
      <c r="AF282" s="768">
        <v>2026</v>
      </c>
      <c r="AG282" s="892" t="s">
        <v>33</v>
      </c>
      <c r="AH282" s="165"/>
    </row>
    <row r="283" spans="1:35" s="96" customFormat="1" ht="12.75" customHeight="1">
      <c r="A283" s="370"/>
      <c r="B283" s="347"/>
      <c r="C283" s="1043" t="s">
        <v>34</v>
      </c>
      <c r="D283" s="370">
        <v>1998</v>
      </c>
      <c r="E283" s="1055"/>
      <c r="F283" s="1067">
        <v>5064</v>
      </c>
      <c r="G283" s="1062"/>
      <c r="H283" s="1057" t="s">
        <v>391</v>
      </c>
      <c r="I283" s="369"/>
      <c r="J283" s="1057" t="s">
        <v>391</v>
      </c>
      <c r="K283" s="369"/>
      <c r="L283" s="370">
        <v>1998</v>
      </c>
      <c r="M283" s="370"/>
      <c r="N283" s="96">
        <v>5064</v>
      </c>
      <c r="O283" s="892"/>
      <c r="P283" s="370">
        <v>3667</v>
      </c>
      <c r="Q283" s="370"/>
      <c r="R283" s="370">
        <v>5351</v>
      </c>
      <c r="S283" s="370"/>
      <c r="T283" s="965" t="s">
        <v>391</v>
      </c>
      <c r="U283" s="1064" t="s">
        <v>391</v>
      </c>
      <c r="V283" s="370">
        <v>3667</v>
      </c>
      <c r="W283" s="370"/>
      <c r="X283" s="370">
        <v>5351</v>
      </c>
      <c r="Y283" s="892"/>
      <c r="Z283" s="1006">
        <v>0</v>
      </c>
      <c r="AA283" s="1008"/>
      <c r="AB283" s="1049">
        <v>13677</v>
      </c>
      <c r="AC283" s="1030" t="s">
        <v>122</v>
      </c>
      <c r="AD283" s="1060">
        <f t="shared" si="87"/>
        <v>18741</v>
      </c>
      <c r="AE283" s="892"/>
      <c r="AF283" s="768"/>
      <c r="AG283" s="892" t="s">
        <v>77</v>
      </c>
      <c r="AH283" s="165"/>
    </row>
    <row r="284" spans="1:35" s="96" customFormat="1" ht="12.75" customHeight="1">
      <c r="A284" s="370"/>
      <c r="B284" s="347"/>
      <c r="C284" s="1043" t="s">
        <v>29</v>
      </c>
      <c r="D284" s="370">
        <v>2328</v>
      </c>
      <c r="E284" s="1055"/>
      <c r="F284" s="1067">
        <v>7127</v>
      </c>
      <c r="G284" s="1062"/>
      <c r="H284" s="1057" t="s">
        <v>391</v>
      </c>
      <c r="I284" s="369"/>
      <c r="J284" s="1057" t="s">
        <v>391</v>
      </c>
      <c r="K284" s="369"/>
      <c r="L284" s="370">
        <v>2328</v>
      </c>
      <c r="M284" s="370"/>
      <c r="N284" s="96">
        <v>7127</v>
      </c>
      <c r="O284" s="892"/>
      <c r="P284" s="370">
        <v>3468</v>
      </c>
      <c r="Q284" s="370"/>
      <c r="R284" s="370">
        <v>6568</v>
      </c>
      <c r="S284" s="370"/>
      <c r="T284" s="965" t="s">
        <v>391</v>
      </c>
      <c r="U284" s="1064" t="s">
        <v>391</v>
      </c>
      <c r="V284" s="370">
        <v>3468</v>
      </c>
      <c r="W284" s="370"/>
      <c r="X284" s="370">
        <v>6568</v>
      </c>
      <c r="Y284" s="892"/>
      <c r="Z284" s="1006">
        <v>2</v>
      </c>
      <c r="AA284" s="1008"/>
      <c r="AB284" s="1049">
        <v>28400</v>
      </c>
      <c r="AC284" s="1160"/>
      <c r="AD284" s="1060">
        <f t="shared" si="87"/>
        <v>35529</v>
      </c>
      <c r="AE284" s="892"/>
      <c r="AF284" s="768"/>
      <c r="AG284" s="892" t="s">
        <v>29</v>
      </c>
      <c r="AH284" s="165"/>
    </row>
    <row r="285" spans="1:35" s="96" customFormat="1" ht="12.75" customHeight="1">
      <c r="A285" s="370"/>
      <c r="B285" s="1000"/>
      <c r="C285" s="1068" t="s">
        <v>601</v>
      </c>
      <c r="D285" s="1069">
        <v>3087</v>
      </c>
      <c r="E285" s="1070"/>
      <c r="F285" s="1071">
        <v>9941</v>
      </c>
      <c r="G285" s="1072"/>
      <c r="H285" s="1073" t="s">
        <v>391</v>
      </c>
      <c r="I285" s="829"/>
      <c r="J285" s="1073" t="s">
        <v>391</v>
      </c>
      <c r="K285" s="829"/>
      <c r="L285" s="1069">
        <v>3087</v>
      </c>
      <c r="M285" s="1069"/>
      <c r="N285" s="726">
        <v>9941</v>
      </c>
      <c r="O285" s="1074"/>
      <c r="P285" s="1069">
        <v>2630</v>
      </c>
      <c r="Q285" s="1069"/>
      <c r="R285" s="1069">
        <v>10264</v>
      </c>
      <c r="S285" s="1069"/>
      <c r="T285" s="1170" t="s">
        <v>391</v>
      </c>
      <c r="U285" s="1171" t="s">
        <v>391</v>
      </c>
      <c r="V285" s="1069">
        <v>2630</v>
      </c>
      <c r="W285" s="1069"/>
      <c r="X285" s="1069">
        <v>10264</v>
      </c>
      <c r="Y285" s="1074"/>
      <c r="Z285" s="1187">
        <v>22</v>
      </c>
      <c r="AA285" s="1197"/>
      <c r="AB285" s="1196">
        <v>33730</v>
      </c>
      <c r="AC285" s="1159"/>
      <c r="AD285" s="1198">
        <f t="shared" si="87"/>
        <v>43693</v>
      </c>
      <c r="AE285" s="1074"/>
      <c r="AF285" s="922"/>
      <c r="AG285" s="1074" t="s">
        <v>602</v>
      </c>
      <c r="AH285" s="165"/>
    </row>
    <row r="286" spans="1:35" ht="15" customHeight="1">
      <c r="A286" s="864"/>
      <c r="B286" s="802" t="s">
        <v>471</v>
      </c>
      <c r="C286" s="392"/>
      <c r="D286" s="1075"/>
      <c r="E286" s="1075"/>
      <c r="F286" s="1076"/>
      <c r="G286" s="1076"/>
      <c r="H286" s="1076"/>
      <c r="I286" s="1076"/>
      <c r="J286" s="1076"/>
      <c r="K286" s="1076"/>
      <c r="L286" s="864"/>
      <c r="M286" s="864"/>
      <c r="N286" s="864"/>
      <c r="O286" s="864"/>
      <c r="P286" s="864"/>
      <c r="Q286" s="864"/>
      <c r="R286" s="864"/>
      <c r="S286" s="864"/>
      <c r="T286" s="864"/>
      <c r="U286" s="1077"/>
      <c r="V286" s="864" t="s">
        <v>41</v>
      </c>
      <c r="W286" s="864"/>
      <c r="X286" s="864" t="s">
        <v>41</v>
      </c>
      <c r="Y286" s="864"/>
      <c r="Z286" s="864"/>
      <c r="AA286" s="864"/>
      <c r="AB286" s="864"/>
      <c r="AC286" s="864"/>
      <c r="AD286" s="864"/>
      <c r="AE286" s="864"/>
      <c r="AF286" s="863"/>
      <c r="AG286" s="864"/>
      <c r="AH286" s="142"/>
    </row>
    <row r="287" spans="1:35" ht="15" customHeight="1">
      <c r="A287" s="864"/>
      <c r="B287" s="802"/>
      <c r="C287" s="389" t="s">
        <v>423</v>
      </c>
      <c r="D287" s="1075"/>
      <c r="E287" s="1075"/>
      <c r="F287" s="1076"/>
      <c r="G287" s="1076"/>
      <c r="H287" s="1076"/>
      <c r="I287" s="1076"/>
      <c r="J287" s="1076"/>
      <c r="K287" s="1076"/>
      <c r="L287" s="864"/>
      <c r="M287" s="864"/>
      <c r="N287" s="864"/>
      <c r="O287" s="864"/>
      <c r="P287" s="864"/>
      <c r="Q287" s="864"/>
      <c r="R287" s="864"/>
      <c r="S287" s="864"/>
      <c r="T287" s="864"/>
      <c r="U287" s="1077"/>
      <c r="V287" s="864"/>
      <c r="W287" s="864"/>
      <c r="X287" s="864"/>
      <c r="Y287" s="864"/>
      <c r="Z287" s="864"/>
      <c r="AA287" s="864"/>
      <c r="AB287" s="864"/>
      <c r="AC287" s="864"/>
      <c r="AD287" s="864"/>
      <c r="AE287" s="864"/>
      <c r="AF287" s="863"/>
      <c r="AG287" s="864"/>
      <c r="AH287" s="142"/>
    </row>
    <row r="288" spans="1:35" ht="12.75" customHeight="1">
      <c r="C288" s="1"/>
      <c r="D288" s="124"/>
      <c r="E288" s="124"/>
      <c r="F288" s="47"/>
      <c r="G288" s="47"/>
      <c r="H288" s="760" t="s">
        <v>358</v>
      </c>
      <c r="I288" s="47"/>
      <c r="J288" s="47"/>
      <c r="K288" s="47"/>
      <c r="L288" s="55" t="s">
        <v>41</v>
      </c>
      <c r="U288" s="92" t="s">
        <v>41</v>
      </c>
      <c r="V288" s="55" t="s">
        <v>41</v>
      </c>
      <c r="X288" s="55" t="s">
        <v>41</v>
      </c>
      <c r="AI288" s="142"/>
    </row>
    <row r="289" spans="1:35" ht="12.75" customHeight="1">
      <c r="A289" s="759"/>
      <c r="C289" s="51" t="s">
        <v>360</v>
      </c>
      <c r="D289" s="124"/>
      <c r="E289" s="124"/>
      <c r="F289" s="47"/>
      <c r="G289" s="47"/>
      <c r="H289" s="47"/>
      <c r="I289" s="47"/>
      <c r="J289" s="47"/>
      <c r="K289" s="47"/>
      <c r="L289" s="990"/>
      <c r="U289" s="92"/>
      <c r="AF289" s="134" t="s">
        <v>41</v>
      </c>
      <c r="AI289" s="142"/>
    </row>
    <row r="291" spans="1:35" ht="12.75" customHeight="1">
      <c r="A291" s="759"/>
      <c r="B291" s="857"/>
      <c r="C291" s="761"/>
      <c r="D291" s="124"/>
      <c r="E291" s="124"/>
      <c r="F291" s="47"/>
      <c r="G291" s="47"/>
      <c r="H291" s="47"/>
      <c r="I291" s="47"/>
      <c r="J291" s="47"/>
      <c r="K291" s="47"/>
      <c r="U291" s="92"/>
      <c r="AI291" s="142"/>
    </row>
    <row r="292" spans="1:35" s="467" customFormat="1" ht="13.5">
      <c r="D292" s="468">
        <f>D285/D273-1</f>
        <v>3.7995965030262369E-2</v>
      </c>
      <c r="E292" s="468" t="e">
        <f t="shared" ref="E292:AD292" si="88">E285/E273-1</f>
        <v>#DIV/0!</v>
      </c>
      <c r="F292" s="468">
        <f t="shared" si="88"/>
        <v>0.2412286178049694</v>
      </c>
      <c r="G292" s="468" t="e">
        <f t="shared" si="88"/>
        <v>#DIV/0!</v>
      </c>
      <c r="H292" s="468" t="e">
        <f t="shared" si="88"/>
        <v>#VALUE!</v>
      </c>
      <c r="I292" s="468" t="e">
        <f t="shared" si="88"/>
        <v>#DIV/0!</v>
      </c>
      <c r="J292" s="468" t="e">
        <f t="shared" si="88"/>
        <v>#VALUE!</v>
      </c>
      <c r="K292" s="468" t="e">
        <f t="shared" si="88"/>
        <v>#DIV/0!</v>
      </c>
      <c r="L292" s="468">
        <f t="shared" si="88"/>
        <v>3.7995965030262369E-2</v>
      </c>
      <c r="M292" s="468" t="e">
        <f t="shared" si="88"/>
        <v>#DIV/0!</v>
      </c>
      <c r="N292" s="468">
        <f t="shared" si="88"/>
        <v>0.2412286178049694</v>
      </c>
      <c r="O292" s="468" t="e">
        <f t="shared" si="88"/>
        <v>#DIV/0!</v>
      </c>
      <c r="P292" s="468">
        <f t="shared" si="88"/>
        <v>4.5310015898251121E-2</v>
      </c>
      <c r="Q292" s="468" t="e">
        <f t="shared" si="88"/>
        <v>#DIV/0!</v>
      </c>
      <c r="R292" s="468">
        <f t="shared" si="88"/>
        <v>0.28428428428428432</v>
      </c>
      <c r="S292" s="468" t="e">
        <f t="shared" si="88"/>
        <v>#DIV/0!</v>
      </c>
      <c r="T292" s="468" t="e">
        <f t="shared" si="88"/>
        <v>#VALUE!</v>
      </c>
      <c r="U292" s="468" t="e">
        <f t="shared" si="88"/>
        <v>#VALUE!</v>
      </c>
      <c r="V292" s="468">
        <f t="shared" si="88"/>
        <v>4.5310015898251121E-2</v>
      </c>
      <c r="W292" s="468" t="e">
        <f t="shared" si="88"/>
        <v>#DIV/0!</v>
      </c>
      <c r="X292" s="468">
        <f t="shared" si="88"/>
        <v>0.28428428428428432</v>
      </c>
      <c r="Y292" s="468" t="e">
        <f t="shared" si="88"/>
        <v>#DIV/0!</v>
      </c>
      <c r="Z292" s="468">
        <f t="shared" si="88"/>
        <v>-0.24137931034482762</v>
      </c>
      <c r="AA292" s="468" t="e">
        <f t="shared" si="88"/>
        <v>#DIV/0!</v>
      </c>
      <c r="AB292" s="468">
        <f t="shared" si="88"/>
        <v>0.81980037766387914</v>
      </c>
      <c r="AC292" s="468" t="e">
        <f t="shared" si="88"/>
        <v>#DIV/0!</v>
      </c>
      <c r="AD292" s="468">
        <f t="shared" si="88"/>
        <v>0.64426297369510399</v>
      </c>
      <c r="AE292" s="468"/>
      <c r="AF292" s="469" t="s">
        <v>218</v>
      </c>
      <c r="AG292" s="470"/>
      <c r="AI292" s="471"/>
    </row>
    <row r="293" spans="1:35" s="467" customFormat="1" ht="13.5">
      <c r="D293" s="472">
        <f>D285/D284-1</f>
        <v>0.3260309278350515</v>
      </c>
      <c r="E293" s="472" t="e">
        <f t="shared" ref="E293:AD293" si="89">E285/E284-1</f>
        <v>#DIV/0!</v>
      </c>
      <c r="F293" s="472">
        <f t="shared" si="89"/>
        <v>0.39483653711238942</v>
      </c>
      <c r="G293" s="472" t="e">
        <f t="shared" si="89"/>
        <v>#DIV/0!</v>
      </c>
      <c r="H293" s="472" t="e">
        <f t="shared" si="89"/>
        <v>#VALUE!</v>
      </c>
      <c r="I293" s="472" t="e">
        <f t="shared" si="89"/>
        <v>#DIV/0!</v>
      </c>
      <c r="J293" s="472" t="e">
        <f t="shared" si="89"/>
        <v>#VALUE!</v>
      </c>
      <c r="K293" s="472" t="e">
        <f t="shared" si="89"/>
        <v>#DIV/0!</v>
      </c>
      <c r="L293" s="472">
        <f t="shared" si="89"/>
        <v>0.3260309278350515</v>
      </c>
      <c r="M293" s="472" t="e">
        <f t="shared" si="89"/>
        <v>#DIV/0!</v>
      </c>
      <c r="N293" s="472">
        <f t="shared" si="89"/>
        <v>0.39483653711238942</v>
      </c>
      <c r="O293" s="472" t="e">
        <f t="shared" si="89"/>
        <v>#DIV/0!</v>
      </c>
      <c r="P293" s="472">
        <f t="shared" si="89"/>
        <v>-0.24163783160322949</v>
      </c>
      <c r="Q293" s="472" t="e">
        <f t="shared" si="89"/>
        <v>#DIV/0!</v>
      </c>
      <c r="R293" s="472">
        <f t="shared" si="89"/>
        <v>0.56272838002436054</v>
      </c>
      <c r="S293" s="472" t="e">
        <f t="shared" si="89"/>
        <v>#DIV/0!</v>
      </c>
      <c r="T293" s="472" t="e">
        <f t="shared" si="89"/>
        <v>#VALUE!</v>
      </c>
      <c r="U293" s="472" t="e">
        <f t="shared" si="89"/>
        <v>#VALUE!</v>
      </c>
      <c r="V293" s="472">
        <f t="shared" si="89"/>
        <v>-0.24163783160322949</v>
      </c>
      <c r="W293" s="472" t="e">
        <f t="shared" si="89"/>
        <v>#DIV/0!</v>
      </c>
      <c r="X293" s="472">
        <f t="shared" si="89"/>
        <v>0.56272838002436054</v>
      </c>
      <c r="Y293" s="472" t="e">
        <f t="shared" si="89"/>
        <v>#DIV/0!</v>
      </c>
      <c r="Z293" s="472">
        <f t="shared" si="89"/>
        <v>10</v>
      </c>
      <c r="AA293" s="472" t="e">
        <f t="shared" si="89"/>
        <v>#DIV/0!</v>
      </c>
      <c r="AB293" s="472">
        <f t="shared" si="89"/>
        <v>0.1876760563380282</v>
      </c>
      <c r="AC293" s="472" t="e">
        <f t="shared" si="89"/>
        <v>#DIV/0!</v>
      </c>
      <c r="AD293" s="472">
        <f t="shared" si="89"/>
        <v>0.229784120014636</v>
      </c>
      <c r="AE293" s="472"/>
      <c r="AF293" s="473" t="s">
        <v>219</v>
      </c>
      <c r="AG293" s="470"/>
    </row>
    <row r="294" spans="1:35" s="467" customFormat="1" ht="13.5">
      <c r="D294" s="474">
        <f>D285-D273</f>
        <v>113</v>
      </c>
      <c r="E294" s="474">
        <f t="shared" ref="E294:AD294" si="90">E285-E273</f>
        <v>0</v>
      </c>
      <c r="F294" s="474">
        <f t="shared" si="90"/>
        <v>1932</v>
      </c>
      <c r="G294" s="474">
        <f t="shared" si="90"/>
        <v>0</v>
      </c>
      <c r="H294" s="474" t="e">
        <f t="shared" si="90"/>
        <v>#VALUE!</v>
      </c>
      <c r="I294" s="474">
        <f t="shared" si="90"/>
        <v>0</v>
      </c>
      <c r="J294" s="474" t="e">
        <f t="shared" si="90"/>
        <v>#VALUE!</v>
      </c>
      <c r="K294" s="474">
        <f t="shared" si="90"/>
        <v>0</v>
      </c>
      <c r="L294" s="474">
        <f t="shared" si="90"/>
        <v>113</v>
      </c>
      <c r="M294" s="474">
        <f t="shared" si="90"/>
        <v>0</v>
      </c>
      <c r="N294" s="474">
        <f t="shared" si="90"/>
        <v>1932</v>
      </c>
      <c r="O294" s="474">
        <f t="shared" si="90"/>
        <v>0</v>
      </c>
      <c r="P294" s="474">
        <f t="shared" si="90"/>
        <v>114</v>
      </c>
      <c r="Q294" s="474">
        <f t="shared" si="90"/>
        <v>0</v>
      </c>
      <c r="R294" s="474">
        <f t="shared" si="90"/>
        <v>2272</v>
      </c>
      <c r="S294" s="474">
        <f t="shared" si="90"/>
        <v>0</v>
      </c>
      <c r="T294" s="474" t="e">
        <f t="shared" si="90"/>
        <v>#VALUE!</v>
      </c>
      <c r="U294" s="474" t="e">
        <f t="shared" si="90"/>
        <v>#VALUE!</v>
      </c>
      <c r="V294" s="474">
        <f t="shared" si="90"/>
        <v>114</v>
      </c>
      <c r="W294" s="474">
        <f t="shared" si="90"/>
        <v>0</v>
      </c>
      <c r="X294" s="474">
        <f t="shared" si="90"/>
        <v>2272</v>
      </c>
      <c r="Y294" s="474">
        <f t="shared" si="90"/>
        <v>0</v>
      </c>
      <c r="Z294" s="474">
        <f t="shared" si="90"/>
        <v>-7</v>
      </c>
      <c r="AA294" s="474">
        <f t="shared" si="90"/>
        <v>0</v>
      </c>
      <c r="AB294" s="474">
        <f t="shared" si="90"/>
        <v>15195</v>
      </c>
      <c r="AC294" s="474">
        <f t="shared" si="90"/>
        <v>0</v>
      </c>
      <c r="AD294" s="474">
        <f t="shared" si="90"/>
        <v>17120</v>
      </c>
      <c r="AE294" s="474"/>
      <c r="AF294" s="475" t="s">
        <v>200</v>
      </c>
      <c r="AG294" s="470"/>
    </row>
    <row r="295" spans="1:35" s="467" customFormat="1" ht="13.5">
      <c r="D295" s="476">
        <f>D285-D284</f>
        <v>759</v>
      </c>
      <c r="E295" s="476">
        <f t="shared" ref="E295:AD295" si="91">E285-E284</f>
        <v>0</v>
      </c>
      <c r="F295" s="476">
        <f>F285-F284</f>
        <v>2814</v>
      </c>
      <c r="G295" s="476">
        <f t="shared" si="91"/>
        <v>0</v>
      </c>
      <c r="H295" s="476" t="e">
        <f t="shared" si="91"/>
        <v>#VALUE!</v>
      </c>
      <c r="I295" s="476">
        <f t="shared" si="91"/>
        <v>0</v>
      </c>
      <c r="J295" s="476" t="e">
        <f t="shared" si="91"/>
        <v>#VALUE!</v>
      </c>
      <c r="K295" s="476">
        <f t="shared" si="91"/>
        <v>0</v>
      </c>
      <c r="L295" s="476">
        <f>L285-L284</f>
        <v>759</v>
      </c>
      <c r="M295" s="476">
        <f t="shared" si="91"/>
        <v>0</v>
      </c>
      <c r="N295" s="476">
        <f t="shared" si="91"/>
        <v>2814</v>
      </c>
      <c r="O295" s="476">
        <f t="shared" si="91"/>
        <v>0</v>
      </c>
      <c r="P295" s="476">
        <f>P285-P284</f>
        <v>-838</v>
      </c>
      <c r="Q295" s="476">
        <f t="shared" si="91"/>
        <v>0</v>
      </c>
      <c r="R295" s="476">
        <f t="shared" si="91"/>
        <v>3696</v>
      </c>
      <c r="S295" s="476">
        <f t="shared" si="91"/>
        <v>0</v>
      </c>
      <c r="T295" s="476" t="e">
        <f t="shared" si="91"/>
        <v>#VALUE!</v>
      </c>
      <c r="U295" s="476" t="e">
        <f t="shared" si="91"/>
        <v>#VALUE!</v>
      </c>
      <c r="V295" s="476">
        <f t="shared" si="91"/>
        <v>-838</v>
      </c>
      <c r="W295" s="476">
        <f t="shared" si="91"/>
        <v>0</v>
      </c>
      <c r="X295" s="476">
        <f t="shared" si="91"/>
        <v>3696</v>
      </c>
      <c r="Y295" s="476">
        <f t="shared" si="91"/>
        <v>0</v>
      </c>
      <c r="Z295" s="476">
        <f t="shared" si="91"/>
        <v>20</v>
      </c>
      <c r="AA295" s="476">
        <f t="shared" si="91"/>
        <v>0</v>
      </c>
      <c r="AB295" s="476">
        <f t="shared" si="91"/>
        <v>5330</v>
      </c>
      <c r="AC295" s="476">
        <f t="shared" si="91"/>
        <v>0</v>
      </c>
      <c r="AD295" s="476">
        <f t="shared" si="91"/>
        <v>8164</v>
      </c>
      <c r="AE295" s="476"/>
      <c r="AF295" s="475" t="s">
        <v>201</v>
      </c>
      <c r="AG295" s="470"/>
    </row>
    <row r="296" spans="1:35" s="467" customFormat="1" ht="13.5">
      <c r="D296" s="477"/>
      <c r="E296" s="477"/>
      <c r="F296" s="477"/>
      <c r="G296" s="477"/>
      <c r="H296" s="470"/>
      <c r="I296" s="470"/>
      <c r="J296" s="470"/>
      <c r="K296" s="470"/>
      <c r="L296" s="470"/>
      <c r="M296" s="470"/>
      <c r="N296" s="470"/>
      <c r="O296" s="470"/>
      <c r="P296" s="470"/>
      <c r="Q296" s="470"/>
      <c r="R296" s="470"/>
      <c r="S296" s="470"/>
      <c r="T296" s="777"/>
      <c r="U296" s="470"/>
      <c r="V296" s="470"/>
      <c r="W296" s="470"/>
      <c r="X296" s="470"/>
      <c r="Y296" s="470"/>
      <c r="Z296" s="470"/>
      <c r="AA296" s="470"/>
      <c r="AB296" s="470"/>
      <c r="AC296" s="470"/>
      <c r="AD296" s="470"/>
      <c r="AE296" s="470"/>
      <c r="AF296" s="478"/>
      <c r="AG296" s="470"/>
    </row>
    <row r="297" spans="1:35" s="467" customFormat="1" ht="13.5">
      <c r="D297" s="479"/>
      <c r="E297" s="479"/>
      <c r="G297" s="470"/>
      <c r="H297" s="470"/>
      <c r="I297" s="470"/>
      <c r="J297" s="470"/>
      <c r="K297" s="470"/>
      <c r="L297" s="470"/>
      <c r="M297" s="470"/>
      <c r="N297" s="470"/>
      <c r="O297" s="470"/>
      <c r="P297" s="470"/>
      <c r="Q297" s="470"/>
      <c r="R297" s="470"/>
      <c r="S297" s="470"/>
      <c r="T297" s="470"/>
      <c r="U297" s="470"/>
      <c r="V297" s="480"/>
      <c r="W297" s="480"/>
      <c r="X297" s="480"/>
      <c r="Y297" s="480"/>
      <c r="Z297" s="480"/>
      <c r="AA297" s="480"/>
      <c r="AB297" s="500" t="e">
        <f>N239/AD239</f>
        <v>#DIV/0!</v>
      </c>
      <c r="AC297" s="500"/>
      <c r="AD297" s="480" t="s">
        <v>226</v>
      </c>
      <c r="AE297" s="480"/>
      <c r="AF297" s="481" t="s">
        <v>202</v>
      </c>
      <c r="AG297" s="480"/>
    </row>
    <row r="298" spans="1:35" s="467" customFormat="1" ht="13.5">
      <c r="D298" s="470"/>
      <c r="E298" s="470"/>
      <c r="G298" s="470"/>
      <c r="H298" s="470"/>
      <c r="I298" s="470"/>
      <c r="J298" s="470"/>
      <c r="K298" s="470"/>
      <c r="L298" s="470"/>
      <c r="M298" s="470"/>
      <c r="N298" s="482"/>
      <c r="O298" s="470"/>
      <c r="P298" s="470"/>
      <c r="Q298" s="470"/>
      <c r="R298" s="470" t="s">
        <v>41</v>
      </c>
      <c r="S298" s="483"/>
      <c r="T298" s="470"/>
      <c r="U298" s="470" t="s">
        <v>394</v>
      </c>
      <c r="V298" s="480"/>
      <c r="W298" s="480"/>
      <c r="X298" s="480"/>
      <c r="Y298" s="480"/>
      <c r="Z298" s="480"/>
      <c r="AA298" s="480"/>
      <c r="AB298" s="500" t="e">
        <f>AB239/AD239</f>
        <v>#DIV/0!</v>
      </c>
      <c r="AC298" s="500"/>
      <c r="AD298" s="480" t="s">
        <v>227</v>
      </c>
      <c r="AE298" s="480"/>
      <c r="AF298" s="481" t="s">
        <v>203</v>
      </c>
      <c r="AG298" s="480"/>
    </row>
    <row r="299" spans="1:35" s="467" customFormat="1" ht="13.5">
      <c r="D299" s="484"/>
      <c r="E299" s="484"/>
      <c r="G299" s="484"/>
      <c r="J299" s="1201">
        <f>N285/J302*100</f>
        <v>76.304881793061099</v>
      </c>
      <c r="K299" s="845"/>
      <c r="L299" s="845" t="s">
        <v>377</v>
      </c>
      <c r="M299" s="484"/>
      <c r="N299" s="833" t="s">
        <v>41</v>
      </c>
      <c r="O299" s="484" t="s">
        <v>41</v>
      </c>
      <c r="P299" s="837" t="s">
        <v>41</v>
      </c>
      <c r="Q299" s="484"/>
      <c r="R299" s="824" t="s">
        <v>41</v>
      </c>
      <c r="S299" s="484"/>
      <c r="T299" s="484"/>
      <c r="U299" s="994" t="s">
        <v>380</v>
      </c>
      <c r="V299" s="484"/>
      <c r="W299" s="484"/>
      <c r="X299" s="830">
        <f>X285/X302*100</f>
        <v>79.602916085000771</v>
      </c>
      <c r="Y299" s="55" t="s">
        <v>385</v>
      </c>
      <c r="Z299" s="55"/>
      <c r="AA299" s="55"/>
      <c r="AB299" s="480">
        <v>0</v>
      </c>
      <c r="AC299" s="480"/>
      <c r="AD299" s="480" t="s">
        <v>228</v>
      </c>
      <c r="AE299" s="480"/>
      <c r="AF299" s="485"/>
    </row>
    <row r="300" spans="1:35" s="467" customFormat="1" ht="13.5">
      <c r="J300" s="1202">
        <f>(L285/J302*100)</f>
        <v>23.695118206938901</v>
      </c>
      <c r="K300" s="845"/>
      <c r="L300" s="845" t="s">
        <v>378</v>
      </c>
      <c r="N300" s="834" t="s">
        <v>41</v>
      </c>
      <c r="O300" s="467" t="s">
        <v>41</v>
      </c>
      <c r="P300" s="467" t="s">
        <v>41</v>
      </c>
      <c r="U300" s="845">
        <f>(AB285+Z285)/AD285*100</f>
        <v>77.248071773510631</v>
      </c>
      <c r="V300" s="845" t="s">
        <v>393</v>
      </c>
      <c r="X300" s="830">
        <f>V285/X302*100</f>
        <v>20.397083914999225</v>
      </c>
      <c r="Y300" s="55" t="s">
        <v>384</v>
      </c>
      <c r="AB300" s="501">
        <v>0</v>
      </c>
      <c r="AC300" s="501"/>
      <c r="AD300" s="501" t="s">
        <v>269</v>
      </c>
      <c r="AE300" s="501"/>
      <c r="AF300" s="485"/>
    </row>
    <row r="301" spans="1:35">
      <c r="H301" s="831" t="s">
        <v>41</v>
      </c>
      <c r="J301" s="55" t="s">
        <v>41</v>
      </c>
      <c r="N301" s="55" t="s">
        <v>41</v>
      </c>
      <c r="U301" s="845">
        <f>N285/AD285*100</f>
        <v>22.751928226489369</v>
      </c>
      <c r="V301" s="845" t="s">
        <v>392</v>
      </c>
      <c r="AB301" s="480">
        <v>0</v>
      </c>
      <c r="AC301" s="480"/>
      <c r="AD301" s="480" t="s">
        <v>316</v>
      </c>
      <c r="AE301" s="480"/>
    </row>
    <row r="302" spans="1:35">
      <c r="D302" s="142"/>
      <c r="E302" s="142"/>
      <c r="F302" s="142"/>
      <c r="J302" s="1201">
        <f>L285+N285</f>
        <v>13028</v>
      </c>
      <c r="K302" s="845"/>
      <c r="L302" s="1203" t="s">
        <v>383</v>
      </c>
      <c r="M302" s="142"/>
      <c r="N302" s="142"/>
      <c r="O302" s="142"/>
      <c r="P302" s="142"/>
      <c r="Q302" s="142"/>
      <c r="R302" s="142"/>
      <c r="S302" s="142"/>
      <c r="T302" s="142"/>
      <c r="W302" s="142"/>
      <c r="X302" s="830">
        <f>V285+X285</f>
        <v>12894</v>
      </c>
      <c r="Y302" s="55" t="s">
        <v>19</v>
      </c>
      <c r="Z302" s="142"/>
      <c r="AA302" s="142"/>
      <c r="AB302" s="142"/>
      <c r="AC302" s="142"/>
    </row>
    <row r="303" spans="1:35">
      <c r="F303" s="823" t="s">
        <v>41</v>
      </c>
      <c r="H303" s="142" t="s">
        <v>41</v>
      </c>
    </row>
    <row r="304" spans="1:35">
      <c r="F304" s="822" t="s">
        <v>41</v>
      </c>
      <c r="U304" s="55" t="s">
        <v>417</v>
      </c>
    </row>
    <row r="305" spans="2:32">
      <c r="H305" s="830"/>
      <c r="U305" s="845">
        <f>(AB285)/AD285*100</f>
        <v>77.1977204586547</v>
      </c>
      <c r="V305" s="845" t="s">
        <v>416</v>
      </c>
    </row>
    <row r="306" spans="2:32">
      <c r="H306" s="830"/>
      <c r="U306" s="845">
        <f>Z285/AD285*100</f>
        <v>5.0351314855926581E-2</v>
      </c>
      <c r="V306" s="845" t="s">
        <v>382</v>
      </c>
    </row>
    <row r="307" spans="2:32">
      <c r="P307" s="114"/>
      <c r="U307" s="845">
        <f>N285/AD285*100</f>
        <v>22.751928226489369</v>
      </c>
      <c r="V307" s="845" t="s">
        <v>379</v>
      </c>
    </row>
    <row r="308" spans="2:32">
      <c r="P308" s="114"/>
    </row>
    <row r="309" spans="2:32">
      <c r="P309" s="114"/>
    </row>
    <row r="310" spans="2:32" ht="13.5">
      <c r="B310" s="846"/>
      <c r="C310" s="846" t="s">
        <v>397</v>
      </c>
      <c r="D310" s="847"/>
      <c r="E310" s="846"/>
      <c r="F310" s="846"/>
      <c r="G310" s="846"/>
      <c r="H310" s="846"/>
      <c r="I310" s="846"/>
      <c r="J310" s="846"/>
      <c r="K310" s="846"/>
      <c r="L310" s="848"/>
      <c r="AF310" s="55"/>
    </row>
    <row r="311" spans="2:32" ht="13.5">
      <c r="B311" s="846"/>
      <c r="C311" s="846"/>
      <c r="D311" s="846"/>
      <c r="E311" s="846"/>
      <c r="F311" s="846"/>
      <c r="G311" s="846"/>
      <c r="H311" s="846"/>
      <c r="I311" s="846"/>
      <c r="J311" s="846" t="s">
        <v>398</v>
      </c>
      <c r="K311" s="846"/>
      <c r="L311" s="848"/>
    </row>
    <row r="312" spans="2:32" ht="13.5">
      <c r="B312" s="846"/>
      <c r="C312" s="846" t="s">
        <v>399</v>
      </c>
      <c r="D312" s="846"/>
      <c r="E312" s="846"/>
      <c r="F312" s="846"/>
      <c r="G312" s="846"/>
      <c r="H312" s="846">
        <f>N285</f>
        <v>9941</v>
      </c>
      <c r="I312" s="846"/>
      <c r="J312" s="849">
        <f>H312/H314</f>
        <v>0.22751928226489368</v>
      </c>
      <c r="K312" s="846"/>
      <c r="L312" s="848"/>
      <c r="AF312" s="55"/>
    </row>
    <row r="313" spans="2:32" ht="13.5">
      <c r="B313" s="846"/>
      <c r="C313" s="846" t="s">
        <v>400</v>
      </c>
      <c r="D313" s="846"/>
      <c r="E313" s="846"/>
      <c r="F313" s="846"/>
      <c r="G313" s="846"/>
      <c r="H313" s="846">
        <f>AB285+Z285</f>
        <v>33752</v>
      </c>
      <c r="I313" s="846"/>
      <c r="J313" s="849">
        <f>H313/H314</f>
        <v>0.77248071773510629</v>
      </c>
      <c r="K313" s="846"/>
      <c r="L313" s="848"/>
    </row>
    <row r="314" spans="2:32" ht="13.5">
      <c r="B314" s="846"/>
      <c r="C314" s="854" t="s">
        <v>401</v>
      </c>
      <c r="D314" s="854"/>
      <c r="E314" s="854"/>
      <c r="F314" s="854"/>
      <c r="G314" s="854"/>
      <c r="H314" s="854">
        <f>SUM(H312:H313)</f>
        <v>43693</v>
      </c>
      <c r="I314" s="846"/>
      <c r="J314" s="846"/>
      <c r="K314" s="846"/>
      <c r="L314" s="848"/>
      <c r="AF314" s="55"/>
    </row>
    <row r="315" spans="2:32" ht="13.5">
      <c r="B315" s="846"/>
      <c r="C315" s="846"/>
      <c r="D315" s="846"/>
      <c r="E315" s="846"/>
      <c r="F315" s="846"/>
      <c r="G315" s="846"/>
      <c r="H315" s="846"/>
      <c r="I315" s="846"/>
      <c r="J315" s="846"/>
      <c r="K315" s="846"/>
      <c r="L315" s="848"/>
      <c r="AF315" s="55"/>
    </row>
    <row r="316" spans="2:32" ht="13.5">
      <c r="B316" s="846"/>
      <c r="C316" s="846"/>
      <c r="D316" s="846"/>
      <c r="E316" s="846"/>
      <c r="F316" s="846"/>
      <c r="G316" s="846"/>
      <c r="H316" s="846"/>
      <c r="I316" s="846"/>
      <c r="J316" s="846"/>
      <c r="K316" s="846"/>
      <c r="L316" s="848"/>
      <c r="AF316" s="55"/>
    </row>
    <row r="317" spans="2:32" ht="13.5">
      <c r="D317" s="96"/>
      <c r="E317" s="96"/>
      <c r="AF317" s="55"/>
    </row>
    <row r="318" spans="2:32" ht="13.5">
      <c r="D318" s="96"/>
      <c r="E318" s="96"/>
      <c r="X318" s="84"/>
      <c r="AF318" s="55"/>
    </row>
    <row r="319" spans="2:32" ht="13.5">
      <c r="D319" s="96"/>
      <c r="E319" s="96"/>
      <c r="X319" s="84"/>
      <c r="AF319" s="55"/>
    </row>
    <row r="320" spans="2:32" ht="13.5">
      <c r="D320" s="96"/>
      <c r="E320" s="96"/>
      <c r="X320" s="84"/>
      <c r="AF320" s="55"/>
    </row>
    <row r="321" spans="4:32" ht="13.5">
      <c r="D321" s="96"/>
      <c r="E321" s="96"/>
      <c r="X321" s="84"/>
      <c r="AF321" s="55"/>
    </row>
    <row r="322" spans="4:32" ht="13.5">
      <c r="D322" s="96"/>
      <c r="E322" s="96"/>
      <c r="X322" s="84"/>
      <c r="AF322" s="55"/>
    </row>
    <row r="323" spans="4:32" ht="13.5">
      <c r="D323" s="96"/>
      <c r="E323" s="96"/>
      <c r="X323" s="84"/>
      <c r="AF323" s="55"/>
    </row>
    <row r="324" spans="4:32" ht="13.5">
      <c r="D324" s="96"/>
      <c r="E324" s="96"/>
      <c r="X324" s="84"/>
      <c r="AF324" s="55"/>
    </row>
    <row r="325" spans="4:32" ht="13.5">
      <c r="D325" s="96"/>
      <c r="E325" s="96"/>
      <c r="X325" s="84"/>
      <c r="AF325" s="55"/>
    </row>
    <row r="326" spans="4:32" ht="13.5">
      <c r="D326" s="96"/>
      <c r="E326" s="96"/>
      <c r="X326" s="84"/>
      <c r="AF326" s="55"/>
    </row>
    <row r="327" spans="4:32">
      <c r="V327" s="134"/>
      <c r="X327" s="84"/>
      <c r="AF327" s="55"/>
    </row>
    <row r="328" spans="4:32">
      <c r="V328" s="134"/>
      <c r="X328" s="84"/>
      <c r="AF328" s="55"/>
    </row>
    <row r="329" spans="4:32">
      <c r="V329" s="134"/>
      <c r="X329" s="84"/>
      <c r="AF329" s="55"/>
    </row>
    <row r="418" spans="32:32">
      <c r="AF418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3" type="noConversion"/>
  <pageMargins left="0.59055118110236227" right="0.35433070866141736" top="1.0236220472440944" bottom="0.19685039370078741" header="0.19685039370078741" footer="0.23622047244094491"/>
  <pageSetup paperSize="9" scale="70" orientation="landscape" r:id="rId1"/>
  <headerFooter alignWithMargins="0">
    <oddHeader>&amp;LVanuatu National Statistics Office    &amp;RInternational Arrival Statistics September 2021</oddHeader>
    <oddFooter>&amp;C&amp;"Times New Roman,Regular"&amp;8Page 4</oddFooter>
  </headerFooter>
  <ignoredErrors>
    <ignoredError sqref="N1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</sheetPr>
  <dimension ref="A1:BX310"/>
  <sheetViews>
    <sheetView showGridLines="0" topLeftCell="A6" zoomScaleNormal="100" workbookViewId="0">
      <pane ySplit="20" topLeftCell="A290" activePane="bottomLeft" state="frozen"/>
      <selection activeCell="A6" sqref="A6"/>
      <selection pane="bottomLeft" activeCell="J291" sqref="J291"/>
    </sheetView>
  </sheetViews>
  <sheetFormatPr defaultColWidth="9.140625" defaultRowHeight="12.75"/>
  <cols>
    <col min="1" max="1" width="4.85546875" style="36" customWidth="1"/>
    <col min="2" max="2" width="8.42578125" style="36" customWidth="1"/>
    <col min="3" max="3" width="7.42578125" style="36" customWidth="1"/>
    <col min="4" max="4" width="14.28515625" style="36" customWidth="1"/>
    <col min="5" max="5" width="2.140625" style="36" customWidth="1"/>
    <col min="6" max="6" width="17" style="36" customWidth="1"/>
    <col min="7" max="7" width="2.5703125" style="36" customWidth="1"/>
    <col min="8" max="8" width="17" style="36" customWidth="1"/>
    <col min="9" max="9" width="2.5703125" style="36" customWidth="1"/>
    <col min="10" max="10" width="13.42578125" style="36" customWidth="1"/>
    <col min="11" max="11" width="2.5703125" style="36" customWidth="1"/>
    <col min="12" max="12" width="14.85546875" style="64" customWidth="1"/>
    <col min="13" max="14" width="14.85546875" style="36" hidden="1" customWidth="1"/>
    <col min="15" max="15" width="14.85546875" style="36" customWidth="1"/>
    <col min="16" max="16" width="2.140625" style="36" customWidth="1"/>
    <col min="17" max="17" width="11.85546875" style="36" hidden="1" customWidth="1"/>
    <col min="18" max="18" width="5.42578125" style="36" hidden="1" customWidth="1"/>
    <col min="19" max="19" width="8.42578125" style="36" hidden="1" customWidth="1"/>
    <col min="20" max="20" width="0.42578125" style="36" hidden="1" customWidth="1"/>
    <col min="21" max="21" width="9.140625" style="69" customWidth="1"/>
    <col min="22" max="22" width="8.7109375" style="36" customWidth="1"/>
    <col min="23" max="24" width="7.28515625" style="36" customWidth="1"/>
    <col min="25" max="16384" width="9.140625" style="36"/>
  </cols>
  <sheetData>
    <row r="1" spans="1:24" s="54" customFormat="1" ht="15" customHeight="1">
      <c r="A1" s="1081"/>
      <c r="B1" s="1082" t="s">
        <v>221</v>
      </c>
      <c r="C1" s="1082"/>
      <c r="D1" s="1082"/>
      <c r="E1" s="1082"/>
      <c r="F1" s="1082"/>
      <c r="G1" s="1082"/>
      <c r="H1" s="1082"/>
      <c r="I1" s="1082"/>
      <c r="J1" s="1082"/>
      <c r="K1" s="1082"/>
      <c r="L1" s="1082"/>
      <c r="M1" s="1082"/>
      <c r="N1" s="1082"/>
      <c r="O1" s="1082"/>
      <c r="P1" s="1082"/>
      <c r="Q1" s="1082"/>
      <c r="R1" s="1082"/>
      <c r="S1" s="1082"/>
      <c r="T1" s="1082"/>
      <c r="U1" s="1083"/>
      <c r="V1" s="1081"/>
      <c r="W1" s="1081"/>
      <c r="X1" s="1081"/>
    </row>
    <row r="2" spans="1:24" s="54" customFormat="1" ht="15" customHeight="1">
      <c r="A2" s="1081"/>
      <c r="B2" s="1082" t="s">
        <v>139</v>
      </c>
      <c r="C2" s="1082"/>
      <c r="D2" s="1082"/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3"/>
      <c r="V2" s="1081"/>
      <c r="W2" s="1081"/>
      <c r="X2" s="1081"/>
    </row>
    <row r="3" spans="1:24" ht="8.25" customHeight="1">
      <c r="A3" s="1084"/>
      <c r="B3" s="1084"/>
      <c r="C3" s="1084"/>
      <c r="D3" s="1084"/>
      <c r="E3" s="1084"/>
      <c r="F3" s="1084"/>
      <c r="G3" s="1084"/>
      <c r="H3" s="1084"/>
      <c r="I3" s="1084"/>
      <c r="J3" s="1084"/>
      <c r="K3" s="1084"/>
      <c r="L3" s="1085"/>
      <c r="M3" s="1084"/>
      <c r="N3" s="1084"/>
      <c r="O3" s="1084"/>
      <c r="P3" s="1086"/>
      <c r="Q3" s="1086"/>
      <c r="R3" s="1086"/>
      <c r="S3" s="1086"/>
      <c r="T3" s="1086"/>
      <c r="U3" s="1087"/>
      <c r="V3" s="1084"/>
      <c r="W3" s="1084"/>
      <c r="X3" s="1084"/>
    </row>
    <row r="4" spans="1:24" s="12" customFormat="1" ht="12" customHeight="1">
      <c r="A4" s="369"/>
      <c r="B4" s="1233" t="s">
        <v>75</v>
      </c>
      <c r="C4" s="1236" t="s">
        <v>120</v>
      </c>
      <c r="D4" s="1224" t="s">
        <v>149</v>
      </c>
      <c r="E4" s="1225"/>
      <c r="F4" s="1225"/>
      <c r="G4" s="1225"/>
      <c r="H4" s="1225"/>
      <c r="I4" s="1225"/>
      <c r="J4" s="1225"/>
      <c r="K4" s="1225"/>
      <c r="L4" s="1225"/>
      <c r="M4" s="1225"/>
      <c r="N4" s="1225"/>
      <c r="O4" s="1225"/>
      <c r="P4" s="1226"/>
      <c r="Q4" s="1239" t="s">
        <v>97</v>
      </c>
      <c r="R4" s="1239"/>
      <c r="S4" s="1239"/>
      <c r="T4" s="1239"/>
      <c r="U4" s="1233" t="s">
        <v>76</v>
      </c>
      <c r="V4" s="1230" t="s">
        <v>121</v>
      </c>
      <c r="W4" s="1019"/>
      <c r="X4" s="1019"/>
    </row>
    <row r="5" spans="1:24" s="12" customFormat="1" ht="10.5" customHeight="1">
      <c r="A5" s="369"/>
      <c r="B5" s="1234"/>
      <c r="C5" s="1237"/>
      <c r="D5" s="1227"/>
      <c r="E5" s="1228"/>
      <c r="F5" s="1228"/>
      <c r="G5" s="1228"/>
      <c r="H5" s="1228"/>
      <c r="I5" s="1228"/>
      <c r="J5" s="1228"/>
      <c r="K5" s="1228"/>
      <c r="L5" s="1228"/>
      <c r="M5" s="1228"/>
      <c r="N5" s="1228"/>
      <c r="O5" s="1228"/>
      <c r="P5" s="1229"/>
      <c r="Q5" s="1240" t="s">
        <v>98</v>
      </c>
      <c r="R5" s="1240"/>
      <c r="S5" s="1240"/>
      <c r="T5" s="768"/>
      <c r="U5" s="1234"/>
      <c r="V5" s="1231"/>
      <c r="W5" s="1019"/>
      <c r="X5" s="1019"/>
    </row>
    <row r="6" spans="1:24" s="12" customFormat="1" ht="17.25" customHeight="1">
      <c r="A6" s="369"/>
      <c r="B6" s="1234"/>
      <c r="C6" s="1237"/>
      <c r="D6" s="1241" t="s">
        <v>18</v>
      </c>
      <c r="E6" s="768"/>
      <c r="F6" s="1242" t="s">
        <v>190</v>
      </c>
      <c r="G6" s="1092"/>
      <c r="H6" s="1242" t="s">
        <v>191</v>
      </c>
      <c r="I6" s="1092"/>
      <c r="J6" s="1242" t="s">
        <v>192</v>
      </c>
      <c r="K6" s="1092"/>
      <c r="L6" s="1242" t="s">
        <v>193</v>
      </c>
      <c r="M6" s="1067" t="s">
        <v>70</v>
      </c>
      <c r="N6" s="1067"/>
      <c r="O6" s="1067" t="s">
        <v>19</v>
      </c>
      <c r="P6" s="1093"/>
      <c r="Q6" s="1067" t="s">
        <v>17</v>
      </c>
      <c r="R6" s="1067"/>
      <c r="S6" s="1067" t="s">
        <v>12</v>
      </c>
      <c r="T6" s="768"/>
      <c r="U6" s="1234"/>
      <c r="V6" s="1231"/>
      <c r="W6" s="1019"/>
      <c r="X6" s="1019"/>
    </row>
    <row r="7" spans="1:24" s="12" customFormat="1" ht="11.25" customHeight="1">
      <c r="A7" s="369"/>
      <c r="B7" s="1234"/>
      <c r="C7" s="1237"/>
      <c r="D7" s="1241"/>
      <c r="E7" s="768"/>
      <c r="F7" s="1242"/>
      <c r="G7" s="1092"/>
      <c r="H7" s="1242"/>
      <c r="I7" s="1092"/>
      <c r="J7" s="1242"/>
      <c r="K7" s="1092"/>
      <c r="L7" s="1242"/>
      <c r="M7" s="1067" t="s">
        <v>16</v>
      </c>
      <c r="N7" s="1067"/>
      <c r="O7" s="1067" t="s">
        <v>6</v>
      </c>
      <c r="P7" s="1093"/>
      <c r="Q7" s="1067"/>
      <c r="R7" s="1067"/>
      <c r="S7" s="1067"/>
      <c r="T7" s="369"/>
      <c r="U7" s="1234"/>
      <c r="V7" s="1231"/>
      <c r="W7" s="1019"/>
      <c r="X7" s="1019"/>
    </row>
    <row r="8" spans="1:24" s="12" customFormat="1" ht="18" customHeight="1">
      <c r="A8" s="369"/>
      <c r="B8" s="1234"/>
      <c r="C8" s="1237"/>
      <c r="D8" s="1090" t="s">
        <v>99</v>
      </c>
      <c r="E8" s="1067"/>
      <c r="F8" s="1242" t="s">
        <v>197</v>
      </c>
      <c r="G8" s="1092"/>
      <c r="H8" s="1242" t="s">
        <v>196</v>
      </c>
      <c r="I8" s="1092"/>
      <c r="J8" s="1067" t="s">
        <v>113</v>
      </c>
      <c r="K8" s="1067"/>
      <c r="L8" s="1242" t="s">
        <v>194</v>
      </c>
      <c r="M8" s="1067" t="s">
        <v>114</v>
      </c>
      <c r="N8" s="1067"/>
      <c r="O8" s="1244" t="s">
        <v>195</v>
      </c>
      <c r="P8" s="1094"/>
      <c r="Q8" s="1067" t="s">
        <v>115</v>
      </c>
      <c r="R8" s="1067"/>
      <c r="S8" s="1067" t="s">
        <v>93</v>
      </c>
      <c r="T8" s="369"/>
      <c r="U8" s="1234"/>
      <c r="V8" s="1231"/>
      <c r="W8" s="1019"/>
      <c r="X8" s="1019"/>
    </row>
    <row r="9" spans="1:24" s="12" customFormat="1" ht="14.25" customHeight="1">
      <c r="A9" s="369"/>
      <c r="B9" s="1235"/>
      <c r="C9" s="1238"/>
      <c r="D9" s="1095"/>
      <c r="E9" s="1071"/>
      <c r="F9" s="1243"/>
      <c r="G9" s="1126"/>
      <c r="H9" s="1243"/>
      <c r="I9" s="1126"/>
      <c r="J9" s="1096"/>
      <c r="K9" s="1096"/>
      <c r="L9" s="1243"/>
      <c r="M9" s="1096" t="s">
        <v>96</v>
      </c>
      <c r="N9" s="1096"/>
      <c r="O9" s="1245"/>
      <c r="P9" s="1098"/>
      <c r="Q9" s="1071"/>
      <c r="R9" s="1071"/>
      <c r="S9" s="1071"/>
      <c r="T9" s="829"/>
      <c r="U9" s="1235"/>
      <c r="V9" s="1232"/>
      <c r="W9" s="1019"/>
      <c r="X9" s="1019"/>
    </row>
    <row r="10" spans="1:24" s="12" customFormat="1" ht="12.75" hidden="1" customHeight="1">
      <c r="A10" s="369"/>
      <c r="B10" s="962">
        <v>2005</v>
      </c>
      <c r="C10" s="1019"/>
      <c r="D10" s="1005">
        <f>SUM(D32:D43)</f>
        <v>48022</v>
      </c>
      <c r="E10" s="1099">
        <f t="shared" ref="E10:O10" si="0">SUM(E32:E43)</f>
        <v>0</v>
      </c>
      <c r="F10" s="1006">
        <f t="shared" si="0"/>
        <v>4467</v>
      </c>
      <c r="G10" s="1099">
        <f t="shared" si="0"/>
        <v>0</v>
      </c>
      <c r="H10" s="1006">
        <f t="shared" si="0"/>
        <v>8424</v>
      </c>
      <c r="I10" s="1099">
        <f t="shared" si="0"/>
        <v>0</v>
      </c>
      <c r="J10" s="1006">
        <f t="shared" si="0"/>
        <v>1343</v>
      </c>
      <c r="K10" s="1099">
        <f t="shared" si="0"/>
        <v>0</v>
      </c>
      <c r="L10" s="1105">
        <f t="shared" si="0"/>
        <v>0</v>
      </c>
      <c r="M10" s="1006">
        <f t="shared" si="0"/>
        <v>1</v>
      </c>
      <c r="N10" s="1005">
        <f t="shared" si="0"/>
        <v>0</v>
      </c>
      <c r="O10" s="1099">
        <f t="shared" si="0"/>
        <v>62257</v>
      </c>
      <c r="P10" s="1094"/>
      <c r="Q10" s="1067"/>
      <c r="R10" s="1067"/>
      <c r="S10" s="1067"/>
      <c r="T10" s="369"/>
      <c r="U10" s="962">
        <v>2005</v>
      </c>
      <c r="V10" s="1089"/>
      <c r="W10" s="1019"/>
      <c r="X10" s="1019"/>
    </row>
    <row r="11" spans="1:24" s="12" customFormat="1" ht="12.75" hidden="1" customHeight="1">
      <c r="A11" s="369"/>
      <c r="B11" s="962">
        <v>2006</v>
      </c>
      <c r="C11" s="1019"/>
      <c r="D11" s="1005">
        <f>SUM(D44:D55)</f>
        <v>53030</v>
      </c>
      <c r="E11" s="1006">
        <f t="shared" ref="E11:O11" si="1">SUM(E44:E55)</f>
        <v>0</v>
      </c>
      <c r="F11" s="1006">
        <f t="shared" si="1"/>
        <v>5061</v>
      </c>
      <c r="G11" s="1006">
        <f t="shared" si="1"/>
        <v>0</v>
      </c>
      <c r="H11" s="1006">
        <f t="shared" si="1"/>
        <v>9312</v>
      </c>
      <c r="I11" s="1006">
        <f t="shared" si="1"/>
        <v>0</v>
      </c>
      <c r="J11" s="1006">
        <f t="shared" si="1"/>
        <v>775</v>
      </c>
      <c r="K11" s="1006">
        <f t="shared" si="1"/>
        <v>0</v>
      </c>
      <c r="L11" s="1101">
        <f t="shared" si="1"/>
        <v>0</v>
      </c>
      <c r="M11" s="1006">
        <f t="shared" si="1"/>
        <v>0</v>
      </c>
      <c r="N11" s="1005">
        <f t="shared" si="1"/>
        <v>0</v>
      </c>
      <c r="O11" s="1006">
        <f t="shared" si="1"/>
        <v>68178</v>
      </c>
      <c r="P11" s="1094"/>
      <c r="Q11" s="1067"/>
      <c r="R11" s="1067"/>
      <c r="S11" s="1067"/>
      <c r="T11" s="369"/>
      <c r="U11" s="962">
        <v>2006</v>
      </c>
      <c r="V11" s="1089"/>
      <c r="W11" s="1019"/>
      <c r="X11" s="1019"/>
    </row>
    <row r="12" spans="1:24" s="12" customFormat="1" ht="12.75" hidden="1" customHeight="1">
      <c r="A12" s="369"/>
      <c r="B12" s="962">
        <v>2007</v>
      </c>
      <c r="C12" s="1019"/>
      <c r="D12" s="1005">
        <f>SUM(D56:D67)</f>
        <v>55382.006784846846</v>
      </c>
      <c r="E12" s="1006">
        <f t="shared" ref="E12:O12" si="2">SUM(E56:E67)</f>
        <v>0</v>
      </c>
      <c r="F12" s="1006">
        <f t="shared" si="2"/>
        <v>5301.9456327921798</v>
      </c>
      <c r="G12" s="1006">
        <f t="shared" si="2"/>
        <v>0</v>
      </c>
      <c r="H12" s="1006">
        <f t="shared" si="2"/>
        <v>10446.112780909638</v>
      </c>
      <c r="I12" s="1006">
        <f t="shared" si="2"/>
        <v>0</v>
      </c>
      <c r="J12" s="1006">
        <f t="shared" si="2"/>
        <v>976.9348014513331</v>
      </c>
      <c r="K12" s="1006">
        <f t="shared" si="2"/>
        <v>0</v>
      </c>
      <c r="L12" s="1006">
        <f t="shared" si="2"/>
        <v>6786</v>
      </c>
      <c r="M12" s="1006">
        <f t="shared" si="2"/>
        <v>0</v>
      </c>
      <c r="N12" s="1005">
        <f t="shared" si="2"/>
        <v>0</v>
      </c>
      <c r="O12" s="1006">
        <f t="shared" si="2"/>
        <v>78893</v>
      </c>
      <c r="P12" s="1094"/>
      <c r="Q12" s="1067"/>
      <c r="R12" s="1067"/>
      <c r="S12" s="1067"/>
      <c r="T12" s="369"/>
      <c r="U12" s="962">
        <v>2007</v>
      </c>
      <c r="V12" s="1089"/>
      <c r="W12" s="1019"/>
      <c r="X12" s="1019"/>
    </row>
    <row r="13" spans="1:24" s="12" customFormat="1" ht="12.75" hidden="1" customHeight="1">
      <c r="A13" s="369"/>
      <c r="B13" s="347">
        <v>2008</v>
      </c>
      <c r="C13" s="369"/>
      <c r="D13" s="1100">
        <f>SUM(D68:D79)</f>
        <v>70313.393981955363</v>
      </c>
      <c r="E13" s="1101"/>
      <c r="F13" s="1102">
        <f>SUM(F68:F79)</f>
        <v>9783.8228159531136</v>
      </c>
      <c r="G13" s="1102"/>
      <c r="H13" s="1102">
        <f>SUM(H68:H79)</f>
        <v>9965.4070078130098</v>
      </c>
      <c r="I13" s="1102"/>
      <c r="J13" s="1101">
        <f>SUM(J68:J79)</f>
        <v>594.37619427850507</v>
      </c>
      <c r="K13" s="1101"/>
      <c r="L13" s="1101">
        <f>SUM(L68:L79)</f>
        <v>0</v>
      </c>
      <c r="M13" s="965"/>
      <c r="N13" s="965"/>
      <c r="O13" s="1103">
        <f>SUM(O68:O79)</f>
        <v>90657</v>
      </c>
      <c r="P13" s="1104"/>
      <c r="Q13" s="311"/>
      <c r="R13" s="311"/>
      <c r="S13" s="311"/>
      <c r="T13" s="311"/>
      <c r="U13" s="347">
        <v>2008</v>
      </c>
      <c r="V13" s="348"/>
      <c r="W13" s="1019"/>
      <c r="X13" s="1019"/>
    </row>
    <row r="14" spans="1:24" s="12" customFormat="1" ht="12.75" hidden="1" customHeight="1">
      <c r="A14" s="369"/>
      <c r="B14" s="347">
        <v>2009</v>
      </c>
      <c r="C14" s="369"/>
      <c r="D14" s="1100">
        <f>SUM(D80:D91)</f>
        <v>84956.75198374028</v>
      </c>
      <c r="E14" s="1101"/>
      <c r="F14" s="1101">
        <f>SUM(F80:F91)</f>
        <v>5498.9335632947623</v>
      </c>
      <c r="G14" s="1101"/>
      <c r="H14" s="1101">
        <f>SUM(H80:H91)</f>
        <v>9419.8013077542364</v>
      </c>
      <c r="I14" s="1101"/>
      <c r="J14" s="1101">
        <f>SUM(J80:J91)</f>
        <v>510.09615084863009</v>
      </c>
      <c r="K14" s="1101"/>
      <c r="L14" s="1101">
        <f>SUM(L80:L91)</f>
        <v>289.41699436209137</v>
      </c>
      <c r="M14" s="1101">
        <f>SUM(M80:M91)</f>
        <v>0</v>
      </c>
      <c r="N14" s="1105">
        <f>SUM(N80:N91)</f>
        <v>0</v>
      </c>
      <c r="O14" s="1101">
        <f>SUM(O80:O91)</f>
        <v>100675</v>
      </c>
      <c r="P14" s="1104"/>
      <c r="Q14" s="311"/>
      <c r="R14" s="311"/>
      <c r="S14" s="311"/>
      <c r="T14" s="311"/>
      <c r="U14" s="347">
        <v>2009</v>
      </c>
      <c r="V14" s="348"/>
      <c r="W14" s="1019"/>
      <c r="X14" s="1019"/>
    </row>
    <row r="15" spans="1:24" s="12" customFormat="1" ht="12.75" hidden="1" customHeight="1">
      <c r="A15" s="369"/>
      <c r="B15" s="347">
        <v>2010</v>
      </c>
      <c r="C15" s="369"/>
      <c r="D15" s="1100">
        <f>SUM(D92:D103)</f>
        <v>80681.28612451622</v>
      </c>
      <c r="E15" s="1101"/>
      <c r="F15" s="1101">
        <f>SUM(F92:F103)</f>
        <v>6078.8651799453855</v>
      </c>
      <c r="G15" s="1101"/>
      <c r="H15" s="1101">
        <f>SUM(H92:H103)</f>
        <v>9615.2753040733041</v>
      </c>
      <c r="I15" s="1101"/>
      <c r="J15" s="1101">
        <f>SUM(J92:J103)</f>
        <v>691.57339146509776</v>
      </c>
      <c r="K15" s="1101"/>
      <c r="L15" s="1101">
        <f>SUM(L92:L103)</f>
        <v>113</v>
      </c>
      <c r="M15" s="1101">
        <f>SUM(M92:M103)</f>
        <v>0</v>
      </c>
      <c r="N15" s="1101">
        <f>SUM(N92:N103)</f>
        <v>0</v>
      </c>
      <c r="O15" s="1101">
        <f>SUM(O92:O103)</f>
        <v>97180</v>
      </c>
      <c r="P15" s="1104"/>
      <c r="Q15" s="311"/>
      <c r="R15" s="311"/>
      <c r="S15" s="311"/>
      <c r="T15" s="311"/>
      <c r="U15" s="347">
        <v>2010</v>
      </c>
      <c r="V15" s="348"/>
      <c r="W15" s="1019"/>
      <c r="X15" s="1019"/>
    </row>
    <row r="16" spans="1:24" s="12" customFormat="1" ht="12.75" hidden="1" customHeight="1">
      <c r="A16" s="369"/>
      <c r="B16" s="347">
        <v>2011</v>
      </c>
      <c r="C16" s="369"/>
      <c r="D16" s="1100">
        <f>SUM(D104:D115)</f>
        <v>75821</v>
      </c>
      <c r="E16" s="1101"/>
      <c r="F16" s="1101">
        <f>SUM(F104:F115)</f>
        <v>7320</v>
      </c>
      <c r="G16" s="1101"/>
      <c r="H16" s="1101">
        <f>SUM(H104:H115)</f>
        <v>9933</v>
      </c>
      <c r="I16" s="1101"/>
      <c r="J16" s="1101">
        <f>SUM(J104:J115)</f>
        <v>790</v>
      </c>
      <c r="K16" s="1101"/>
      <c r="L16" s="1101">
        <f>SUM(L104:L115)</f>
        <v>96</v>
      </c>
      <c r="M16" s="1101">
        <f>SUM(M104:M115)</f>
        <v>0</v>
      </c>
      <c r="N16" s="1101">
        <f>SUM(N104:N115)</f>
        <v>0</v>
      </c>
      <c r="O16" s="1101">
        <f>SUM(O104:O115)</f>
        <v>93960</v>
      </c>
      <c r="P16" s="1104"/>
      <c r="Q16" s="311"/>
      <c r="R16" s="311"/>
      <c r="S16" s="311"/>
      <c r="T16" s="311"/>
      <c r="U16" s="347">
        <v>2011</v>
      </c>
      <c r="V16" s="348"/>
      <c r="W16" s="1019"/>
      <c r="X16" s="1019"/>
    </row>
    <row r="17" spans="1:76" s="12" customFormat="1" ht="12.75" hidden="1" customHeight="1">
      <c r="A17" s="369"/>
      <c r="B17" s="347">
        <v>2012</v>
      </c>
      <c r="C17" s="369"/>
      <c r="D17" s="1100">
        <f>SUM(D116:D127)</f>
        <v>88085</v>
      </c>
      <c r="E17" s="1101"/>
      <c r="F17" s="1101">
        <f>SUM(F116:F127)</f>
        <v>7910</v>
      </c>
      <c r="G17" s="1101"/>
      <c r="H17" s="1101">
        <f>SUM(H116:H127)</f>
        <v>11294</v>
      </c>
      <c r="I17" s="1101"/>
      <c r="J17" s="1101">
        <f>SUM(J116:J127)</f>
        <v>602</v>
      </c>
      <c r="K17" s="1101"/>
      <c r="L17" s="1101">
        <f>SUM(L116:L127)</f>
        <v>270</v>
      </c>
      <c r="M17" s="1101">
        <f>SUM(M116:M127)</f>
        <v>0</v>
      </c>
      <c r="N17" s="1101">
        <f>SUM(N116:N127)</f>
        <v>833</v>
      </c>
      <c r="O17" s="1101">
        <f>SUM(D17:L17)</f>
        <v>108161</v>
      </c>
      <c r="P17" s="1104"/>
      <c r="Q17" s="311"/>
      <c r="R17" s="311"/>
      <c r="S17" s="311"/>
      <c r="T17" s="311"/>
      <c r="U17" s="347">
        <v>2012</v>
      </c>
      <c r="V17" s="348"/>
      <c r="W17" s="1019"/>
      <c r="X17" s="1019"/>
    </row>
    <row r="18" spans="1:76" s="12" customFormat="1" ht="12.75" hidden="1" customHeight="1">
      <c r="A18" s="369"/>
      <c r="B18" s="347">
        <v>2013</v>
      </c>
      <c r="C18" s="369"/>
      <c r="D18" s="1100">
        <f>SUM(D128:D139)</f>
        <v>89253</v>
      </c>
      <c r="E18" s="1101"/>
      <c r="F18" s="1101">
        <f>SUM(F128:F139)</f>
        <v>7755</v>
      </c>
      <c r="G18" s="1101"/>
      <c r="H18" s="1101">
        <f>SUM(H128:H139)</f>
        <v>9079</v>
      </c>
      <c r="I18" s="1101"/>
      <c r="J18" s="1101">
        <f>SUM(J128:J139)</f>
        <v>613</v>
      </c>
      <c r="K18" s="1101"/>
      <c r="L18" s="1101">
        <f>SUM(L128:L139)</f>
        <v>3409</v>
      </c>
      <c r="M18" s="1101">
        <f>SUM(M128:M139)</f>
        <v>0</v>
      </c>
      <c r="N18" s="1101">
        <f>SUM(N128:N139)</f>
        <v>0</v>
      </c>
      <c r="O18" s="1101">
        <f>SUM(D18:L18)</f>
        <v>110109</v>
      </c>
      <c r="P18" s="1104"/>
      <c r="Q18" s="311"/>
      <c r="R18" s="311"/>
      <c r="S18" s="311"/>
      <c r="T18" s="311"/>
      <c r="U18" s="347">
        <v>2013</v>
      </c>
      <c r="V18" s="348"/>
      <c r="W18" s="1019"/>
      <c r="X18" s="1019"/>
    </row>
    <row r="19" spans="1:76" s="12" customFormat="1" ht="12.75" hidden="1" customHeight="1">
      <c r="A19" s="369"/>
      <c r="B19" s="347">
        <v>2014</v>
      </c>
      <c r="C19" s="369"/>
      <c r="D19" s="1100">
        <f>SUM(D140:D151)</f>
        <v>86239</v>
      </c>
      <c r="E19" s="1101"/>
      <c r="F19" s="1101">
        <f>SUM(F140:F151)</f>
        <v>7672</v>
      </c>
      <c r="G19" s="1101"/>
      <c r="H19" s="1101">
        <f>SUM(H140:H151)</f>
        <v>8007</v>
      </c>
      <c r="I19" s="1101"/>
      <c r="J19" s="1101">
        <f>SUM(J140:J151)</f>
        <v>1022</v>
      </c>
      <c r="K19" s="1101"/>
      <c r="L19" s="1101">
        <f>SUM(L140:L151)</f>
        <v>5868</v>
      </c>
      <c r="M19" s="1101">
        <f>SUM(M140:M151)</f>
        <v>0</v>
      </c>
      <c r="N19" s="1101">
        <f>SUM(N140:N151)</f>
        <v>0</v>
      </c>
      <c r="O19" s="1101">
        <f>SUM(D19:L19)</f>
        <v>108808</v>
      </c>
      <c r="P19" s="1104"/>
      <c r="Q19" s="311"/>
      <c r="R19" s="311"/>
      <c r="S19" s="311"/>
      <c r="T19" s="311"/>
      <c r="U19" s="347">
        <v>2014</v>
      </c>
      <c r="V19" s="348"/>
      <c r="W19" s="1019"/>
      <c r="X19" s="1019"/>
    </row>
    <row r="20" spans="1:76" s="12" customFormat="1" ht="12.75" hidden="1" customHeight="1">
      <c r="A20" s="369"/>
      <c r="B20" s="347">
        <v>2015</v>
      </c>
      <c r="C20" s="369"/>
      <c r="D20" s="1106">
        <f>SUM(D152:D163)</f>
        <v>63625</v>
      </c>
      <c r="E20" s="1103"/>
      <c r="F20" s="1103">
        <f>SUM(F152:F163)</f>
        <v>8495</v>
      </c>
      <c r="G20" s="1103"/>
      <c r="H20" s="1103">
        <f>SUM(H152:H163)</f>
        <v>8687</v>
      </c>
      <c r="I20" s="1103"/>
      <c r="J20" s="1103">
        <f>SUM(J152:J163)</f>
        <v>336</v>
      </c>
      <c r="K20" s="1103"/>
      <c r="L20" s="1103">
        <f>SUM(L152:L163)</f>
        <v>8809</v>
      </c>
      <c r="M20" s="1103">
        <f>SUM(M152:M163)</f>
        <v>0</v>
      </c>
      <c r="N20" s="1103">
        <f>SUM(N152:N163)</f>
        <v>0</v>
      </c>
      <c r="O20" s="1103">
        <f>SUM(D20:L20)</f>
        <v>89952</v>
      </c>
      <c r="P20" s="1104"/>
      <c r="Q20" s="311"/>
      <c r="R20" s="311"/>
      <c r="S20" s="311"/>
      <c r="T20" s="311"/>
      <c r="U20" s="347">
        <v>2015</v>
      </c>
      <c r="V20" s="349"/>
      <c r="W20" s="1019"/>
      <c r="X20" s="1019"/>
    </row>
    <row r="21" spans="1:76" s="12" customFormat="1" ht="12.75" hidden="1" customHeight="1">
      <c r="A21" s="369"/>
      <c r="B21" s="347">
        <v>2016</v>
      </c>
      <c r="C21" s="369"/>
      <c r="D21" s="1106">
        <f>SUM(D164:D175)</f>
        <v>71088</v>
      </c>
      <c r="E21" s="1103"/>
      <c r="F21" s="1103">
        <f>SUM(F164:F175)</f>
        <v>8300</v>
      </c>
      <c r="G21" s="1103"/>
      <c r="H21" s="1103">
        <f>SUM(H164:H175)</f>
        <v>8521</v>
      </c>
      <c r="I21" s="1103"/>
      <c r="J21" s="1103">
        <f>SUM(J164:J175)</f>
        <v>551</v>
      </c>
      <c r="K21" s="1103"/>
      <c r="L21" s="1103">
        <f>SUM(L164:L175)</f>
        <v>6657</v>
      </c>
      <c r="M21" s="1103">
        <f>SUM(M164:M175)</f>
        <v>0</v>
      </c>
      <c r="N21" s="1106">
        <f>SUM(N164:N175)</f>
        <v>0</v>
      </c>
      <c r="O21" s="1103">
        <f>SUM(D21:L21)</f>
        <v>95117</v>
      </c>
      <c r="P21" s="1104"/>
      <c r="Q21" s="311"/>
      <c r="R21" s="311"/>
      <c r="S21" s="311"/>
      <c r="T21" s="311"/>
      <c r="U21" s="347">
        <v>2016</v>
      </c>
      <c r="V21" s="349"/>
      <c r="W21" s="1019"/>
      <c r="X21" s="1019"/>
    </row>
    <row r="22" spans="1:76" s="12" customFormat="1" ht="12.75" hidden="1" customHeight="1">
      <c r="A22" s="369"/>
      <c r="B22" s="347">
        <v>2017</v>
      </c>
      <c r="C22" s="369"/>
      <c r="D22" s="1106">
        <f>SUM(D176:D187)</f>
        <v>83465</v>
      </c>
      <c r="E22" s="1103"/>
      <c r="F22" s="1103">
        <f>SUM(F176:F187)</f>
        <v>8940</v>
      </c>
      <c r="G22" s="1103"/>
      <c r="H22" s="1103">
        <f>SUM(H176:H187)</f>
        <v>8338</v>
      </c>
      <c r="I22" s="1103"/>
      <c r="J22" s="1103">
        <f>SUM(J176:J187)</f>
        <v>897</v>
      </c>
      <c r="K22" s="1103"/>
      <c r="L22" s="1103">
        <f>SUM(L176:L187)</f>
        <v>7530</v>
      </c>
      <c r="M22" s="1103">
        <f>SUM(M176:M187)</f>
        <v>0</v>
      </c>
      <c r="N22" s="1106">
        <f>SUM(N176:N187)</f>
        <v>0</v>
      </c>
      <c r="O22" s="1103">
        <f>SUM(O176:O187)</f>
        <v>109170</v>
      </c>
      <c r="P22" s="1104"/>
      <c r="Q22" s="311"/>
      <c r="R22" s="311"/>
      <c r="S22" s="311"/>
      <c r="T22" s="311"/>
      <c r="U22" s="347">
        <v>2017</v>
      </c>
      <c r="V22" s="349"/>
      <c r="W22" s="1019"/>
      <c r="X22" s="1019"/>
    </row>
    <row r="23" spans="1:76" s="12" customFormat="1" ht="12.75" hidden="1" customHeight="1">
      <c r="A23" s="369"/>
      <c r="B23" s="347">
        <v>2018</v>
      </c>
      <c r="C23" s="369"/>
      <c r="D23" s="1106">
        <f>SUM(D188:D199)</f>
        <v>91726</v>
      </c>
      <c r="E23" s="1103"/>
      <c r="F23" s="1103">
        <f>SUM(F188:F199)</f>
        <v>8616</v>
      </c>
      <c r="G23" s="1103"/>
      <c r="H23" s="1103">
        <f>SUM(H188:H199)</f>
        <v>7552</v>
      </c>
      <c r="I23" s="1103"/>
      <c r="J23" s="1103">
        <f>SUM(J188:J199)</f>
        <v>645</v>
      </c>
      <c r="K23" s="1103"/>
      <c r="L23" s="1103">
        <f>SUM(L188:L199)</f>
        <v>7095</v>
      </c>
      <c r="M23" s="1103">
        <f>SUM(M188:M199)</f>
        <v>0</v>
      </c>
      <c r="N23" s="1103">
        <f>SUM(N188:N199)</f>
        <v>0</v>
      </c>
      <c r="O23" s="1103">
        <f>SUM(O188:O199)</f>
        <v>115634</v>
      </c>
      <c r="P23" s="1104"/>
      <c r="Q23" s="311"/>
      <c r="R23" s="311"/>
      <c r="S23" s="311"/>
      <c r="T23" s="311"/>
      <c r="U23" s="347">
        <v>2018</v>
      </c>
      <c r="V23" s="349"/>
      <c r="W23" s="1019"/>
      <c r="X23" s="1019"/>
    </row>
    <row r="24" spans="1:76" s="12" customFormat="1" ht="12.75" hidden="1" customHeight="1">
      <c r="A24" s="369"/>
      <c r="B24" s="347">
        <v>2019</v>
      </c>
      <c r="C24" s="369"/>
      <c r="D24" s="1106">
        <f>SUM(D200:D211)</f>
        <v>95849</v>
      </c>
      <c r="E24" s="1103">
        <f>SUM(E200:E211)</f>
        <v>0</v>
      </c>
      <c r="F24" s="1103">
        <f>SUM(F200:F211)</f>
        <v>8764</v>
      </c>
      <c r="G24" s="1103"/>
      <c r="H24" s="1103">
        <f>SUM(H200:H211)</f>
        <v>8059</v>
      </c>
      <c r="I24" s="1103"/>
      <c r="J24" s="1103">
        <f>SUM(J200:J211)</f>
        <v>524</v>
      </c>
      <c r="K24" s="1103"/>
      <c r="L24" s="1103">
        <f>SUM(L200:L211)</f>
        <v>7432</v>
      </c>
      <c r="M24" s="1103">
        <f>SUM(M200:M211)</f>
        <v>0</v>
      </c>
      <c r="N24" s="1106">
        <f>SUM(N200:N211)</f>
        <v>0</v>
      </c>
      <c r="O24" s="1103">
        <f>SUM(O200:O211)</f>
        <v>120628</v>
      </c>
      <c r="P24" s="1104"/>
      <c r="Q24" s="311"/>
      <c r="R24" s="311"/>
      <c r="S24" s="311"/>
      <c r="T24" s="311"/>
      <c r="U24" s="347">
        <v>2019</v>
      </c>
      <c r="V24" s="349"/>
      <c r="W24" s="1019"/>
      <c r="X24" s="1019"/>
    </row>
    <row r="25" spans="1:76" s="12" customFormat="1" ht="12.75" hidden="1" customHeight="1">
      <c r="A25" s="369"/>
      <c r="B25" s="347">
        <v>2020</v>
      </c>
      <c r="C25" s="369"/>
      <c r="D25" s="1106">
        <f>SUM(D212:D223)</f>
        <v>17166</v>
      </c>
      <c r="E25" s="1103">
        <f>SUM(E212:E223)</f>
        <v>0</v>
      </c>
      <c r="F25" s="1103">
        <f>SUM(F212:F223)</f>
        <v>1445</v>
      </c>
      <c r="G25" s="1103"/>
      <c r="H25" s="1103">
        <f>SUM(H212:H223)</f>
        <v>1085</v>
      </c>
      <c r="I25" s="1103"/>
      <c r="J25" s="1103">
        <f>SUM(J212:J223)</f>
        <v>448</v>
      </c>
      <c r="K25" s="1103"/>
      <c r="L25" s="1103">
        <f>SUM(L212:L223)</f>
        <v>1821</v>
      </c>
      <c r="M25" s="1103">
        <f>SUM(M212:M223)</f>
        <v>0</v>
      </c>
      <c r="N25" s="1106">
        <f>SUM(N212:N223)</f>
        <v>0</v>
      </c>
      <c r="O25" s="1103">
        <f>SUM(O212:O223)</f>
        <v>21965</v>
      </c>
      <c r="P25" s="1104"/>
      <c r="Q25" s="311"/>
      <c r="R25" s="311"/>
      <c r="S25" s="311"/>
      <c r="T25" s="311"/>
      <c r="U25" s="347">
        <v>2020</v>
      </c>
      <c r="V25" s="349"/>
      <c r="W25" s="1019"/>
      <c r="X25" s="1019"/>
    </row>
    <row r="26" spans="1:76" s="12" customFormat="1" ht="12.75" customHeight="1">
      <c r="A26" s="369"/>
      <c r="B26" s="347">
        <v>2021</v>
      </c>
      <c r="C26" s="369"/>
      <c r="D26" s="1106">
        <f>SUM(D224:D235)</f>
        <v>0</v>
      </c>
      <c r="E26" s="1103"/>
      <c r="F26" s="1103">
        <f>SUM(F224:F235)</f>
        <v>0</v>
      </c>
      <c r="G26" s="1103"/>
      <c r="H26" s="1103">
        <f>SUM(H224:H235)</f>
        <v>0</v>
      </c>
      <c r="I26" s="1103"/>
      <c r="J26" s="1103">
        <f>SUM(J224:J235)</f>
        <v>0</v>
      </c>
      <c r="K26" s="1103"/>
      <c r="L26" s="1103">
        <f>SUM(L224:L235)</f>
        <v>0</v>
      </c>
      <c r="M26" s="1103">
        <f>SUM(M224:M235)</f>
        <v>0</v>
      </c>
      <c r="N26" s="1106">
        <f>SUM(N224:N235)</f>
        <v>0</v>
      </c>
      <c r="O26" s="1103">
        <f>SUM(O224:O235)</f>
        <v>0</v>
      </c>
      <c r="P26" s="1104"/>
      <c r="Q26" s="311"/>
      <c r="R26" s="311"/>
      <c r="S26" s="311"/>
      <c r="T26" s="311"/>
      <c r="U26" s="347">
        <v>2021</v>
      </c>
      <c r="V26" s="349"/>
      <c r="W26" s="1019"/>
      <c r="X26" s="1019"/>
    </row>
    <row r="27" spans="1:76" s="12" customFormat="1" ht="12.75" customHeight="1">
      <c r="A27" s="369"/>
      <c r="B27" s="347">
        <v>2022</v>
      </c>
      <c r="C27" s="369"/>
      <c r="D27" s="1106">
        <f>SUM(D236:D247)</f>
        <v>23859</v>
      </c>
      <c r="E27" s="1103"/>
      <c r="F27" s="1103">
        <f>SUM(F236:F247)</f>
        <v>3202</v>
      </c>
      <c r="G27" s="1103"/>
      <c r="H27" s="1103">
        <f>SUM(H236:H247)</f>
        <v>1757</v>
      </c>
      <c r="I27" s="1103"/>
      <c r="J27" s="1103">
        <f>SUM(J236:J247)</f>
        <v>204</v>
      </c>
      <c r="K27" s="1103"/>
      <c r="L27" s="1103">
        <f>SUM(L236:L247)</f>
        <v>1352</v>
      </c>
      <c r="M27" s="1103">
        <f>SUM(M236:M247)</f>
        <v>0</v>
      </c>
      <c r="N27" s="1106">
        <f>SUM(N236:N247)</f>
        <v>0</v>
      </c>
      <c r="O27" s="1103">
        <f>SUM(O236:O247)</f>
        <v>30374</v>
      </c>
      <c r="P27" s="1104"/>
      <c r="Q27" s="311"/>
      <c r="R27" s="311"/>
      <c r="S27" s="311"/>
      <c r="T27" s="311"/>
      <c r="U27" s="347">
        <v>2022</v>
      </c>
      <c r="V27" s="349"/>
      <c r="W27" s="1019"/>
      <c r="X27" s="1019"/>
    </row>
    <row r="28" spans="1:76" s="12" customFormat="1" ht="12.75" customHeight="1">
      <c r="A28" s="369"/>
      <c r="B28" s="347">
        <v>2023</v>
      </c>
      <c r="C28" s="369"/>
      <c r="D28" s="1106">
        <f>SUM(D248:D259)</f>
        <v>66478</v>
      </c>
      <c r="E28" s="1103">
        <f>SUM(E248:E259)</f>
        <v>0</v>
      </c>
      <c r="F28" s="1103">
        <f>SUM(F248:F259)</f>
        <v>3870</v>
      </c>
      <c r="G28" s="1103"/>
      <c r="H28" s="1103">
        <f>SUM(H248:H259)</f>
        <v>2705</v>
      </c>
      <c r="I28" s="1103"/>
      <c r="J28" s="1103">
        <f>SUM(J248:J259)</f>
        <v>742</v>
      </c>
      <c r="K28" s="1103"/>
      <c r="L28" s="1103">
        <f>SUM(L248:L259)</f>
        <v>3204</v>
      </c>
      <c r="M28" s="1103">
        <f>SUM(M248:M259)</f>
        <v>0</v>
      </c>
      <c r="N28" s="1106">
        <f>SUM(N248:N259)</f>
        <v>0</v>
      </c>
      <c r="O28" s="1103">
        <f>SUM(O248:O259)</f>
        <v>76999</v>
      </c>
      <c r="P28" s="1104"/>
      <c r="Q28" s="311"/>
      <c r="R28" s="311"/>
      <c r="S28" s="311"/>
      <c r="T28" s="311"/>
      <c r="U28" s="347">
        <v>2023</v>
      </c>
      <c r="V28" s="349"/>
      <c r="W28" s="1019"/>
      <c r="X28" s="1019"/>
    </row>
    <row r="29" spans="1:76" s="12" customFormat="1" ht="12.75" customHeight="1">
      <c r="A29" s="369"/>
      <c r="B29" s="347">
        <v>2024</v>
      </c>
      <c r="C29" s="369"/>
      <c r="D29" s="1106">
        <f>SUM(D260:D271)</f>
        <v>43431</v>
      </c>
      <c r="E29" s="1103">
        <f t="shared" ref="E29:O29" si="3">SUM(E260:E271)</f>
        <v>0</v>
      </c>
      <c r="F29" s="1103">
        <f t="shared" si="3"/>
        <v>4791</v>
      </c>
      <c r="G29" s="1103"/>
      <c r="H29" s="1103">
        <f t="shared" si="3"/>
        <v>4180</v>
      </c>
      <c r="I29" s="1103"/>
      <c r="J29" s="1103">
        <f t="shared" si="3"/>
        <v>500</v>
      </c>
      <c r="K29" s="1103"/>
      <c r="L29" s="1103">
        <f t="shared" si="3"/>
        <v>6176</v>
      </c>
      <c r="M29" s="1103">
        <f t="shared" si="3"/>
        <v>0</v>
      </c>
      <c r="N29" s="1106">
        <f t="shared" si="3"/>
        <v>0</v>
      </c>
      <c r="O29" s="1103">
        <f t="shared" si="3"/>
        <v>59078</v>
      </c>
      <c r="P29" s="1104"/>
      <c r="Q29" s="311"/>
      <c r="R29" s="311"/>
      <c r="S29" s="311"/>
      <c r="T29" s="311"/>
      <c r="U29" s="347">
        <v>2024</v>
      </c>
      <c r="V29" s="349"/>
      <c r="W29" s="1019"/>
      <c r="X29" s="1019"/>
    </row>
    <row r="30" spans="1:76" s="12" customFormat="1" ht="12.75" customHeight="1">
      <c r="A30" s="369"/>
      <c r="B30" s="347">
        <v>2025</v>
      </c>
      <c r="C30" s="369"/>
      <c r="D30" s="1106">
        <f>SUM(D272:D283)</f>
        <v>74631</v>
      </c>
      <c r="E30" s="1103">
        <f t="shared" ref="E30:O30" si="4">SUM(E272:E283)</f>
        <v>0</v>
      </c>
      <c r="F30" s="1103">
        <f t="shared" si="4"/>
        <v>6094</v>
      </c>
      <c r="G30" s="1103"/>
      <c r="H30" s="1103">
        <f t="shared" si="4"/>
        <v>4898</v>
      </c>
      <c r="I30" s="1103"/>
      <c r="J30" s="1103">
        <f t="shared" si="4"/>
        <v>808</v>
      </c>
      <c r="K30" s="1103"/>
      <c r="L30" s="1103">
        <f t="shared" si="4"/>
        <v>9488</v>
      </c>
      <c r="M30" s="1103">
        <f t="shared" si="4"/>
        <v>0</v>
      </c>
      <c r="N30" s="1103">
        <f t="shared" si="4"/>
        <v>0</v>
      </c>
      <c r="O30" s="1103">
        <f t="shared" si="4"/>
        <v>95919</v>
      </c>
      <c r="P30" s="1104"/>
      <c r="Q30" s="311"/>
      <c r="R30" s="311"/>
      <c r="S30" s="311"/>
      <c r="T30" s="311"/>
      <c r="U30" s="347">
        <v>2025</v>
      </c>
      <c r="V30" s="349"/>
      <c r="W30" s="1019"/>
      <c r="X30" s="1019"/>
    </row>
    <row r="31" spans="1:76" s="12" customFormat="1" ht="12.75" customHeight="1">
      <c r="A31" s="369"/>
      <c r="B31" s="962"/>
      <c r="C31" s="1019"/>
      <c r="D31" s="1090"/>
      <c r="E31" s="1067"/>
      <c r="F31" s="1091"/>
      <c r="G31" s="1092"/>
      <c r="H31" s="1091"/>
      <c r="I31" s="1092"/>
      <c r="J31" s="1097"/>
      <c r="K31" s="1097"/>
      <c r="L31" s="1091"/>
      <c r="M31" s="1097"/>
      <c r="N31" s="1097"/>
      <c r="O31" s="1092"/>
      <c r="P31" s="1094"/>
      <c r="Q31" s="1067"/>
      <c r="R31" s="1067"/>
      <c r="S31" s="1067"/>
      <c r="T31" s="369"/>
      <c r="U31" s="962"/>
      <c r="V31" s="1089"/>
      <c r="W31" s="1019"/>
      <c r="X31" s="1019"/>
    </row>
    <row r="32" spans="1:76" s="136" customFormat="1" ht="12.75" hidden="1" customHeight="1">
      <c r="A32" s="311"/>
      <c r="B32" s="347">
        <v>2005</v>
      </c>
      <c r="C32" s="369" t="s">
        <v>33</v>
      </c>
      <c r="D32" s="1018">
        <v>4024</v>
      </c>
      <c r="E32" s="1016"/>
      <c r="F32" s="1016">
        <v>272</v>
      </c>
      <c r="G32" s="1016"/>
      <c r="H32" s="1107">
        <v>515</v>
      </c>
      <c r="I32" s="1107"/>
      <c r="J32" s="1107">
        <v>169</v>
      </c>
      <c r="K32" s="1107"/>
      <c r="L32" s="1101">
        <v>0</v>
      </c>
      <c r="M32" s="1016" t="s">
        <v>43</v>
      </c>
      <c r="N32" s="1016"/>
      <c r="O32" s="1107">
        <f t="shared" ref="O32:O79" si="5">SUM(D32:M32)</f>
        <v>4980</v>
      </c>
      <c r="P32" s="1104"/>
      <c r="Q32" s="1016">
        <v>7585</v>
      </c>
      <c r="R32" s="1016"/>
      <c r="S32" s="1016" t="s">
        <v>43</v>
      </c>
      <c r="T32" s="311"/>
      <c r="U32" s="347">
        <v>2005</v>
      </c>
      <c r="V32" s="348" t="s">
        <v>33</v>
      </c>
      <c r="W32" s="369"/>
      <c r="X32" s="369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</row>
    <row r="33" spans="1:76" s="136" customFormat="1" ht="12.75" hidden="1" customHeight="1">
      <c r="A33" s="311"/>
      <c r="B33" s="347">
        <v>2005</v>
      </c>
      <c r="C33" s="369" t="s">
        <v>34</v>
      </c>
      <c r="D33" s="1018">
        <v>2567</v>
      </c>
      <c r="E33" s="1016"/>
      <c r="F33" s="1016">
        <v>180</v>
      </c>
      <c r="G33" s="1016"/>
      <c r="H33" s="1107">
        <v>599</v>
      </c>
      <c r="I33" s="1107"/>
      <c r="J33" s="1107">
        <v>79</v>
      </c>
      <c r="K33" s="1107"/>
      <c r="L33" s="1101">
        <v>0</v>
      </c>
      <c r="M33" s="1016" t="s">
        <v>43</v>
      </c>
      <c r="N33" s="1016"/>
      <c r="O33" s="1107">
        <f t="shared" si="5"/>
        <v>3425</v>
      </c>
      <c r="P33" s="1104"/>
      <c r="Q33" s="1016">
        <v>3533</v>
      </c>
      <c r="R33" s="1016"/>
      <c r="S33" s="1016" t="s">
        <v>43</v>
      </c>
      <c r="T33" s="311"/>
      <c r="U33" s="347">
        <v>2005</v>
      </c>
      <c r="V33" s="348" t="s">
        <v>77</v>
      </c>
      <c r="W33" s="369"/>
      <c r="X33" s="369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</row>
    <row r="34" spans="1:76" s="136" customFormat="1" ht="12.75" hidden="1" customHeight="1">
      <c r="A34" s="311"/>
      <c r="B34" s="347">
        <v>2005</v>
      </c>
      <c r="C34" s="369" t="s">
        <v>29</v>
      </c>
      <c r="D34" s="1018">
        <v>3034</v>
      </c>
      <c r="E34" s="1016"/>
      <c r="F34" s="1016">
        <v>352</v>
      </c>
      <c r="G34" s="1016"/>
      <c r="H34" s="1107">
        <v>683</v>
      </c>
      <c r="I34" s="1107"/>
      <c r="J34" s="1107">
        <v>145</v>
      </c>
      <c r="K34" s="1107"/>
      <c r="L34" s="1101">
        <v>0</v>
      </c>
      <c r="M34" s="1016" t="s">
        <v>43</v>
      </c>
      <c r="N34" s="1016"/>
      <c r="O34" s="1107">
        <f t="shared" si="5"/>
        <v>4214</v>
      </c>
      <c r="P34" s="1104"/>
      <c r="Q34" s="1016">
        <v>7016</v>
      </c>
      <c r="R34" s="1108"/>
      <c r="S34" s="1016" t="s">
        <v>43</v>
      </c>
      <c r="T34" s="311"/>
      <c r="U34" s="347">
        <v>2005</v>
      </c>
      <c r="V34" s="348" t="s">
        <v>29</v>
      </c>
      <c r="W34" s="369"/>
      <c r="X34" s="369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</row>
    <row r="35" spans="1:76" s="136" customFormat="1" ht="12.75" hidden="1" customHeight="1">
      <c r="A35" s="311"/>
      <c r="B35" s="347">
        <v>2005</v>
      </c>
      <c r="C35" s="369" t="s">
        <v>35</v>
      </c>
      <c r="D35" s="1018">
        <v>3090</v>
      </c>
      <c r="E35" s="1016"/>
      <c r="F35" s="1016">
        <v>281</v>
      </c>
      <c r="G35" s="1016"/>
      <c r="H35" s="1107">
        <v>669</v>
      </c>
      <c r="I35" s="1107"/>
      <c r="J35" s="1107">
        <v>146</v>
      </c>
      <c r="K35" s="1107"/>
      <c r="L35" s="1101">
        <v>0</v>
      </c>
      <c r="M35" s="1016" t="s">
        <v>43</v>
      </c>
      <c r="N35" s="1016"/>
      <c r="O35" s="1107">
        <f t="shared" si="5"/>
        <v>4186</v>
      </c>
      <c r="P35" s="1104"/>
      <c r="Q35" s="1016">
        <v>7949</v>
      </c>
      <c r="R35" s="1016"/>
      <c r="S35" s="1016" t="s">
        <v>43</v>
      </c>
      <c r="T35" s="311"/>
      <c r="U35" s="347">
        <v>2005</v>
      </c>
      <c r="V35" s="348" t="s">
        <v>78</v>
      </c>
      <c r="W35" s="369"/>
      <c r="X35" s="369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</row>
    <row r="36" spans="1:76" s="136" customFormat="1" ht="12.75" hidden="1" customHeight="1">
      <c r="A36" s="311"/>
      <c r="B36" s="347">
        <v>2005</v>
      </c>
      <c r="C36" s="369" t="s">
        <v>4</v>
      </c>
      <c r="D36" s="1018">
        <v>2999</v>
      </c>
      <c r="E36" s="1016"/>
      <c r="F36" s="1016">
        <v>245</v>
      </c>
      <c r="G36" s="1016"/>
      <c r="H36" s="1107">
        <v>730</v>
      </c>
      <c r="I36" s="1107"/>
      <c r="J36" s="1107">
        <v>34</v>
      </c>
      <c r="K36" s="1107"/>
      <c r="L36" s="1101">
        <v>0</v>
      </c>
      <c r="M36" s="1016" t="s">
        <v>43</v>
      </c>
      <c r="N36" s="1016"/>
      <c r="O36" s="1107">
        <f t="shared" si="5"/>
        <v>4008</v>
      </c>
      <c r="P36" s="1104"/>
      <c r="Q36" s="1016">
        <v>3562</v>
      </c>
      <c r="R36" s="1016"/>
      <c r="S36" s="1016" t="s">
        <v>43</v>
      </c>
      <c r="T36" s="311"/>
      <c r="U36" s="347">
        <v>2005</v>
      </c>
      <c r="V36" s="348" t="s">
        <v>79</v>
      </c>
      <c r="W36" s="369"/>
      <c r="X36" s="369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  <c r="AR36" s="294"/>
      <c r="AS36" s="294"/>
      <c r="AT36" s="294"/>
      <c r="AU36" s="294"/>
      <c r="AV36" s="294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</row>
    <row r="37" spans="1:76" s="136" customFormat="1" ht="12.75" hidden="1" customHeight="1">
      <c r="A37" s="311"/>
      <c r="B37" s="347">
        <v>2005</v>
      </c>
      <c r="C37" s="369" t="s">
        <v>30</v>
      </c>
      <c r="D37" s="1018">
        <v>3784</v>
      </c>
      <c r="E37" s="1016"/>
      <c r="F37" s="1016">
        <v>542</v>
      </c>
      <c r="G37" s="1016"/>
      <c r="H37" s="1107">
        <v>626</v>
      </c>
      <c r="I37" s="1107"/>
      <c r="J37" s="1107">
        <v>163</v>
      </c>
      <c r="K37" s="1107"/>
      <c r="L37" s="1101">
        <v>0</v>
      </c>
      <c r="M37" s="1016" t="s">
        <v>43</v>
      </c>
      <c r="N37" s="1016"/>
      <c r="O37" s="1107">
        <f t="shared" si="5"/>
        <v>5115</v>
      </c>
      <c r="P37" s="1104"/>
      <c r="Q37" s="1016">
        <v>1775</v>
      </c>
      <c r="R37" s="1016"/>
      <c r="S37" s="1016" t="s">
        <v>43</v>
      </c>
      <c r="T37" s="311"/>
      <c r="U37" s="347">
        <v>2005</v>
      </c>
      <c r="V37" s="348" t="s">
        <v>80</v>
      </c>
      <c r="W37" s="369"/>
      <c r="X37" s="369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 spans="1:76" s="136" customFormat="1" ht="12.75" hidden="1" customHeight="1">
      <c r="A38" s="311"/>
      <c r="B38" s="347">
        <v>2005</v>
      </c>
      <c r="C38" s="369" t="s">
        <v>131</v>
      </c>
      <c r="D38" s="1018">
        <v>4630</v>
      </c>
      <c r="E38" s="1016"/>
      <c r="F38" s="1109">
        <v>648</v>
      </c>
      <c r="G38" s="1109"/>
      <c r="H38" s="1107">
        <v>1031</v>
      </c>
      <c r="I38" s="1107"/>
      <c r="J38" s="1107">
        <v>119</v>
      </c>
      <c r="K38" s="1107"/>
      <c r="L38" s="1101">
        <v>0</v>
      </c>
      <c r="M38" s="1016" t="s">
        <v>43</v>
      </c>
      <c r="N38" s="1016"/>
      <c r="O38" s="1107">
        <f t="shared" si="5"/>
        <v>6428</v>
      </c>
      <c r="P38" s="1104"/>
      <c r="Q38" s="1016">
        <v>2984</v>
      </c>
      <c r="R38" s="1016"/>
      <c r="S38" s="1016" t="s">
        <v>43</v>
      </c>
      <c r="T38" s="311"/>
      <c r="U38" s="347">
        <v>2005</v>
      </c>
      <c r="V38" s="348" t="s">
        <v>81</v>
      </c>
      <c r="W38" s="369"/>
      <c r="X38" s="369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94"/>
      <c r="AU38" s="294"/>
      <c r="AV38" s="294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</row>
    <row r="39" spans="1:76" s="136" customFormat="1" ht="12.75" hidden="1" customHeight="1">
      <c r="A39" s="311"/>
      <c r="B39" s="347">
        <v>2005</v>
      </c>
      <c r="C39" s="369" t="s">
        <v>37</v>
      </c>
      <c r="D39" s="1018">
        <v>3928</v>
      </c>
      <c r="E39" s="1016"/>
      <c r="F39" s="1109">
        <v>426</v>
      </c>
      <c r="G39" s="1109"/>
      <c r="H39" s="1107">
        <v>898</v>
      </c>
      <c r="I39" s="1107"/>
      <c r="J39" s="1107">
        <v>142</v>
      </c>
      <c r="K39" s="1107"/>
      <c r="L39" s="1101">
        <v>0</v>
      </c>
      <c r="M39" s="1016" t="s">
        <v>43</v>
      </c>
      <c r="N39" s="1016"/>
      <c r="O39" s="1107">
        <f t="shared" si="5"/>
        <v>5394</v>
      </c>
      <c r="P39" s="1104"/>
      <c r="Q39" s="1016">
        <v>9350</v>
      </c>
      <c r="R39" s="1016"/>
      <c r="S39" s="1016" t="s">
        <v>43</v>
      </c>
      <c r="T39" s="311"/>
      <c r="U39" s="347">
        <v>2005</v>
      </c>
      <c r="V39" s="348" t="s">
        <v>82</v>
      </c>
      <c r="W39" s="369"/>
      <c r="X39" s="369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</row>
    <row r="40" spans="1:76" s="136" customFormat="1" ht="12.75" hidden="1" customHeight="1">
      <c r="A40" s="311"/>
      <c r="B40" s="347">
        <v>2005</v>
      </c>
      <c r="C40" s="369" t="s">
        <v>31</v>
      </c>
      <c r="D40" s="1018">
        <v>5546</v>
      </c>
      <c r="E40" s="1016"/>
      <c r="F40" s="1109">
        <v>240</v>
      </c>
      <c r="G40" s="1109"/>
      <c r="H40" s="1107">
        <v>790</v>
      </c>
      <c r="I40" s="1107"/>
      <c r="J40" s="1107">
        <v>109</v>
      </c>
      <c r="K40" s="1107"/>
      <c r="L40" s="1101">
        <v>0</v>
      </c>
      <c r="M40" s="1016" t="s">
        <v>43</v>
      </c>
      <c r="N40" s="1016"/>
      <c r="O40" s="1107">
        <f t="shared" si="5"/>
        <v>6685</v>
      </c>
      <c r="P40" s="1104"/>
      <c r="Q40" s="1016">
        <v>4683</v>
      </c>
      <c r="R40" s="1016"/>
      <c r="S40" s="1016" t="s">
        <v>43</v>
      </c>
      <c r="T40" s="311"/>
      <c r="U40" s="347">
        <v>2005</v>
      </c>
      <c r="V40" s="348" t="s">
        <v>31</v>
      </c>
      <c r="W40" s="369"/>
      <c r="X40" s="369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</row>
    <row r="41" spans="1:76" s="136" customFormat="1" ht="12.75" hidden="1" customHeight="1">
      <c r="A41" s="311"/>
      <c r="B41" s="347">
        <v>2005</v>
      </c>
      <c r="C41" s="369" t="s">
        <v>50</v>
      </c>
      <c r="D41" s="1018">
        <v>5022</v>
      </c>
      <c r="E41" s="1016"/>
      <c r="F41" s="1109">
        <v>241</v>
      </c>
      <c r="G41" s="1109"/>
      <c r="H41" s="1107">
        <v>732</v>
      </c>
      <c r="I41" s="1107"/>
      <c r="J41" s="1107">
        <v>106</v>
      </c>
      <c r="K41" s="1107"/>
      <c r="L41" s="1101">
        <v>0</v>
      </c>
      <c r="M41" s="1016" t="s">
        <v>43</v>
      </c>
      <c r="N41" s="1016"/>
      <c r="O41" s="1107">
        <f t="shared" si="5"/>
        <v>6101</v>
      </c>
      <c r="P41" s="1104"/>
      <c r="Q41" s="1016">
        <v>6823</v>
      </c>
      <c r="R41" s="1016"/>
      <c r="S41" s="1016" t="s">
        <v>43</v>
      </c>
      <c r="T41" s="311"/>
      <c r="U41" s="347">
        <v>2005</v>
      </c>
      <c r="V41" s="348" t="s">
        <v>50</v>
      </c>
      <c r="W41" s="369"/>
      <c r="X41" s="369"/>
      <c r="Y41" s="294"/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</row>
    <row r="42" spans="1:76" s="136" customFormat="1" ht="12.75" hidden="1" customHeight="1">
      <c r="A42" s="311"/>
      <c r="B42" s="347">
        <v>2005</v>
      </c>
      <c r="C42" s="369" t="s">
        <v>39</v>
      </c>
      <c r="D42" s="1018">
        <v>4425</v>
      </c>
      <c r="E42" s="1016"/>
      <c r="F42" s="1109">
        <v>338</v>
      </c>
      <c r="G42" s="1109"/>
      <c r="H42" s="1107">
        <v>698</v>
      </c>
      <c r="I42" s="1107"/>
      <c r="J42" s="1107">
        <v>82</v>
      </c>
      <c r="K42" s="1107"/>
      <c r="L42" s="1101">
        <v>0</v>
      </c>
      <c r="M42" s="1016">
        <v>1</v>
      </c>
      <c r="N42" s="1016"/>
      <c r="O42" s="1107">
        <f t="shared" si="5"/>
        <v>5544</v>
      </c>
      <c r="P42" s="1104"/>
      <c r="Q42" s="1016">
        <v>2371</v>
      </c>
      <c r="R42" s="1016"/>
      <c r="S42" s="1016" t="s">
        <v>43</v>
      </c>
      <c r="T42" s="311"/>
      <c r="U42" s="347">
        <v>2005</v>
      </c>
      <c r="V42" s="348" t="s">
        <v>39</v>
      </c>
      <c r="W42" s="369"/>
      <c r="X42" s="369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</row>
    <row r="43" spans="1:76" s="136" customFormat="1" ht="12.75" hidden="1" customHeight="1">
      <c r="A43" s="311"/>
      <c r="B43" s="347">
        <v>2005</v>
      </c>
      <c r="C43" s="369" t="s">
        <v>32</v>
      </c>
      <c r="D43" s="1018">
        <v>4973</v>
      </c>
      <c r="E43" s="1016"/>
      <c r="F43" s="1109">
        <v>702</v>
      </c>
      <c r="G43" s="1109"/>
      <c r="H43" s="1107">
        <v>453</v>
      </c>
      <c r="I43" s="1107"/>
      <c r="J43" s="1107">
        <v>49</v>
      </c>
      <c r="K43" s="1107"/>
      <c r="L43" s="1101">
        <v>0</v>
      </c>
      <c r="M43" s="1016" t="s">
        <v>43</v>
      </c>
      <c r="N43" s="1016"/>
      <c r="O43" s="1107">
        <f t="shared" si="5"/>
        <v>6177</v>
      </c>
      <c r="P43" s="1104"/>
      <c r="Q43" s="1016">
        <v>4603</v>
      </c>
      <c r="R43" s="1016"/>
      <c r="S43" s="1016" t="s">
        <v>43</v>
      </c>
      <c r="T43" s="311"/>
      <c r="U43" s="347">
        <v>2005</v>
      </c>
      <c r="V43" s="348" t="s">
        <v>83</v>
      </c>
      <c r="W43" s="369"/>
      <c r="X43" s="369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294"/>
      <c r="AT43" s="294"/>
      <c r="AU43" s="294"/>
      <c r="AV43" s="294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</row>
    <row r="44" spans="1:76" s="136" customFormat="1" ht="12.75" hidden="1" customHeight="1">
      <c r="A44" s="311"/>
      <c r="B44" s="347">
        <v>2006</v>
      </c>
      <c r="C44" s="369" t="s">
        <v>33</v>
      </c>
      <c r="D44" s="1018">
        <v>4544</v>
      </c>
      <c r="E44" s="1016"/>
      <c r="F44" s="1109">
        <v>448</v>
      </c>
      <c r="G44" s="1109"/>
      <c r="H44" s="1107">
        <v>627</v>
      </c>
      <c r="I44" s="1107"/>
      <c r="J44" s="1107">
        <v>43</v>
      </c>
      <c r="K44" s="1107"/>
      <c r="L44" s="1101">
        <v>0</v>
      </c>
      <c r="M44" s="1016" t="s">
        <v>43</v>
      </c>
      <c r="N44" s="1016"/>
      <c r="O44" s="1107">
        <f t="shared" si="5"/>
        <v>5662</v>
      </c>
      <c r="P44" s="1104"/>
      <c r="Q44" s="1016">
        <v>10705</v>
      </c>
      <c r="R44" s="1016"/>
      <c r="S44" s="1016" t="s">
        <v>43</v>
      </c>
      <c r="T44" s="311"/>
      <c r="U44" s="347">
        <v>2006</v>
      </c>
      <c r="V44" s="348" t="s">
        <v>33</v>
      </c>
      <c r="W44" s="369"/>
      <c r="X44" s="369"/>
      <c r="Y44" s="294"/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294"/>
      <c r="AO44" s="294"/>
      <c r="AP44" s="294"/>
      <c r="AQ44" s="294"/>
      <c r="AR44" s="294"/>
      <c r="AS44" s="294"/>
      <c r="AT44" s="294"/>
      <c r="AU44" s="294"/>
      <c r="AV44" s="294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</row>
    <row r="45" spans="1:76" s="136" customFormat="1" ht="12.75" hidden="1" customHeight="1">
      <c r="A45" s="311"/>
      <c r="B45" s="347">
        <v>2006</v>
      </c>
      <c r="C45" s="369" t="s">
        <v>34</v>
      </c>
      <c r="D45" s="1018">
        <v>3091</v>
      </c>
      <c r="E45" s="1016"/>
      <c r="F45" s="1109">
        <v>275</v>
      </c>
      <c r="G45" s="1109"/>
      <c r="H45" s="1107">
        <v>558</v>
      </c>
      <c r="I45" s="1107"/>
      <c r="J45" s="1107">
        <v>24</v>
      </c>
      <c r="K45" s="1107"/>
      <c r="L45" s="1101">
        <v>0</v>
      </c>
      <c r="M45" s="1016" t="s">
        <v>43</v>
      </c>
      <c r="N45" s="1016"/>
      <c r="O45" s="1107">
        <f t="shared" si="5"/>
        <v>3948</v>
      </c>
      <c r="P45" s="1104"/>
      <c r="Q45" s="1016">
        <v>9297</v>
      </c>
      <c r="R45" s="1016"/>
      <c r="S45" s="1016" t="s">
        <v>43</v>
      </c>
      <c r="T45" s="311"/>
      <c r="U45" s="347">
        <v>2006</v>
      </c>
      <c r="V45" s="348" t="s">
        <v>77</v>
      </c>
      <c r="W45" s="369"/>
      <c r="X45" s="369"/>
      <c r="Y45" s="294"/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</row>
    <row r="46" spans="1:76" s="136" customFormat="1" ht="12.75" hidden="1" customHeight="1">
      <c r="A46" s="311"/>
      <c r="B46" s="347">
        <v>2006</v>
      </c>
      <c r="C46" s="369" t="s">
        <v>69</v>
      </c>
      <c r="D46" s="1018">
        <v>3308</v>
      </c>
      <c r="E46" s="1016"/>
      <c r="F46" s="1109">
        <v>154</v>
      </c>
      <c r="G46" s="1109"/>
      <c r="H46" s="1107">
        <v>703</v>
      </c>
      <c r="I46" s="1107"/>
      <c r="J46" s="1107">
        <v>13</v>
      </c>
      <c r="K46" s="1107"/>
      <c r="L46" s="1101">
        <v>0</v>
      </c>
      <c r="M46" s="1016" t="s">
        <v>43</v>
      </c>
      <c r="N46" s="1016"/>
      <c r="O46" s="1107">
        <f t="shared" si="5"/>
        <v>4178</v>
      </c>
      <c r="P46" s="1104"/>
      <c r="Q46" s="1016">
        <v>7943</v>
      </c>
      <c r="R46" s="1016"/>
      <c r="S46" s="1016" t="s">
        <v>43</v>
      </c>
      <c r="T46" s="311"/>
      <c r="U46" s="347">
        <v>2006</v>
      </c>
      <c r="V46" s="348" t="s">
        <v>69</v>
      </c>
      <c r="W46" s="369"/>
      <c r="X46" s="369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</row>
    <row r="47" spans="1:76" s="136" customFormat="1" ht="12.75" hidden="1" customHeight="1">
      <c r="A47" s="311"/>
      <c r="B47" s="347">
        <v>2006</v>
      </c>
      <c r="C47" s="369" t="s">
        <v>35</v>
      </c>
      <c r="D47" s="1018">
        <v>3721</v>
      </c>
      <c r="E47" s="1016"/>
      <c r="F47" s="1109">
        <v>331</v>
      </c>
      <c r="G47" s="1109"/>
      <c r="H47" s="1107">
        <v>675</v>
      </c>
      <c r="I47" s="1107"/>
      <c r="J47" s="1107">
        <v>15</v>
      </c>
      <c r="K47" s="1107"/>
      <c r="L47" s="1101">
        <v>0</v>
      </c>
      <c r="M47" s="1016" t="s">
        <v>43</v>
      </c>
      <c r="N47" s="1016"/>
      <c r="O47" s="1107">
        <f t="shared" si="5"/>
        <v>4742</v>
      </c>
      <c r="P47" s="1104"/>
      <c r="Q47" s="1016">
        <v>9615</v>
      </c>
      <c r="R47" s="1016"/>
      <c r="S47" s="1016" t="s">
        <v>43</v>
      </c>
      <c r="T47" s="311"/>
      <c r="U47" s="347">
        <v>2006</v>
      </c>
      <c r="V47" s="348" t="s">
        <v>78</v>
      </c>
      <c r="W47" s="369"/>
      <c r="X47" s="369"/>
      <c r="Y47" s="294"/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4"/>
      <c r="AU47" s="294"/>
      <c r="AV47" s="294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</row>
    <row r="48" spans="1:76" s="136" customFormat="1" ht="12.75" hidden="1" customHeight="1">
      <c r="A48" s="311"/>
      <c r="B48" s="347">
        <v>2006</v>
      </c>
      <c r="C48" s="369" t="s">
        <v>4</v>
      </c>
      <c r="D48" s="1018">
        <v>3458</v>
      </c>
      <c r="E48" s="1016"/>
      <c r="F48" s="1109">
        <v>308</v>
      </c>
      <c r="G48" s="1109"/>
      <c r="H48" s="1107">
        <v>813</v>
      </c>
      <c r="I48" s="1107"/>
      <c r="J48" s="1107">
        <v>74</v>
      </c>
      <c r="K48" s="1107"/>
      <c r="L48" s="1101">
        <v>0</v>
      </c>
      <c r="M48" s="1016" t="s">
        <v>43</v>
      </c>
      <c r="N48" s="1016"/>
      <c r="O48" s="1107">
        <f t="shared" si="5"/>
        <v>4653</v>
      </c>
      <c r="P48" s="1104"/>
      <c r="Q48" s="1016">
        <v>6902</v>
      </c>
      <c r="R48" s="1016"/>
      <c r="S48" s="1016" t="s">
        <v>43</v>
      </c>
      <c r="T48" s="311"/>
      <c r="U48" s="347">
        <v>2006</v>
      </c>
      <c r="V48" s="348" t="s">
        <v>79</v>
      </c>
      <c r="W48" s="369"/>
      <c r="X48" s="369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</row>
    <row r="49" spans="1:76" s="136" customFormat="1" ht="12.75" hidden="1" customHeight="1">
      <c r="A49" s="311"/>
      <c r="B49" s="347">
        <v>2006</v>
      </c>
      <c r="C49" s="369" t="s">
        <v>68</v>
      </c>
      <c r="D49" s="1110">
        <v>4387</v>
      </c>
      <c r="E49" s="1109"/>
      <c r="F49" s="1109">
        <v>353</v>
      </c>
      <c r="G49" s="1109"/>
      <c r="H49" s="1111">
        <v>959</v>
      </c>
      <c r="I49" s="1111"/>
      <c r="J49" s="1111">
        <v>50</v>
      </c>
      <c r="K49" s="1111"/>
      <c r="L49" s="1101">
        <v>0</v>
      </c>
      <c r="M49" s="1016" t="s">
        <v>43</v>
      </c>
      <c r="N49" s="1016"/>
      <c r="O49" s="1111">
        <f t="shared" si="5"/>
        <v>5749</v>
      </c>
      <c r="P49" s="1112"/>
      <c r="Q49" s="1109">
        <v>2928</v>
      </c>
      <c r="R49" s="311"/>
      <c r="S49" s="1016" t="s">
        <v>43</v>
      </c>
      <c r="T49" s="311"/>
      <c r="U49" s="347">
        <v>2006</v>
      </c>
      <c r="V49" s="348" t="s">
        <v>80</v>
      </c>
      <c r="W49" s="369"/>
      <c r="X49" s="369"/>
      <c r="Y49" s="294"/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</row>
    <row r="50" spans="1:76" s="136" customFormat="1" ht="12.75" hidden="1" customHeight="1">
      <c r="A50" s="311"/>
      <c r="B50" s="347">
        <v>2006</v>
      </c>
      <c r="C50" s="369" t="s">
        <v>131</v>
      </c>
      <c r="D50" s="1110">
        <v>5301</v>
      </c>
      <c r="E50" s="1109"/>
      <c r="F50" s="1109">
        <v>641</v>
      </c>
      <c r="G50" s="1109"/>
      <c r="H50" s="1111">
        <v>732</v>
      </c>
      <c r="I50" s="1111"/>
      <c r="J50" s="1111">
        <v>38</v>
      </c>
      <c r="K50" s="1111"/>
      <c r="L50" s="1101">
        <v>0</v>
      </c>
      <c r="M50" s="1016" t="s">
        <v>43</v>
      </c>
      <c r="N50" s="1016"/>
      <c r="O50" s="1111">
        <f t="shared" si="5"/>
        <v>6712</v>
      </c>
      <c r="P50" s="1112"/>
      <c r="Q50" s="1109">
        <v>4506</v>
      </c>
      <c r="R50" s="311"/>
      <c r="S50" s="1016" t="s">
        <v>43</v>
      </c>
      <c r="T50" s="311"/>
      <c r="U50" s="347">
        <v>2006</v>
      </c>
      <c r="V50" s="348" t="s">
        <v>81</v>
      </c>
      <c r="W50" s="369"/>
      <c r="X50" s="369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</row>
    <row r="51" spans="1:76" s="136" customFormat="1" ht="12.75" hidden="1" customHeight="1">
      <c r="A51" s="311"/>
      <c r="B51" s="347">
        <v>2006</v>
      </c>
      <c r="C51" s="369" t="s">
        <v>37</v>
      </c>
      <c r="D51" s="1110">
        <v>4441</v>
      </c>
      <c r="E51" s="1109"/>
      <c r="F51" s="311">
        <v>453</v>
      </c>
      <c r="G51" s="311"/>
      <c r="H51" s="1111">
        <v>877</v>
      </c>
      <c r="I51" s="1111"/>
      <c r="J51" s="1111">
        <v>46</v>
      </c>
      <c r="K51" s="1111"/>
      <c r="L51" s="1101">
        <v>0</v>
      </c>
      <c r="M51" s="1016" t="s">
        <v>43</v>
      </c>
      <c r="N51" s="1016"/>
      <c r="O51" s="1111">
        <f t="shared" si="5"/>
        <v>5817</v>
      </c>
      <c r="P51" s="1112"/>
      <c r="Q51" s="1109">
        <v>6068</v>
      </c>
      <c r="R51" s="311"/>
      <c r="S51" s="1016" t="s">
        <v>43</v>
      </c>
      <c r="T51" s="311"/>
      <c r="U51" s="347">
        <v>2006</v>
      </c>
      <c r="V51" s="348" t="s">
        <v>82</v>
      </c>
      <c r="W51" s="369"/>
      <c r="X51" s="369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</row>
    <row r="52" spans="1:76" s="136" customFormat="1" ht="12.75" hidden="1" customHeight="1">
      <c r="A52" s="311"/>
      <c r="B52" s="347">
        <v>2006</v>
      </c>
      <c r="C52" s="369" t="s">
        <v>31</v>
      </c>
      <c r="D52" s="1110">
        <v>5781</v>
      </c>
      <c r="E52" s="1109"/>
      <c r="F52" s="1109">
        <v>449</v>
      </c>
      <c r="G52" s="1109"/>
      <c r="H52" s="1111">
        <v>873</v>
      </c>
      <c r="I52" s="1111"/>
      <c r="J52" s="1111">
        <v>128</v>
      </c>
      <c r="K52" s="1111"/>
      <c r="L52" s="1101">
        <v>0</v>
      </c>
      <c r="M52" s="1016" t="s">
        <v>43</v>
      </c>
      <c r="N52" s="1016"/>
      <c r="O52" s="1111">
        <f t="shared" si="5"/>
        <v>7231</v>
      </c>
      <c r="P52" s="1112"/>
      <c r="Q52" s="1109">
        <v>9333</v>
      </c>
      <c r="R52" s="311"/>
      <c r="S52" s="1016" t="s">
        <v>43</v>
      </c>
      <c r="T52" s="311"/>
      <c r="U52" s="347">
        <v>2006</v>
      </c>
      <c r="V52" s="348" t="s">
        <v>31</v>
      </c>
      <c r="W52" s="369"/>
      <c r="X52" s="369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</row>
    <row r="53" spans="1:76" s="136" customFormat="1" ht="12.75" hidden="1" customHeight="1">
      <c r="A53" s="311"/>
      <c r="B53" s="347">
        <v>2006</v>
      </c>
      <c r="C53" s="369" t="s">
        <v>50</v>
      </c>
      <c r="D53" s="1110">
        <v>4801</v>
      </c>
      <c r="E53" s="1109"/>
      <c r="F53" s="311">
        <v>395</v>
      </c>
      <c r="G53" s="311"/>
      <c r="H53" s="1111">
        <v>913</v>
      </c>
      <c r="I53" s="1111"/>
      <c r="J53" s="1111">
        <v>130</v>
      </c>
      <c r="K53" s="1111"/>
      <c r="L53" s="1101">
        <v>0</v>
      </c>
      <c r="M53" s="1016" t="s">
        <v>43</v>
      </c>
      <c r="N53" s="1016"/>
      <c r="O53" s="1111">
        <f t="shared" si="5"/>
        <v>6239</v>
      </c>
      <c r="P53" s="1112"/>
      <c r="Q53" s="1109">
        <v>9204</v>
      </c>
      <c r="R53" s="311"/>
      <c r="S53" s="1016" t="s">
        <v>43</v>
      </c>
      <c r="T53" s="311"/>
      <c r="U53" s="347">
        <v>2006</v>
      </c>
      <c r="V53" s="348" t="s">
        <v>50</v>
      </c>
      <c r="W53" s="369"/>
      <c r="X53" s="369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</row>
    <row r="54" spans="1:76" s="136" customFormat="1" ht="12.75" hidden="1" customHeight="1">
      <c r="A54" s="311"/>
      <c r="B54" s="347">
        <v>2006</v>
      </c>
      <c r="C54" s="369" t="s">
        <v>39</v>
      </c>
      <c r="D54" s="1110">
        <v>4504</v>
      </c>
      <c r="E54" s="1109"/>
      <c r="F54" s="311">
        <v>418</v>
      </c>
      <c r="G54" s="311"/>
      <c r="H54" s="1111">
        <v>1014</v>
      </c>
      <c r="I54" s="1111"/>
      <c r="J54" s="1111">
        <v>100</v>
      </c>
      <c r="K54" s="1111"/>
      <c r="L54" s="1101">
        <v>0</v>
      </c>
      <c r="M54" s="1016" t="s">
        <v>43</v>
      </c>
      <c r="N54" s="1016"/>
      <c r="O54" s="1111">
        <f t="shared" si="5"/>
        <v>6036</v>
      </c>
      <c r="P54" s="1112"/>
      <c r="Q54" s="1109">
        <v>4219</v>
      </c>
      <c r="R54" s="311"/>
      <c r="S54" s="1016" t="s">
        <v>43</v>
      </c>
      <c r="T54" s="311"/>
      <c r="U54" s="347">
        <v>2006</v>
      </c>
      <c r="V54" s="348" t="s">
        <v>39</v>
      </c>
      <c r="W54" s="369"/>
      <c r="X54" s="369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</row>
    <row r="55" spans="1:76" s="136" customFormat="1" ht="12.75" hidden="1" customHeight="1">
      <c r="A55" s="311"/>
      <c r="B55" s="347">
        <v>2006</v>
      </c>
      <c r="C55" s="369" t="s">
        <v>32</v>
      </c>
      <c r="D55" s="1110">
        <v>5693</v>
      </c>
      <c r="E55" s="1109"/>
      <c r="F55" s="311">
        <v>836</v>
      </c>
      <c r="G55" s="311"/>
      <c r="H55" s="1111">
        <v>568</v>
      </c>
      <c r="I55" s="1111"/>
      <c r="J55" s="1111">
        <v>114</v>
      </c>
      <c r="K55" s="1111"/>
      <c r="L55" s="1101">
        <v>0</v>
      </c>
      <c r="M55" s="1016" t="s">
        <v>43</v>
      </c>
      <c r="N55" s="1016"/>
      <c r="O55" s="1111">
        <f t="shared" si="5"/>
        <v>7211</v>
      </c>
      <c r="P55" s="1112"/>
      <c r="Q55" s="1109">
        <v>5202</v>
      </c>
      <c r="R55" s="311"/>
      <c r="S55" s="1016" t="s">
        <v>43</v>
      </c>
      <c r="T55" s="311"/>
      <c r="U55" s="347">
        <v>2006</v>
      </c>
      <c r="V55" s="348" t="s">
        <v>83</v>
      </c>
      <c r="W55" s="369"/>
      <c r="X55" s="369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  <c r="AS55" s="294"/>
      <c r="AT55" s="294"/>
      <c r="AU55" s="294"/>
      <c r="AV55" s="294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</row>
    <row r="56" spans="1:76" s="136" customFormat="1" ht="12.75" hidden="1" customHeight="1">
      <c r="A56" s="311"/>
      <c r="B56" s="347">
        <v>2007</v>
      </c>
      <c r="C56" s="369" t="s">
        <v>33</v>
      </c>
      <c r="D56" s="1110">
        <v>5336.9012168933432</v>
      </c>
      <c r="E56" s="1109"/>
      <c r="F56" s="1109">
        <v>523.97279885468856</v>
      </c>
      <c r="G56" s="1109"/>
      <c r="H56" s="1111">
        <v>590.77165354330714</v>
      </c>
      <c r="I56" s="1111"/>
      <c r="J56" s="1111">
        <v>27.354330708661418</v>
      </c>
      <c r="K56" s="1111"/>
      <c r="L56" s="1101">
        <v>0</v>
      </c>
      <c r="M56" s="1016" t="s">
        <v>43</v>
      </c>
      <c r="N56" s="1016"/>
      <c r="O56" s="1107">
        <f t="shared" si="5"/>
        <v>6479</v>
      </c>
      <c r="P56" s="1104"/>
      <c r="Q56" s="1016">
        <v>10571</v>
      </c>
      <c r="R56" s="1016"/>
      <c r="S56" s="1016" t="s">
        <v>43</v>
      </c>
      <c r="T56" s="311"/>
      <c r="U56" s="347">
        <v>2007</v>
      </c>
      <c r="V56" s="348" t="s">
        <v>33</v>
      </c>
      <c r="W56" s="369"/>
      <c r="X56" s="369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</row>
    <row r="57" spans="1:76" s="136" customFormat="1" ht="12.75" hidden="1" customHeight="1">
      <c r="A57" s="311"/>
      <c r="B57" s="347">
        <v>2007</v>
      </c>
      <c r="C57" s="369" t="s">
        <v>34</v>
      </c>
      <c r="D57" s="1110">
        <v>3259.280888030888</v>
      </c>
      <c r="E57" s="1109"/>
      <c r="F57" s="1109">
        <v>281.99420849420852</v>
      </c>
      <c r="G57" s="1109"/>
      <c r="H57" s="1111">
        <v>566.03185328185327</v>
      </c>
      <c r="I57" s="1111"/>
      <c r="J57" s="1111">
        <v>126.6930501930502</v>
      </c>
      <c r="K57" s="1111"/>
      <c r="L57" s="1101">
        <v>0</v>
      </c>
      <c r="M57" s="1016" t="s">
        <v>43</v>
      </c>
      <c r="N57" s="1016"/>
      <c r="O57" s="1107">
        <f t="shared" si="5"/>
        <v>4234</v>
      </c>
      <c r="P57" s="1104"/>
      <c r="Q57" s="1016">
        <v>9363</v>
      </c>
      <c r="R57" s="1016"/>
      <c r="S57" s="1016"/>
      <c r="T57" s="311"/>
      <c r="U57" s="347">
        <v>2007</v>
      </c>
      <c r="V57" s="348" t="s">
        <v>77</v>
      </c>
      <c r="W57" s="369"/>
      <c r="X57" s="369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S57" s="294"/>
      <c r="AT57" s="294"/>
      <c r="AU57" s="294"/>
      <c r="AV57" s="294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</row>
    <row r="58" spans="1:76" s="136" customFormat="1" ht="12.75" hidden="1" customHeight="1">
      <c r="A58" s="311"/>
      <c r="B58" s="347">
        <v>2007</v>
      </c>
      <c r="C58" s="369" t="s">
        <v>69</v>
      </c>
      <c r="D58" s="1110">
        <v>4162.3382016540563</v>
      </c>
      <c r="E58" s="1109"/>
      <c r="F58" s="1109">
        <v>321.74133380256905</v>
      </c>
      <c r="G58" s="1109"/>
      <c r="H58" s="1107">
        <v>1091.078655639627</v>
      </c>
      <c r="I58" s="1107"/>
      <c r="J58" s="1111">
        <v>192.84180890374802</v>
      </c>
      <c r="K58" s="1111"/>
      <c r="L58" s="1101">
        <v>0</v>
      </c>
      <c r="M58" s="1016" t="s">
        <v>43</v>
      </c>
      <c r="N58" s="1016"/>
      <c r="O58" s="1107">
        <f t="shared" si="5"/>
        <v>5768</v>
      </c>
      <c r="P58" s="1104"/>
      <c r="Q58" s="1016">
        <f>'Table 1 Summary'!AB56</f>
        <v>6281</v>
      </c>
      <c r="R58" s="1016"/>
      <c r="S58" s="1016"/>
      <c r="T58" s="311"/>
      <c r="U58" s="347">
        <v>2007</v>
      </c>
      <c r="V58" s="348" t="s">
        <v>69</v>
      </c>
      <c r="W58" s="369"/>
      <c r="X58" s="369"/>
      <c r="Y58" s="294"/>
      <c r="Z58" s="294"/>
      <c r="AA58" s="294" t="s">
        <v>41</v>
      </c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</row>
    <row r="59" spans="1:76" s="136" customFormat="1" ht="12.75" hidden="1" customHeight="1">
      <c r="A59" s="311"/>
      <c r="B59" s="347">
        <v>2007</v>
      </c>
      <c r="C59" s="369" t="s">
        <v>35</v>
      </c>
      <c r="D59" s="1110">
        <v>5045.475132786094</v>
      </c>
      <c r="E59" s="1109"/>
      <c r="F59" s="1113">
        <v>474.70046676323835</v>
      </c>
      <c r="G59" s="1113"/>
      <c r="H59" s="1111">
        <v>625.46370513439558</v>
      </c>
      <c r="I59" s="1111"/>
      <c r="J59" s="1111">
        <v>183.36069531627234</v>
      </c>
      <c r="K59" s="1111"/>
      <c r="L59" s="1101">
        <v>0</v>
      </c>
      <c r="M59" s="1016" t="s">
        <v>43</v>
      </c>
      <c r="N59" s="1016"/>
      <c r="O59" s="1107">
        <f t="shared" si="5"/>
        <v>6329</v>
      </c>
      <c r="P59" s="1104"/>
      <c r="Q59" s="1016">
        <v>9484</v>
      </c>
      <c r="R59" s="1016"/>
      <c r="S59" s="1016"/>
      <c r="T59" s="311"/>
      <c r="U59" s="347">
        <v>2007</v>
      </c>
      <c r="V59" s="348" t="s">
        <v>78</v>
      </c>
      <c r="W59" s="369"/>
      <c r="X59" s="369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S59" s="294"/>
      <c r="AT59" s="294"/>
      <c r="AU59" s="294"/>
      <c r="AV59" s="294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</row>
    <row r="60" spans="1:76" s="136" customFormat="1" ht="12.75" hidden="1" customHeight="1">
      <c r="A60" s="311"/>
      <c r="B60" s="347">
        <v>2007</v>
      </c>
      <c r="C60" s="369" t="s">
        <v>4</v>
      </c>
      <c r="D60" s="1110">
        <v>4218.4875500609442</v>
      </c>
      <c r="E60" s="1109"/>
      <c r="F60" s="1114">
        <v>506.58471182308898</v>
      </c>
      <c r="G60" s="1114"/>
      <c r="H60" s="1111">
        <v>1048.7727668465959</v>
      </c>
      <c r="I60" s="1111"/>
      <c r="J60" s="1111">
        <v>68.154971269371416</v>
      </c>
      <c r="K60" s="1111"/>
      <c r="L60" s="1101">
        <v>0</v>
      </c>
      <c r="M60" s="1016" t="s">
        <v>43</v>
      </c>
      <c r="N60" s="1016"/>
      <c r="O60" s="1107">
        <f t="shared" si="5"/>
        <v>5842</v>
      </c>
      <c r="P60" s="1107"/>
      <c r="Q60" s="1016">
        <v>9485</v>
      </c>
      <c r="R60" s="1016"/>
      <c r="S60" s="1016"/>
      <c r="T60" s="311"/>
      <c r="U60" s="347">
        <v>2007</v>
      </c>
      <c r="V60" s="348" t="s">
        <v>79</v>
      </c>
      <c r="W60" s="369"/>
      <c r="X60" s="369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S60" s="294"/>
      <c r="AT60" s="294"/>
      <c r="AU60" s="294"/>
      <c r="AV60" s="294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</row>
    <row r="61" spans="1:76" s="136" customFormat="1" ht="12.75" hidden="1" customHeight="1">
      <c r="A61" s="311"/>
      <c r="B61" s="347">
        <v>2007</v>
      </c>
      <c r="C61" s="369" t="s">
        <v>68</v>
      </c>
      <c r="D61" s="1110">
        <v>5169.2857359866321</v>
      </c>
      <c r="E61" s="1109"/>
      <c r="F61" s="1114">
        <v>550.39586814522249</v>
      </c>
      <c r="G61" s="1114"/>
      <c r="H61" s="1111">
        <v>867.93194592131249</v>
      </c>
      <c r="I61" s="1111"/>
      <c r="J61" s="1111">
        <v>48.386449946832748</v>
      </c>
      <c r="K61" s="1111"/>
      <c r="L61" s="1101">
        <v>0</v>
      </c>
      <c r="M61" s="1016" t="s">
        <v>43</v>
      </c>
      <c r="N61" s="1016"/>
      <c r="O61" s="1107">
        <f t="shared" si="5"/>
        <v>6636</v>
      </c>
      <c r="P61" s="1107"/>
      <c r="Q61" s="1016"/>
      <c r="R61" s="1016"/>
      <c r="S61" s="1016"/>
      <c r="T61" s="311"/>
      <c r="U61" s="347">
        <v>2007</v>
      </c>
      <c r="V61" s="348" t="s">
        <v>80</v>
      </c>
      <c r="W61" s="369"/>
      <c r="X61" s="369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</row>
    <row r="62" spans="1:76" s="136" customFormat="1" ht="12.75" hidden="1" customHeight="1">
      <c r="A62" s="311"/>
      <c r="B62" s="347">
        <v>2007</v>
      </c>
      <c r="C62" s="369" t="s">
        <v>131</v>
      </c>
      <c r="D62" s="1110">
        <v>7173.7040077778975</v>
      </c>
      <c r="E62" s="1109"/>
      <c r="F62" s="1109">
        <v>720.48547045479097</v>
      </c>
      <c r="G62" s="1109"/>
      <c r="H62" s="1109">
        <v>1170.6632818407691</v>
      </c>
      <c r="I62" s="1109"/>
      <c r="J62" s="1111">
        <v>237.14723992654208</v>
      </c>
      <c r="K62" s="1111"/>
      <c r="L62" s="1101">
        <v>0</v>
      </c>
      <c r="M62" s="1016" t="s">
        <v>43</v>
      </c>
      <c r="N62" s="1016"/>
      <c r="O62" s="1107">
        <f t="shared" si="5"/>
        <v>9302</v>
      </c>
      <c r="P62" s="1104"/>
      <c r="Q62" s="1016"/>
      <c r="R62" s="1016"/>
      <c r="S62" s="1016"/>
      <c r="T62" s="311"/>
      <c r="U62" s="347">
        <v>2007</v>
      </c>
      <c r="V62" s="348" t="s">
        <v>81</v>
      </c>
      <c r="W62" s="369"/>
      <c r="X62" s="369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</row>
    <row r="63" spans="1:76" s="136" customFormat="1" ht="12.75" hidden="1" customHeight="1">
      <c r="A63" s="311"/>
      <c r="B63" s="347">
        <v>2007</v>
      </c>
      <c r="C63" s="369" t="s">
        <v>37</v>
      </c>
      <c r="D63" s="1110">
        <v>5611.1870201361726</v>
      </c>
      <c r="E63" s="1109"/>
      <c r="F63" s="1114">
        <v>504.33029117774879</v>
      </c>
      <c r="G63" s="1114"/>
      <c r="H63" s="1109">
        <v>911.27973344922498</v>
      </c>
      <c r="I63" s="1109"/>
      <c r="J63" s="1111">
        <v>49.202955236853541</v>
      </c>
      <c r="K63" s="1111"/>
      <c r="L63" s="1101">
        <v>0</v>
      </c>
      <c r="M63" s="1016" t="s">
        <v>43</v>
      </c>
      <c r="N63" s="1016"/>
      <c r="O63" s="1107">
        <f t="shared" si="5"/>
        <v>7076</v>
      </c>
      <c r="P63" s="1104"/>
      <c r="Q63" s="1016"/>
      <c r="R63" s="1016"/>
      <c r="S63" s="1016"/>
      <c r="T63" s="311"/>
      <c r="U63" s="347">
        <v>2007</v>
      </c>
      <c r="V63" s="348" t="s">
        <v>82</v>
      </c>
      <c r="W63" s="369"/>
      <c r="X63" s="369"/>
      <c r="Y63" s="294"/>
      <c r="Z63" s="294"/>
      <c r="AA63" s="294" t="s">
        <v>41</v>
      </c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</row>
    <row r="64" spans="1:76" s="136" customFormat="1" ht="12.75" hidden="1" customHeight="1">
      <c r="A64" s="311"/>
      <c r="B64" s="347">
        <v>2007</v>
      </c>
      <c r="C64" s="369" t="s">
        <v>31</v>
      </c>
      <c r="D64" s="1018" t="s">
        <v>391</v>
      </c>
      <c r="E64" s="1016"/>
      <c r="F64" s="1115" t="s">
        <v>391</v>
      </c>
      <c r="G64" s="1115"/>
      <c r="H64" s="1016" t="s">
        <v>391</v>
      </c>
      <c r="I64" s="1016"/>
      <c r="J64" s="1107" t="s">
        <v>391</v>
      </c>
      <c r="K64" s="1107"/>
      <c r="L64" s="1107" t="s">
        <v>391</v>
      </c>
      <c r="M64" s="1016"/>
      <c r="N64" s="1016"/>
      <c r="O64" s="1107" t="s">
        <v>391</v>
      </c>
      <c r="P64" s="1104"/>
      <c r="Q64" s="1016"/>
      <c r="R64" s="1016"/>
      <c r="S64" s="1016"/>
      <c r="T64" s="311"/>
      <c r="U64" s="347">
        <v>2007</v>
      </c>
      <c r="V64" s="348" t="s">
        <v>31</v>
      </c>
      <c r="W64" s="369"/>
      <c r="X64" s="369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294"/>
      <c r="AT64" s="294"/>
      <c r="AU64" s="294"/>
      <c r="AV64" s="294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</row>
    <row r="65" spans="1:76" s="136" customFormat="1" ht="12.75" hidden="1" customHeight="1">
      <c r="A65" s="311"/>
      <c r="B65" s="347">
        <v>2007</v>
      </c>
      <c r="C65" s="369" t="s">
        <v>38</v>
      </c>
      <c r="D65" s="1110">
        <v>5117.4447439353098</v>
      </c>
      <c r="E65" s="1109"/>
      <c r="F65" s="1109">
        <v>464.39083557951483</v>
      </c>
      <c r="G65" s="1109"/>
      <c r="H65" s="1109">
        <v>1187.9056603773586</v>
      </c>
      <c r="I65" s="1109"/>
      <c r="J65" s="1111">
        <v>16.258760107816713</v>
      </c>
      <c r="K65" s="1111"/>
      <c r="L65" s="1111">
        <v>6786</v>
      </c>
      <c r="M65" s="1016" t="s">
        <v>43</v>
      </c>
      <c r="N65" s="1016"/>
      <c r="O65" s="1107">
        <f t="shared" si="5"/>
        <v>13572</v>
      </c>
      <c r="P65" s="1104"/>
      <c r="Q65" s="1016"/>
      <c r="R65" s="1016"/>
      <c r="S65" s="1016"/>
      <c r="T65" s="311"/>
      <c r="U65" s="347">
        <v>2007</v>
      </c>
      <c r="V65" s="348" t="s">
        <v>38</v>
      </c>
      <c r="W65" s="369"/>
      <c r="X65" s="369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294"/>
      <c r="AT65" s="294"/>
      <c r="AU65" s="294"/>
      <c r="AV65" s="294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</row>
    <row r="66" spans="1:76" s="136" customFormat="1" ht="12.75" hidden="1" customHeight="1">
      <c r="A66" s="311"/>
      <c r="B66" s="347">
        <v>2007</v>
      </c>
      <c r="C66" s="369" t="s">
        <v>39</v>
      </c>
      <c r="D66" s="1110">
        <v>5117.4447439353098</v>
      </c>
      <c r="E66" s="1109"/>
      <c r="F66" s="1109">
        <v>464.39083557951483</v>
      </c>
      <c r="G66" s="1109"/>
      <c r="H66" s="1109">
        <v>1187.9056603773586</v>
      </c>
      <c r="I66" s="1109"/>
      <c r="J66" s="1111">
        <v>16.258760107816713</v>
      </c>
      <c r="K66" s="1111"/>
      <c r="L66" s="1111">
        <v>0</v>
      </c>
      <c r="M66" s="1016" t="s">
        <v>43</v>
      </c>
      <c r="N66" s="1016"/>
      <c r="O66" s="1107">
        <f t="shared" si="5"/>
        <v>6786</v>
      </c>
      <c r="P66" s="1104"/>
      <c r="Q66" s="1016"/>
      <c r="R66" s="1016"/>
      <c r="S66" s="1016"/>
      <c r="T66" s="311"/>
      <c r="U66" s="347">
        <v>2007</v>
      </c>
      <c r="V66" s="348" t="s">
        <v>39</v>
      </c>
      <c r="W66" s="369"/>
      <c r="X66" s="369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294"/>
      <c r="AT66" s="294"/>
      <c r="AU66" s="294"/>
      <c r="AV66" s="294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</row>
    <row r="67" spans="1:76" s="136" customFormat="1" ht="12.75" hidden="1" customHeight="1">
      <c r="A67" s="311"/>
      <c r="B67" s="347">
        <v>2007</v>
      </c>
      <c r="C67" s="369" t="s">
        <v>32</v>
      </c>
      <c r="D67" s="1110">
        <v>5170.4575436502018</v>
      </c>
      <c r="E67" s="1109"/>
      <c r="F67" s="1114">
        <v>488.95881211759439</v>
      </c>
      <c r="G67" s="1114"/>
      <c r="H67" s="1109">
        <v>1198.3078644978361</v>
      </c>
      <c r="I67" s="1109"/>
      <c r="J67" s="1111">
        <v>11.275779734368005</v>
      </c>
      <c r="K67" s="1111"/>
      <c r="L67" s="1111">
        <v>0</v>
      </c>
      <c r="M67" s="1016" t="s">
        <v>43</v>
      </c>
      <c r="N67" s="1016"/>
      <c r="O67" s="1107">
        <f t="shared" si="5"/>
        <v>6869.0000000000009</v>
      </c>
      <c r="P67" s="1104"/>
      <c r="Q67" s="1016"/>
      <c r="R67" s="1016"/>
      <c r="S67" s="1016"/>
      <c r="T67" s="311"/>
      <c r="U67" s="347">
        <v>2007</v>
      </c>
      <c r="V67" s="348" t="s">
        <v>32</v>
      </c>
      <c r="W67" s="369"/>
      <c r="X67" s="369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294"/>
      <c r="AT67" s="294"/>
      <c r="AU67" s="294"/>
      <c r="AV67" s="294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</row>
    <row r="68" spans="1:76" s="14" customFormat="1" ht="12.75" hidden="1" customHeight="1">
      <c r="A68" s="311"/>
      <c r="B68" s="347">
        <v>2008</v>
      </c>
      <c r="C68" s="369" t="s">
        <v>33</v>
      </c>
      <c r="D68" s="1116">
        <v>5008.7123031342589</v>
      </c>
      <c r="E68" s="1111"/>
      <c r="F68" s="1109">
        <v>1007.4760642445034</v>
      </c>
      <c r="G68" s="1109"/>
      <c r="H68" s="1109">
        <v>510.90503664431623</v>
      </c>
      <c r="I68" s="1109"/>
      <c r="J68" s="1111">
        <v>38.906595976921878</v>
      </c>
      <c r="K68" s="1111"/>
      <c r="L68" s="1111">
        <v>0</v>
      </c>
      <c r="M68" s="1016" t="s">
        <v>43</v>
      </c>
      <c r="N68" s="1016"/>
      <c r="O68" s="1107">
        <f t="shared" si="5"/>
        <v>6566.0000000000009</v>
      </c>
      <c r="P68" s="1104"/>
      <c r="Q68" s="311"/>
      <c r="R68" s="311"/>
      <c r="S68" s="311"/>
      <c r="T68" s="311"/>
      <c r="U68" s="347">
        <v>2008</v>
      </c>
      <c r="V68" s="348" t="s">
        <v>33</v>
      </c>
      <c r="W68" s="369"/>
      <c r="X68" s="369"/>
      <c r="Y68" s="363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294"/>
      <c r="AT68" s="294"/>
      <c r="AU68" s="294"/>
      <c r="AV68" s="294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</row>
    <row r="69" spans="1:76" s="14" customFormat="1" ht="12.75" hidden="1" customHeight="1">
      <c r="A69" s="311"/>
      <c r="B69" s="347">
        <v>2008</v>
      </c>
      <c r="C69" s="369" t="s">
        <v>34</v>
      </c>
      <c r="D69" s="1116">
        <v>2632.484509466437</v>
      </c>
      <c r="E69" s="1111"/>
      <c r="F69" s="1109">
        <v>1738.4526678141135</v>
      </c>
      <c r="G69" s="1109"/>
      <c r="H69" s="1109">
        <v>382.41824440619621</v>
      </c>
      <c r="I69" s="1109"/>
      <c r="J69" s="1111">
        <v>50.644578313253014</v>
      </c>
      <c r="K69" s="1111"/>
      <c r="L69" s="1111">
        <v>0</v>
      </c>
      <c r="M69" s="1016" t="s">
        <v>43</v>
      </c>
      <c r="N69" s="1016"/>
      <c r="O69" s="1107">
        <f t="shared" si="5"/>
        <v>4804</v>
      </c>
      <c r="P69" s="1104"/>
      <c r="Q69" s="311"/>
      <c r="R69" s="311"/>
      <c r="S69" s="311"/>
      <c r="T69" s="311"/>
      <c r="U69" s="347">
        <v>2008</v>
      </c>
      <c r="V69" s="348" t="s">
        <v>77</v>
      </c>
      <c r="W69" s="369"/>
      <c r="X69" s="369"/>
      <c r="Y69" s="75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294"/>
      <c r="AT69" s="294"/>
      <c r="AU69" s="294"/>
      <c r="AV69" s="294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</row>
    <row r="70" spans="1:76" s="14" customFormat="1" ht="12.75" hidden="1" customHeight="1">
      <c r="A70" s="311"/>
      <c r="B70" s="347">
        <v>2008</v>
      </c>
      <c r="C70" s="369" t="s">
        <v>29</v>
      </c>
      <c r="D70" s="1116">
        <v>5259.341982701264</v>
      </c>
      <c r="E70" s="1111"/>
      <c r="F70" s="1109">
        <v>369.1663339986693</v>
      </c>
      <c r="G70" s="1109"/>
      <c r="H70" s="1109">
        <v>495.97139055222885</v>
      </c>
      <c r="I70" s="1109"/>
      <c r="J70" s="1111">
        <v>23.520292747837658</v>
      </c>
      <c r="K70" s="1111"/>
      <c r="L70" s="1111">
        <v>0</v>
      </c>
      <c r="M70" s="1016" t="s">
        <v>43</v>
      </c>
      <c r="N70" s="1016"/>
      <c r="O70" s="1107">
        <f t="shared" si="5"/>
        <v>6147.9999999999991</v>
      </c>
      <c r="P70" s="1104"/>
      <c r="Q70" s="311"/>
      <c r="R70" s="311"/>
      <c r="S70" s="311"/>
      <c r="T70" s="311"/>
      <c r="U70" s="347">
        <v>2008</v>
      </c>
      <c r="V70" s="348" t="s">
        <v>29</v>
      </c>
      <c r="W70" s="369"/>
      <c r="X70" s="369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s="14" customFormat="1" ht="12.75" hidden="1" customHeight="1">
      <c r="A71" s="311"/>
      <c r="B71" s="347">
        <v>2008</v>
      </c>
      <c r="C71" s="369" t="s">
        <v>35</v>
      </c>
      <c r="D71" s="1116">
        <v>5281.1104397448808</v>
      </c>
      <c r="E71" s="1111"/>
      <c r="F71" s="1109">
        <v>427.83417254112118</v>
      </c>
      <c r="G71" s="1109"/>
      <c r="H71" s="1109">
        <v>443.37294394091975</v>
      </c>
      <c r="I71" s="1109"/>
      <c r="J71" s="1111">
        <v>19.682443773078216</v>
      </c>
      <c r="K71" s="1111"/>
      <c r="L71" s="1111">
        <v>0</v>
      </c>
      <c r="M71" s="1016" t="s">
        <v>43</v>
      </c>
      <c r="N71" s="1016"/>
      <c r="O71" s="1107">
        <f t="shared" si="5"/>
        <v>6172</v>
      </c>
      <c r="P71" s="1104"/>
      <c r="Q71" s="311"/>
      <c r="R71" s="311"/>
      <c r="S71" s="311"/>
      <c r="T71" s="311"/>
      <c r="U71" s="347">
        <v>2008</v>
      </c>
      <c r="V71" s="348" t="s">
        <v>78</v>
      </c>
      <c r="W71" s="369"/>
      <c r="X71" s="369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294"/>
      <c r="AT71" s="294"/>
      <c r="AU71" s="294"/>
      <c r="AV71" s="294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</row>
    <row r="72" spans="1:76" s="14" customFormat="1" ht="12.75" hidden="1" customHeight="1">
      <c r="A72" s="311"/>
      <c r="B72" s="347">
        <v>2008</v>
      </c>
      <c r="C72" s="369" t="s">
        <v>4</v>
      </c>
      <c r="D72" s="1116">
        <v>4707.0642551166111</v>
      </c>
      <c r="E72" s="1111"/>
      <c r="F72" s="1109">
        <v>821.13152467079169</v>
      </c>
      <c r="G72" s="1109"/>
      <c r="H72" s="1109">
        <v>957.29906393780743</v>
      </c>
      <c r="I72" s="1109"/>
      <c r="J72" s="1111">
        <v>16.505156274789783</v>
      </c>
      <c r="K72" s="1111"/>
      <c r="L72" s="1111">
        <v>0</v>
      </c>
      <c r="M72" s="1016" t="s">
        <v>43</v>
      </c>
      <c r="N72" s="1016"/>
      <c r="O72" s="1107">
        <f t="shared" si="5"/>
        <v>6502</v>
      </c>
      <c r="P72" s="1104"/>
      <c r="Q72" s="311"/>
      <c r="R72" s="311"/>
      <c r="S72" s="311"/>
      <c r="T72" s="311"/>
      <c r="U72" s="347">
        <v>2008</v>
      </c>
      <c r="V72" s="348" t="s">
        <v>79</v>
      </c>
      <c r="W72" s="369"/>
      <c r="X72" s="369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294"/>
      <c r="AT72" s="294"/>
      <c r="AU72" s="294"/>
      <c r="AV72" s="294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</row>
    <row r="73" spans="1:76" s="14" customFormat="1" ht="12.75" hidden="1" customHeight="1">
      <c r="A73" s="311"/>
      <c r="B73" s="347">
        <v>2008</v>
      </c>
      <c r="C73" s="369" t="s">
        <v>30</v>
      </c>
      <c r="D73" s="1116">
        <v>5952.175028872065</v>
      </c>
      <c r="E73" s="1111"/>
      <c r="F73" s="1109">
        <v>931.86962658796358</v>
      </c>
      <c r="G73" s="1109"/>
      <c r="H73" s="1109">
        <v>1133.5506223533941</v>
      </c>
      <c r="I73" s="1109"/>
      <c r="J73" s="1111">
        <v>42.4047221865777</v>
      </c>
      <c r="K73" s="1111"/>
      <c r="L73" s="1111">
        <v>0</v>
      </c>
      <c r="M73" s="1016" t="s">
        <v>43</v>
      </c>
      <c r="N73" s="1016"/>
      <c r="O73" s="1107">
        <f t="shared" si="5"/>
        <v>8060</v>
      </c>
      <c r="P73" s="1104"/>
      <c r="Q73" s="311"/>
      <c r="R73" s="311"/>
      <c r="S73" s="311"/>
      <c r="T73" s="311"/>
      <c r="U73" s="347">
        <v>2008</v>
      </c>
      <c r="V73" s="348" t="s">
        <v>80</v>
      </c>
      <c r="W73" s="369"/>
      <c r="X73" s="369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294"/>
      <c r="AT73" s="294"/>
      <c r="AU73" s="294"/>
      <c r="AV73" s="294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</row>
    <row r="74" spans="1:76" s="14" customFormat="1" ht="12.75" hidden="1" customHeight="1">
      <c r="A74" s="311"/>
      <c r="B74" s="347">
        <v>2008</v>
      </c>
      <c r="C74" s="369" t="s">
        <v>36</v>
      </c>
      <c r="D74" s="1116">
        <v>7643.0408537242647</v>
      </c>
      <c r="E74" s="1111"/>
      <c r="F74" s="1109">
        <v>834.25385361647079</v>
      </c>
      <c r="G74" s="1109"/>
      <c r="H74" s="1109">
        <v>994.72685135280801</v>
      </c>
      <c r="I74" s="1109"/>
      <c r="J74" s="1111">
        <v>70.97844130645683</v>
      </c>
      <c r="K74" s="1111"/>
      <c r="L74" s="1111">
        <v>0</v>
      </c>
      <c r="M74" s="1016" t="s">
        <v>43</v>
      </c>
      <c r="N74" s="1016"/>
      <c r="O74" s="1107">
        <f t="shared" si="5"/>
        <v>9543.0000000000018</v>
      </c>
      <c r="P74" s="1104"/>
      <c r="Q74" s="311"/>
      <c r="R74" s="311"/>
      <c r="S74" s="311"/>
      <c r="T74" s="311"/>
      <c r="U74" s="347">
        <v>2008</v>
      </c>
      <c r="V74" s="348" t="s">
        <v>81</v>
      </c>
      <c r="W74" s="369"/>
      <c r="X74" s="369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294"/>
      <c r="AT74" s="294"/>
      <c r="AU74" s="294"/>
      <c r="AV74" s="294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</row>
    <row r="75" spans="1:76" s="14" customFormat="1" ht="12.75" hidden="1" customHeight="1">
      <c r="A75" s="311"/>
      <c r="B75" s="347">
        <v>2008</v>
      </c>
      <c r="C75" s="369" t="s">
        <v>37</v>
      </c>
      <c r="D75" s="1116">
        <v>6785.0066666666662</v>
      </c>
      <c r="E75" s="1111"/>
      <c r="F75" s="1109">
        <v>701.8617543859649</v>
      </c>
      <c r="G75" s="1109"/>
      <c r="H75" s="1109">
        <v>1279.1996491228069</v>
      </c>
      <c r="I75" s="1109"/>
      <c r="J75" s="1111">
        <v>32.931929824561401</v>
      </c>
      <c r="K75" s="1111"/>
      <c r="L75" s="1111">
        <v>0</v>
      </c>
      <c r="M75" s="1016" t="s">
        <v>43</v>
      </c>
      <c r="N75" s="1016"/>
      <c r="O75" s="1107">
        <f t="shared" si="5"/>
        <v>8798.9999999999982</v>
      </c>
      <c r="P75" s="1104"/>
      <c r="Q75" s="311"/>
      <c r="R75" s="311"/>
      <c r="S75" s="311"/>
      <c r="T75" s="311"/>
      <c r="U75" s="347">
        <v>2008</v>
      </c>
      <c r="V75" s="348" t="s">
        <v>82</v>
      </c>
      <c r="W75" s="369"/>
      <c r="X75" s="369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294"/>
      <c r="AT75" s="294"/>
      <c r="AU75" s="294"/>
      <c r="AV75" s="294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</row>
    <row r="76" spans="1:76" s="14" customFormat="1" ht="12.75" hidden="1" customHeight="1">
      <c r="A76" s="311"/>
      <c r="B76" s="347">
        <v>2008</v>
      </c>
      <c r="C76" s="369" t="s">
        <v>31</v>
      </c>
      <c r="D76" s="1116">
        <v>7687.8697962798933</v>
      </c>
      <c r="E76" s="1111"/>
      <c r="F76" s="1109">
        <v>538.56200177147923</v>
      </c>
      <c r="G76" s="1109"/>
      <c r="H76" s="1109">
        <v>971.26162533215233</v>
      </c>
      <c r="I76" s="1109"/>
      <c r="J76" s="1111">
        <v>85.306576616474757</v>
      </c>
      <c r="K76" s="1111"/>
      <c r="L76" s="1111">
        <v>0</v>
      </c>
      <c r="M76" s="1016" t="s">
        <v>43</v>
      </c>
      <c r="N76" s="1016"/>
      <c r="O76" s="1107">
        <f t="shared" si="5"/>
        <v>9283</v>
      </c>
      <c r="P76" s="1104"/>
      <c r="Q76" s="311"/>
      <c r="R76" s="311"/>
      <c r="S76" s="311"/>
      <c r="T76" s="311"/>
      <c r="U76" s="347">
        <v>2008</v>
      </c>
      <c r="V76" s="348" t="s">
        <v>31</v>
      </c>
      <c r="W76" s="369"/>
      <c r="X76" s="369"/>
      <c r="Y76" s="294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  <c r="AO76" s="294"/>
      <c r="AP76" s="294"/>
      <c r="AQ76" s="294"/>
      <c r="AR76" s="294"/>
      <c r="AS76" s="294"/>
      <c r="AT76" s="294"/>
      <c r="AU76" s="294"/>
      <c r="AV76" s="294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</row>
    <row r="77" spans="1:76" s="14" customFormat="1" ht="12.75" hidden="1" customHeight="1">
      <c r="A77" s="311"/>
      <c r="B77" s="347">
        <v>2008</v>
      </c>
      <c r="C77" s="369" t="s">
        <v>38</v>
      </c>
      <c r="D77" s="1116">
        <v>6751.2905569007262</v>
      </c>
      <c r="E77" s="1111"/>
      <c r="F77" s="1109">
        <v>521.91767554479418</v>
      </c>
      <c r="G77" s="1109"/>
      <c r="H77" s="1109">
        <v>1085.6295399515739</v>
      </c>
      <c r="I77" s="1109"/>
      <c r="J77" s="1111">
        <v>61.162227602905567</v>
      </c>
      <c r="K77" s="1111"/>
      <c r="L77" s="1111">
        <v>0</v>
      </c>
      <c r="M77" s="1016" t="s">
        <v>43</v>
      </c>
      <c r="N77" s="1016"/>
      <c r="O77" s="1107">
        <f t="shared" si="5"/>
        <v>8420</v>
      </c>
      <c r="P77" s="1104"/>
      <c r="Q77" s="311"/>
      <c r="R77" s="311"/>
      <c r="S77" s="311"/>
      <c r="T77" s="311"/>
      <c r="U77" s="347">
        <v>2008</v>
      </c>
      <c r="V77" s="348" t="s">
        <v>50</v>
      </c>
      <c r="W77" s="369"/>
      <c r="X77" s="369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294"/>
      <c r="AT77" s="294"/>
      <c r="AU77" s="294"/>
      <c r="AV77" s="294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</row>
    <row r="78" spans="1:76" s="14" customFormat="1" ht="12.75" hidden="1" customHeight="1">
      <c r="A78" s="311"/>
      <c r="B78" s="347">
        <v>2008</v>
      </c>
      <c r="C78" s="369" t="s">
        <v>39</v>
      </c>
      <c r="D78" s="1116">
        <v>6095.1910459282135</v>
      </c>
      <c r="E78" s="1111"/>
      <c r="F78" s="1109">
        <v>597.26746429949822</v>
      </c>
      <c r="G78" s="1109"/>
      <c r="H78" s="1109">
        <v>1150.6332175479222</v>
      </c>
      <c r="I78" s="1109"/>
      <c r="J78" s="1111">
        <v>92.908272224366399</v>
      </c>
      <c r="K78" s="1111"/>
      <c r="L78" s="1111">
        <v>0</v>
      </c>
      <c r="M78" s="1016" t="s">
        <v>43</v>
      </c>
      <c r="N78" s="1016"/>
      <c r="O78" s="1107">
        <f t="shared" si="5"/>
        <v>7936</v>
      </c>
      <c r="P78" s="1104"/>
      <c r="Q78" s="311"/>
      <c r="R78" s="311"/>
      <c r="S78" s="311"/>
      <c r="T78" s="311"/>
      <c r="U78" s="347">
        <v>2008</v>
      </c>
      <c r="V78" s="348" t="s">
        <v>39</v>
      </c>
      <c r="W78" s="369"/>
      <c r="X78" s="369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4"/>
      <c r="AS78" s="294"/>
      <c r="AT78" s="294"/>
      <c r="AU78" s="294"/>
      <c r="AV78" s="294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</row>
    <row r="79" spans="1:76" s="14" customFormat="1" ht="12.75" hidden="1" customHeight="1">
      <c r="A79" s="311"/>
      <c r="B79" s="347">
        <v>2008</v>
      </c>
      <c r="C79" s="369" t="s">
        <v>32</v>
      </c>
      <c r="D79" s="1116">
        <v>6510.1065434200927</v>
      </c>
      <c r="E79" s="1111"/>
      <c r="F79" s="1109">
        <v>1294.0296764777427</v>
      </c>
      <c r="G79" s="1109"/>
      <c r="H79" s="1109">
        <v>560.43882267088304</v>
      </c>
      <c r="I79" s="1109"/>
      <c r="J79" s="1111">
        <v>59.424957431281925</v>
      </c>
      <c r="K79" s="1111"/>
      <c r="L79" s="1111">
        <v>0</v>
      </c>
      <c r="M79" s="1016" t="s">
        <v>43</v>
      </c>
      <c r="N79" s="1016"/>
      <c r="O79" s="1107">
        <f t="shared" si="5"/>
        <v>8424</v>
      </c>
      <c r="P79" s="1104"/>
      <c r="Q79" s="311"/>
      <c r="R79" s="311"/>
      <c r="S79" s="311"/>
      <c r="T79" s="311"/>
      <c r="U79" s="347">
        <v>2008</v>
      </c>
      <c r="V79" s="348" t="s">
        <v>32</v>
      </c>
      <c r="W79" s="369"/>
      <c r="X79" s="369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4"/>
      <c r="AS79" s="294"/>
      <c r="AT79" s="294"/>
      <c r="AU79" s="294"/>
      <c r="AV79" s="294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</row>
    <row r="80" spans="1:76" s="14" customFormat="1" ht="12.75" hidden="1" customHeight="1">
      <c r="A80" s="311"/>
      <c r="B80" s="347">
        <v>2009</v>
      </c>
      <c r="C80" s="369" t="s">
        <v>33</v>
      </c>
      <c r="D80" s="1106">
        <v>6870.0384189139268</v>
      </c>
      <c r="E80" s="1103"/>
      <c r="F80" s="965">
        <v>762.09235315847798</v>
      </c>
      <c r="G80" s="965"/>
      <c r="H80" s="965">
        <v>577.68230513483559</v>
      </c>
      <c r="I80" s="965"/>
      <c r="J80" s="1103">
        <v>64.186922792759518</v>
      </c>
      <c r="K80" s="1103"/>
      <c r="L80" s="1111">
        <v>0</v>
      </c>
      <c r="M80" s="965" t="s">
        <v>43</v>
      </c>
      <c r="N80" s="965"/>
      <c r="O80" s="1103">
        <f t="shared" ref="O80:O108" si="6">SUM(D80:M80)</f>
        <v>8274</v>
      </c>
      <c r="P80" s="1118"/>
      <c r="Q80" s="369"/>
      <c r="R80" s="369"/>
      <c r="S80" s="369"/>
      <c r="T80" s="369"/>
      <c r="U80" s="347">
        <v>2009</v>
      </c>
      <c r="V80" s="349" t="s">
        <v>33</v>
      </c>
      <c r="W80" s="369"/>
      <c r="X80" s="369"/>
      <c r="Y80" s="596"/>
      <c r="Z80" s="596"/>
      <c r="AA80" s="596"/>
      <c r="AB80" s="596"/>
      <c r="AC80" s="596"/>
      <c r="AD80" s="596"/>
      <c r="AE80" s="596"/>
      <c r="AF80" s="596"/>
      <c r="AG80" s="596"/>
      <c r="AH80" s="596"/>
      <c r="AI80" s="596"/>
      <c r="AJ80" s="596"/>
      <c r="AK80" s="596"/>
      <c r="AL80" s="596"/>
      <c r="AM80" s="596"/>
      <c r="AN80" s="596"/>
      <c r="AO80" s="596"/>
      <c r="AP80" s="596"/>
      <c r="AQ80" s="596"/>
      <c r="AR80" s="596"/>
      <c r="AS80" s="596"/>
      <c r="AT80" s="596"/>
      <c r="AU80" s="596"/>
      <c r="AV80" s="596"/>
      <c r="AW80" s="597"/>
      <c r="AX80" s="597"/>
      <c r="AY80" s="597"/>
      <c r="AZ80" s="597"/>
      <c r="BA80" s="597"/>
      <c r="BB80" s="597"/>
      <c r="BC80" s="597"/>
      <c r="BD80" s="597"/>
      <c r="BE80" s="597"/>
      <c r="BF80" s="597"/>
      <c r="BG80" s="597"/>
      <c r="BH80" s="597"/>
      <c r="BI80" s="597"/>
      <c r="BJ80" s="597"/>
      <c r="BK80" s="597"/>
      <c r="BL80" s="597"/>
      <c r="BM80" s="597"/>
      <c r="BN80" s="597"/>
      <c r="BO80" s="597"/>
      <c r="BP80" s="597"/>
      <c r="BQ80" s="597"/>
      <c r="BR80" s="597"/>
      <c r="BS80" s="597"/>
      <c r="BT80" s="597"/>
      <c r="BU80" s="597"/>
      <c r="BV80" s="597"/>
      <c r="BW80" s="597"/>
      <c r="BX80" s="597"/>
    </row>
    <row r="81" spans="1:76" s="14" customFormat="1" ht="12.75" hidden="1" customHeight="1">
      <c r="A81" s="311"/>
      <c r="B81" s="347">
        <v>2009</v>
      </c>
      <c r="C81" s="369" t="s">
        <v>34</v>
      </c>
      <c r="D81" s="1106">
        <v>4476.3273604410751</v>
      </c>
      <c r="E81" s="1103"/>
      <c r="F81" s="965">
        <v>535.89834596829769</v>
      </c>
      <c r="G81" s="965"/>
      <c r="H81" s="965">
        <v>712.83631977946243</v>
      </c>
      <c r="I81" s="965"/>
      <c r="J81" s="1103">
        <v>54.911784975878703</v>
      </c>
      <c r="K81" s="1103"/>
      <c r="L81" s="1117">
        <v>122.02618883528601</v>
      </c>
      <c r="M81" s="965" t="s">
        <v>43</v>
      </c>
      <c r="N81" s="965"/>
      <c r="O81" s="1103">
        <f t="shared" si="6"/>
        <v>5902</v>
      </c>
      <c r="P81" s="1118"/>
      <c r="Q81" s="369"/>
      <c r="R81" s="369"/>
      <c r="S81" s="369"/>
      <c r="T81" s="369"/>
      <c r="U81" s="347">
        <v>2009</v>
      </c>
      <c r="V81" s="349" t="s">
        <v>77</v>
      </c>
      <c r="W81" s="369"/>
      <c r="X81" s="369"/>
      <c r="Y81" s="596"/>
      <c r="Z81" s="596"/>
      <c r="AA81" s="596"/>
      <c r="AB81" s="596"/>
      <c r="AC81" s="596"/>
      <c r="AD81" s="596"/>
      <c r="AE81" s="596"/>
      <c r="AF81" s="596"/>
      <c r="AG81" s="596"/>
      <c r="AH81" s="596"/>
      <c r="AI81" s="596"/>
      <c r="AJ81" s="596"/>
      <c r="AK81" s="596"/>
      <c r="AL81" s="596"/>
      <c r="AM81" s="596"/>
      <c r="AN81" s="596"/>
      <c r="AO81" s="596"/>
      <c r="AP81" s="596"/>
      <c r="AQ81" s="596"/>
      <c r="AR81" s="596"/>
      <c r="AS81" s="596"/>
      <c r="AT81" s="596"/>
      <c r="AU81" s="596"/>
      <c r="AV81" s="596"/>
      <c r="AW81" s="597"/>
      <c r="AX81" s="597"/>
      <c r="AY81" s="597"/>
      <c r="AZ81" s="597"/>
      <c r="BA81" s="597"/>
      <c r="BB81" s="597"/>
      <c r="BC81" s="597"/>
      <c r="BD81" s="597"/>
      <c r="BE81" s="597"/>
      <c r="BF81" s="597"/>
      <c r="BG81" s="597"/>
      <c r="BH81" s="597"/>
      <c r="BI81" s="597"/>
      <c r="BJ81" s="597"/>
      <c r="BK81" s="597"/>
      <c r="BL81" s="597"/>
      <c r="BM81" s="597"/>
      <c r="BN81" s="597"/>
      <c r="BO81" s="597"/>
      <c r="BP81" s="597"/>
      <c r="BQ81" s="597"/>
      <c r="BR81" s="597"/>
      <c r="BS81" s="597"/>
      <c r="BT81" s="597"/>
      <c r="BU81" s="597"/>
      <c r="BV81" s="597"/>
      <c r="BW81" s="597"/>
      <c r="BX81" s="597"/>
    </row>
    <row r="82" spans="1:76" s="14" customFormat="1" ht="12.75" hidden="1" customHeight="1">
      <c r="A82" s="311"/>
      <c r="B82" s="347">
        <v>2009</v>
      </c>
      <c r="C82" s="369" t="s">
        <v>29</v>
      </c>
      <c r="D82" s="1106">
        <v>5250.4841713221604</v>
      </c>
      <c r="E82" s="1103"/>
      <c r="F82" s="965">
        <v>421.25977653631287</v>
      </c>
      <c r="G82" s="965"/>
      <c r="H82" s="965">
        <v>755.01148355058967</v>
      </c>
      <c r="I82" s="965"/>
      <c r="J82" s="1103">
        <v>48.841713221601488</v>
      </c>
      <c r="K82" s="1103"/>
      <c r="L82" s="1117">
        <v>81.402855369335811</v>
      </c>
      <c r="M82" s="965" t="s">
        <v>43</v>
      </c>
      <c r="N82" s="965"/>
      <c r="O82" s="1103">
        <f t="shared" si="6"/>
        <v>6557.0000000000009</v>
      </c>
      <c r="P82" s="1118"/>
      <c r="Q82" s="369"/>
      <c r="R82" s="369"/>
      <c r="S82" s="369"/>
      <c r="T82" s="369"/>
      <c r="U82" s="347">
        <v>2009</v>
      </c>
      <c r="V82" s="349" t="s">
        <v>29</v>
      </c>
      <c r="W82" s="369"/>
      <c r="X82" s="369"/>
      <c r="Y82" s="596"/>
      <c r="Z82" s="596"/>
      <c r="AA82" s="596"/>
      <c r="AB82" s="596"/>
      <c r="AC82" s="596"/>
      <c r="AD82" s="596"/>
      <c r="AE82" s="596"/>
      <c r="AF82" s="596"/>
      <c r="AG82" s="596"/>
      <c r="AH82" s="596"/>
      <c r="AI82" s="596"/>
      <c r="AJ82" s="596"/>
      <c r="AK82" s="596"/>
      <c r="AL82" s="596"/>
      <c r="AM82" s="596"/>
      <c r="AN82" s="596"/>
      <c r="AO82" s="596"/>
      <c r="AP82" s="596"/>
      <c r="AQ82" s="596"/>
      <c r="AR82" s="596"/>
      <c r="AS82" s="596"/>
      <c r="AT82" s="596"/>
      <c r="AU82" s="596"/>
      <c r="AV82" s="596"/>
      <c r="AW82" s="597"/>
      <c r="AX82" s="597"/>
      <c r="AY82" s="597"/>
      <c r="AZ82" s="597"/>
      <c r="BA82" s="597"/>
      <c r="BB82" s="597"/>
      <c r="BC82" s="597"/>
      <c r="BD82" s="597"/>
      <c r="BE82" s="597"/>
      <c r="BF82" s="597"/>
      <c r="BG82" s="597"/>
      <c r="BH82" s="597"/>
      <c r="BI82" s="597"/>
      <c r="BJ82" s="597"/>
      <c r="BK82" s="597"/>
      <c r="BL82" s="597"/>
      <c r="BM82" s="597"/>
      <c r="BN82" s="597"/>
      <c r="BO82" s="597"/>
      <c r="BP82" s="597"/>
      <c r="BQ82" s="597"/>
      <c r="BR82" s="597"/>
      <c r="BS82" s="597"/>
      <c r="BT82" s="597"/>
      <c r="BU82" s="597"/>
      <c r="BV82" s="597"/>
      <c r="BW82" s="597"/>
      <c r="BX82" s="597"/>
    </row>
    <row r="83" spans="1:76" s="14" customFormat="1" ht="12.75" hidden="1" customHeight="1">
      <c r="A83" s="311"/>
      <c r="B83" s="347">
        <v>2009</v>
      </c>
      <c r="C83" s="369" t="s">
        <v>35</v>
      </c>
      <c r="D83" s="1106">
        <v>5986.9138710119132</v>
      </c>
      <c r="E83" s="1103"/>
      <c r="F83" s="965">
        <v>624.42722168971659</v>
      </c>
      <c r="G83" s="965"/>
      <c r="H83" s="965">
        <v>780.27769409831581</v>
      </c>
      <c r="I83" s="965"/>
      <c r="J83" s="1103">
        <v>56.393263042585239</v>
      </c>
      <c r="K83" s="1103"/>
      <c r="L83" s="1117">
        <v>39.987950157469534</v>
      </c>
      <c r="M83" s="965" t="s">
        <v>43</v>
      </c>
      <c r="N83" s="965"/>
      <c r="O83" s="965">
        <f t="shared" si="6"/>
        <v>7488.0000000000009</v>
      </c>
      <c r="P83" s="1011"/>
      <c r="Q83" s="369"/>
      <c r="R83" s="369"/>
      <c r="S83" s="369"/>
      <c r="T83" s="369"/>
      <c r="U83" s="347">
        <v>2009</v>
      </c>
      <c r="V83" s="349" t="s">
        <v>78</v>
      </c>
      <c r="W83" s="369"/>
      <c r="X83" s="369"/>
      <c r="Y83" s="596"/>
      <c r="Z83" s="596"/>
      <c r="AA83" s="596"/>
      <c r="AB83" s="596"/>
      <c r="AC83" s="596"/>
      <c r="AD83" s="596"/>
      <c r="AE83" s="596"/>
      <c r="AF83" s="596"/>
      <c r="AG83" s="596"/>
      <c r="AH83" s="596"/>
      <c r="AI83" s="596"/>
      <c r="AJ83" s="596"/>
      <c r="AK83" s="596"/>
      <c r="AL83" s="596"/>
      <c r="AM83" s="596"/>
      <c r="AN83" s="596"/>
      <c r="AO83" s="596"/>
      <c r="AP83" s="596"/>
      <c r="AQ83" s="596"/>
      <c r="AR83" s="596"/>
      <c r="AS83" s="596"/>
      <c r="AT83" s="596"/>
      <c r="AU83" s="596"/>
      <c r="AV83" s="596"/>
      <c r="AW83" s="597"/>
      <c r="AX83" s="597"/>
      <c r="AY83" s="597"/>
      <c r="AZ83" s="597"/>
      <c r="BA83" s="597"/>
      <c r="BB83" s="597"/>
      <c r="BC83" s="597"/>
      <c r="BD83" s="597"/>
      <c r="BE83" s="597"/>
      <c r="BF83" s="597"/>
      <c r="BG83" s="597"/>
      <c r="BH83" s="597"/>
      <c r="BI83" s="597"/>
      <c r="BJ83" s="597"/>
      <c r="BK83" s="597"/>
      <c r="BL83" s="597"/>
      <c r="BM83" s="597"/>
      <c r="BN83" s="597"/>
      <c r="BO83" s="597"/>
      <c r="BP83" s="597"/>
      <c r="BQ83" s="597"/>
      <c r="BR83" s="597"/>
      <c r="BS83" s="597"/>
      <c r="BT83" s="597"/>
      <c r="BU83" s="597"/>
      <c r="BV83" s="597"/>
      <c r="BW83" s="597"/>
      <c r="BX83" s="597"/>
    </row>
    <row r="84" spans="1:76" s="14" customFormat="1" ht="12.75" hidden="1" customHeight="1">
      <c r="A84" s="311"/>
      <c r="B84" s="347">
        <v>2009</v>
      </c>
      <c r="C84" s="369" t="s">
        <v>4</v>
      </c>
      <c r="D84" s="1106">
        <v>5835.5834375434206</v>
      </c>
      <c r="E84" s="1103"/>
      <c r="F84" s="965">
        <v>446.53299986105321</v>
      </c>
      <c r="G84" s="965"/>
      <c r="H84" s="965">
        <v>1033.0546060858692</v>
      </c>
      <c r="I84" s="965"/>
      <c r="J84" s="1103">
        <v>38.828956509656798</v>
      </c>
      <c r="K84" s="1103"/>
      <c r="L84" s="1117">
        <v>0</v>
      </c>
      <c r="M84" s="965" t="s">
        <v>43</v>
      </c>
      <c r="N84" s="965"/>
      <c r="O84" s="1103">
        <f t="shared" si="6"/>
        <v>7354</v>
      </c>
      <c r="P84" s="1118"/>
      <c r="Q84" s="369"/>
      <c r="R84" s="369"/>
      <c r="S84" s="369"/>
      <c r="T84" s="369"/>
      <c r="U84" s="347">
        <v>2009</v>
      </c>
      <c r="V84" s="349" t="s">
        <v>79</v>
      </c>
      <c r="W84" s="369"/>
      <c r="X84" s="369"/>
      <c r="Y84" s="596"/>
      <c r="Z84" s="596"/>
      <c r="AA84" s="596"/>
      <c r="AB84" s="596"/>
      <c r="AC84" s="596"/>
      <c r="AD84" s="596"/>
      <c r="AE84" s="596"/>
      <c r="AF84" s="596"/>
      <c r="AG84" s="596"/>
      <c r="AH84" s="596"/>
      <c r="AI84" s="596"/>
      <c r="AJ84" s="596"/>
      <c r="AK84" s="596"/>
      <c r="AL84" s="596"/>
      <c r="AM84" s="596"/>
      <c r="AN84" s="596"/>
      <c r="AO84" s="596"/>
      <c r="AP84" s="596"/>
      <c r="AQ84" s="596"/>
      <c r="AR84" s="596"/>
      <c r="AS84" s="596"/>
      <c r="AT84" s="596"/>
      <c r="AU84" s="596"/>
      <c r="AV84" s="596"/>
      <c r="AW84" s="597"/>
      <c r="AX84" s="597"/>
      <c r="AY84" s="597"/>
      <c r="AZ84" s="597"/>
      <c r="BA84" s="597"/>
      <c r="BB84" s="597"/>
      <c r="BC84" s="597"/>
      <c r="BD84" s="597"/>
      <c r="BE84" s="597"/>
      <c r="BF84" s="597"/>
      <c r="BG84" s="597"/>
      <c r="BH84" s="597"/>
      <c r="BI84" s="597"/>
      <c r="BJ84" s="597"/>
      <c r="BK84" s="597"/>
      <c r="BL84" s="597"/>
      <c r="BM84" s="597"/>
      <c r="BN84" s="597"/>
      <c r="BO84" s="597"/>
      <c r="BP84" s="597"/>
      <c r="BQ84" s="597"/>
      <c r="BR84" s="597"/>
      <c r="BS84" s="597"/>
      <c r="BT84" s="597"/>
      <c r="BU84" s="597"/>
      <c r="BV84" s="597"/>
      <c r="BW84" s="597"/>
      <c r="BX84" s="597"/>
    </row>
    <row r="85" spans="1:76" s="14" customFormat="1" ht="12.75" hidden="1" customHeight="1">
      <c r="A85" s="311"/>
      <c r="B85" s="347">
        <v>2009</v>
      </c>
      <c r="C85" s="369" t="s">
        <v>30</v>
      </c>
      <c r="D85" s="1106">
        <v>5825.588995414756</v>
      </c>
      <c r="E85" s="1103"/>
      <c r="F85" s="965">
        <v>869.4597749062109</v>
      </c>
      <c r="G85" s="965"/>
      <c r="H85" s="965">
        <v>786.05835764902042</v>
      </c>
      <c r="I85" s="965"/>
      <c r="J85" s="1103">
        <v>21.892872030012505</v>
      </c>
      <c r="K85" s="1103"/>
      <c r="L85" s="1117" t="s">
        <v>43</v>
      </c>
      <c r="M85" s="965" t="s">
        <v>43</v>
      </c>
      <c r="N85" s="965"/>
      <c r="O85" s="1103">
        <f t="shared" si="6"/>
        <v>7503.0000000000009</v>
      </c>
      <c r="P85" s="1118"/>
      <c r="Q85" s="369"/>
      <c r="R85" s="369"/>
      <c r="S85" s="369"/>
      <c r="T85" s="369"/>
      <c r="U85" s="347">
        <v>2009</v>
      </c>
      <c r="V85" s="349" t="s">
        <v>80</v>
      </c>
      <c r="W85" s="369"/>
      <c r="X85" s="369"/>
      <c r="Y85" s="596"/>
      <c r="Z85" s="596"/>
      <c r="AA85" s="596"/>
      <c r="AB85" s="596"/>
      <c r="AC85" s="596"/>
      <c r="AD85" s="596"/>
      <c r="AE85" s="596"/>
      <c r="AF85" s="596"/>
      <c r="AG85" s="596"/>
      <c r="AH85" s="596"/>
      <c r="AI85" s="596"/>
      <c r="AJ85" s="596"/>
      <c r="AK85" s="596"/>
      <c r="AL85" s="596"/>
      <c r="AM85" s="596"/>
      <c r="AN85" s="596"/>
      <c r="AO85" s="596"/>
      <c r="AP85" s="596"/>
      <c r="AQ85" s="596"/>
      <c r="AR85" s="596"/>
      <c r="AS85" s="596"/>
      <c r="AT85" s="596"/>
      <c r="AU85" s="596"/>
      <c r="AV85" s="596"/>
      <c r="AW85" s="597"/>
      <c r="AX85" s="597"/>
      <c r="AY85" s="597"/>
      <c r="AZ85" s="597"/>
      <c r="BA85" s="597"/>
      <c r="BB85" s="597"/>
      <c r="BC85" s="597"/>
      <c r="BD85" s="597"/>
      <c r="BE85" s="597"/>
      <c r="BF85" s="597"/>
      <c r="BG85" s="597"/>
      <c r="BH85" s="597"/>
      <c r="BI85" s="597"/>
      <c r="BJ85" s="597"/>
      <c r="BK85" s="597"/>
      <c r="BL85" s="597"/>
      <c r="BM85" s="597"/>
      <c r="BN85" s="597"/>
      <c r="BO85" s="597"/>
      <c r="BP85" s="597"/>
      <c r="BQ85" s="597"/>
      <c r="BR85" s="597"/>
      <c r="BS85" s="597"/>
      <c r="BT85" s="597"/>
      <c r="BU85" s="597"/>
      <c r="BV85" s="597"/>
      <c r="BW85" s="597"/>
      <c r="BX85" s="597"/>
    </row>
    <row r="86" spans="1:76" s="14" customFormat="1" ht="12.75" hidden="1" customHeight="1">
      <c r="A86" s="311"/>
      <c r="B86" s="347">
        <v>2009</v>
      </c>
      <c r="C86" s="369" t="s">
        <v>36</v>
      </c>
      <c r="D86" s="1106">
        <v>10114</v>
      </c>
      <c r="E86" s="1103"/>
      <c r="F86" s="965">
        <v>483</v>
      </c>
      <c r="G86" s="965"/>
      <c r="H86" s="965">
        <v>822</v>
      </c>
      <c r="I86" s="965"/>
      <c r="J86" s="1103">
        <v>47</v>
      </c>
      <c r="K86" s="1103"/>
      <c r="L86" s="1117">
        <v>34</v>
      </c>
      <c r="M86" s="965" t="s">
        <v>43</v>
      </c>
      <c r="N86" s="965"/>
      <c r="O86" s="1103">
        <f t="shared" si="6"/>
        <v>11500</v>
      </c>
      <c r="P86" s="1118"/>
      <c r="Q86" s="369"/>
      <c r="R86" s="369"/>
      <c r="S86" s="369"/>
      <c r="T86" s="369"/>
      <c r="U86" s="347">
        <v>2009</v>
      </c>
      <c r="V86" s="349" t="s">
        <v>81</v>
      </c>
      <c r="W86" s="369"/>
      <c r="X86" s="369"/>
      <c r="Y86" s="596"/>
      <c r="Z86" s="596"/>
      <c r="AA86" s="596"/>
      <c r="AB86" s="596"/>
      <c r="AC86" s="596"/>
      <c r="AD86" s="596"/>
      <c r="AE86" s="596"/>
      <c r="AF86" s="596"/>
      <c r="AG86" s="596"/>
      <c r="AH86" s="596"/>
      <c r="AI86" s="596"/>
      <c r="AJ86" s="596"/>
      <c r="AK86" s="596"/>
      <c r="AL86" s="596"/>
      <c r="AM86" s="596"/>
      <c r="AN86" s="596"/>
      <c r="AO86" s="596"/>
      <c r="AP86" s="596"/>
      <c r="AQ86" s="596"/>
      <c r="AR86" s="596"/>
      <c r="AS86" s="596"/>
      <c r="AT86" s="596"/>
      <c r="AU86" s="596"/>
      <c r="AV86" s="596"/>
      <c r="AW86" s="597"/>
      <c r="AX86" s="597"/>
      <c r="AY86" s="597"/>
      <c r="AZ86" s="597"/>
      <c r="BA86" s="597"/>
      <c r="BB86" s="597"/>
      <c r="BC86" s="597"/>
      <c r="BD86" s="597"/>
      <c r="BE86" s="597"/>
      <c r="BF86" s="597"/>
      <c r="BG86" s="597"/>
      <c r="BH86" s="597"/>
      <c r="BI86" s="597"/>
      <c r="BJ86" s="597"/>
      <c r="BK86" s="597"/>
      <c r="BL86" s="597"/>
      <c r="BM86" s="597"/>
      <c r="BN86" s="597"/>
      <c r="BO86" s="597"/>
      <c r="BP86" s="597"/>
      <c r="BQ86" s="597"/>
      <c r="BR86" s="597"/>
      <c r="BS86" s="597"/>
      <c r="BT86" s="597"/>
      <c r="BU86" s="597"/>
      <c r="BV86" s="597"/>
      <c r="BW86" s="597"/>
      <c r="BX86" s="597"/>
    </row>
    <row r="87" spans="1:76" s="14" customFormat="1" ht="12.75" hidden="1" customHeight="1">
      <c r="A87" s="311"/>
      <c r="B87" s="347">
        <v>2009</v>
      </c>
      <c r="C87" s="369" t="s">
        <v>37</v>
      </c>
      <c r="D87" s="1106">
        <v>7615</v>
      </c>
      <c r="E87" s="1103"/>
      <c r="F87" s="965">
        <v>301</v>
      </c>
      <c r="G87" s="965"/>
      <c r="H87" s="965">
        <v>1090</v>
      </c>
      <c r="I87" s="965"/>
      <c r="J87" s="1103">
        <v>74</v>
      </c>
      <c r="K87" s="1103"/>
      <c r="L87" s="1117">
        <v>1</v>
      </c>
      <c r="M87" s="965" t="s">
        <v>43</v>
      </c>
      <c r="N87" s="965"/>
      <c r="O87" s="1103">
        <f t="shared" si="6"/>
        <v>9081</v>
      </c>
      <c r="P87" s="1118"/>
      <c r="Q87" s="369"/>
      <c r="R87" s="369"/>
      <c r="S87" s="369"/>
      <c r="T87" s="369"/>
      <c r="U87" s="347">
        <v>2009</v>
      </c>
      <c r="V87" s="349" t="s">
        <v>82</v>
      </c>
      <c r="W87" s="369"/>
      <c r="X87" s="369"/>
      <c r="Y87" s="596"/>
      <c r="Z87" s="596"/>
      <c r="AA87" s="596"/>
      <c r="AB87" s="596"/>
      <c r="AC87" s="596"/>
      <c r="AD87" s="596"/>
      <c r="AE87" s="596"/>
      <c r="AF87" s="596"/>
      <c r="AG87" s="596"/>
      <c r="AH87" s="596"/>
      <c r="AI87" s="596"/>
      <c r="AJ87" s="596"/>
      <c r="AK87" s="596"/>
      <c r="AL87" s="596"/>
      <c r="AM87" s="596"/>
      <c r="AN87" s="596"/>
      <c r="AO87" s="596"/>
      <c r="AP87" s="596"/>
      <c r="AQ87" s="596"/>
      <c r="AR87" s="596"/>
      <c r="AS87" s="596"/>
      <c r="AT87" s="596"/>
      <c r="AU87" s="596"/>
      <c r="AV87" s="596"/>
      <c r="AW87" s="597"/>
      <c r="AX87" s="597"/>
      <c r="AY87" s="597"/>
      <c r="AZ87" s="597"/>
      <c r="BA87" s="597"/>
      <c r="BB87" s="597"/>
      <c r="BC87" s="597"/>
      <c r="BD87" s="597"/>
      <c r="BE87" s="597"/>
      <c r="BF87" s="597"/>
      <c r="BG87" s="597"/>
      <c r="BH87" s="597"/>
      <c r="BI87" s="597"/>
      <c r="BJ87" s="597"/>
      <c r="BK87" s="597"/>
      <c r="BL87" s="597"/>
      <c r="BM87" s="597"/>
      <c r="BN87" s="597"/>
      <c r="BO87" s="597"/>
      <c r="BP87" s="597"/>
      <c r="BQ87" s="597"/>
      <c r="BR87" s="597"/>
      <c r="BS87" s="597"/>
      <c r="BT87" s="597"/>
      <c r="BU87" s="597"/>
      <c r="BV87" s="597"/>
      <c r="BW87" s="597"/>
      <c r="BX87" s="597"/>
    </row>
    <row r="88" spans="1:76" s="14" customFormat="1" ht="12.75" hidden="1" customHeight="1">
      <c r="A88" s="311"/>
      <c r="B88" s="347">
        <v>2009</v>
      </c>
      <c r="C88" s="369" t="s">
        <v>31</v>
      </c>
      <c r="D88" s="1106">
        <v>9515</v>
      </c>
      <c r="E88" s="1103"/>
      <c r="F88" s="965">
        <v>90</v>
      </c>
      <c r="G88" s="965"/>
      <c r="H88" s="965">
        <v>829</v>
      </c>
      <c r="I88" s="965"/>
      <c r="J88" s="1103">
        <v>4</v>
      </c>
      <c r="K88" s="1103"/>
      <c r="L88" s="1117">
        <v>11</v>
      </c>
      <c r="M88" s="1103">
        <v>0</v>
      </c>
      <c r="N88" s="965"/>
      <c r="O88" s="1103">
        <f t="shared" si="6"/>
        <v>10449</v>
      </c>
      <c r="P88" s="1118"/>
      <c r="Q88" s="369"/>
      <c r="R88" s="369"/>
      <c r="S88" s="369"/>
      <c r="T88" s="369"/>
      <c r="U88" s="347">
        <v>2009</v>
      </c>
      <c r="V88" s="349" t="s">
        <v>31</v>
      </c>
      <c r="W88" s="369"/>
      <c r="X88" s="369"/>
      <c r="Y88" s="596"/>
      <c r="Z88" s="596"/>
      <c r="AA88" s="596"/>
      <c r="AB88" s="596"/>
      <c r="AC88" s="596"/>
      <c r="AD88" s="596"/>
      <c r="AE88" s="596"/>
      <c r="AF88" s="596"/>
      <c r="AG88" s="596"/>
      <c r="AH88" s="596"/>
      <c r="AI88" s="596"/>
      <c r="AJ88" s="596"/>
      <c r="AK88" s="596"/>
      <c r="AL88" s="596"/>
      <c r="AM88" s="596"/>
      <c r="AN88" s="596"/>
      <c r="AO88" s="596"/>
      <c r="AP88" s="596"/>
      <c r="AQ88" s="596"/>
      <c r="AR88" s="596"/>
      <c r="AS88" s="596"/>
      <c r="AT88" s="596"/>
      <c r="AU88" s="596"/>
      <c r="AV88" s="596"/>
      <c r="AW88" s="597"/>
      <c r="AX88" s="597"/>
      <c r="AY88" s="597"/>
      <c r="AZ88" s="597"/>
      <c r="BA88" s="597"/>
      <c r="BB88" s="597"/>
      <c r="BC88" s="597"/>
      <c r="BD88" s="597"/>
      <c r="BE88" s="597"/>
      <c r="BF88" s="597"/>
      <c r="BG88" s="597"/>
      <c r="BH88" s="597"/>
      <c r="BI88" s="597"/>
      <c r="BJ88" s="597"/>
      <c r="BK88" s="597"/>
      <c r="BL88" s="597"/>
      <c r="BM88" s="597"/>
      <c r="BN88" s="597"/>
      <c r="BO88" s="597"/>
      <c r="BP88" s="597"/>
      <c r="BQ88" s="597"/>
      <c r="BR88" s="597"/>
      <c r="BS88" s="597"/>
      <c r="BT88" s="597"/>
      <c r="BU88" s="597"/>
      <c r="BV88" s="597"/>
      <c r="BW88" s="597"/>
      <c r="BX88" s="597"/>
    </row>
    <row r="89" spans="1:76" s="14" customFormat="1" ht="12.75" hidden="1" customHeight="1">
      <c r="A89" s="311"/>
      <c r="B89" s="347">
        <v>2009</v>
      </c>
      <c r="C89" s="369" t="s">
        <v>50</v>
      </c>
      <c r="D89" s="1106">
        <v>8950.4834929692279</v>
      </c>
      <c r="E89" s="1103"/>
      <c r="F89" s="965">
        <v>175.560423884247</v>
      </c>
      <c r="G89" s="965"/>
      <c r="H89" s="965">
        <v>979.00754024862442</v>
      </c>
      <c r="I89" s="965"/>
      <c r="J89" s="1103">
        <v>29.948542897900957</v>
      </c>
      <c r="K89" s="1103"/>
      <c r="L89" s="1117">
        <v>0</v>
      </c>
      <c r="M89" s="965" t="s">
        <v>43</v>
      </c>
      <c r="N89" s="965"/>
      <c r="O89" s="1103">
        <f t="shared" si="6"/>
        <v>10134.999999999998</v>
      </c>
      <c r="P89" s="1118"/>
      <c r="Q89" s="369"/>
      <c r="R89" s="369"/>
      <c r="S89" s="369"/>
      <c r="T89" s="369"/>
      <c r="U89" s="347">
        <v>2009</v>
      </c>
      <c r="V89" s="349" t="s">
        <v>50</v>
      </c>
      <c r="W89" s="369"/>
      <c r="X89" s="369"/>
      <c r="Y89" s="596"/>
      <c r="Z89" s="596"/>
      <c r="AA89" s="596"/>
      <c r="AB89" s="596"/>
      <c r="AC89" s="596"/>
      <c r="AD89" s="596"/>
      <c r="AE89" s="596"/>
      <c r="AF89" s="596"/>
      <c r="AG89" s="596"/>
      <c r="AH89" s="596"/>
      <c r="AI89" s="596"/>
      <c r="AJ89" s="596"/>
      <c r="AK89" s="596"/>
      <c r="AL89" s="596"/>
      <c r="AM89" s="596"/>
      <c r="AN89" s="596"/>
      <c r="AO89" s="596"/>
      <c r="AP89" s="596"/>
      <c r="AQ89" s="596"/>
      <c r="AR89" s="596"/>
      <c r="AS89" s="596"/>
      <c r="AT89" s="596"/>
      <c r="AU89" s="596"/>
      <c r="AV89" s="596"/>
      <c r="AW89" s="597"/>
      <c r="AX89" s="597"/>
      <c r="AY89" s="597"/>
      <c r="AZ89" s="597"/>
      <c r="BA89" s="597"/>
      <c r="BB89" s="597"/>
      <c r="BC89" s="597"/>
      <c r="BD89" s="597"/>
      <c r="BE89" s="597"/>
      <c r="BF89" s="597"/>
      <c r="BG89" s="597"/>
      <c r="BH89" s="597"/>
      <c r="BI89" s="597"/>
      <c r="BJ89" s="597"/>
      <c r="BK89" s="597"/>
      <c r="BL89" s="597"/>
      <c r="BM89" s="597"/>
      <c r="BN89" s="597"/>
      <c r="BO89" s="597"/>
      <c r="BP89" s="597"/>
      <c r="BQ89" s="597"/>
      <c r="BR89" s="597"/>
      <c r="BS89" s="597"/>
      <c r="BT89" s="597"/>
      <c r="BU89" s="597"/>
      <c r="BV89" s="597"/>
      <c r="BW89" s="597"/>
      <c r="BX89" s="597"/>
    </row>
    <row r="90" spans="1:76" s="14" customFormat="1" ht="12.75" hidden="1" customHeight="1">
      <c r="A90" s="311"/>
      <c r="B90" s="347">
        <v>2009</v>
      </c>
      <c r="C90" s="369" t="s">
        <v>39</v>
      </c>
      <c r="D90" s="1106">
        <v>6744.4999335548173</v>
      </c>
      <c r="E90" s="1103"/>
      <c r="F90" s="965">
        <v>231.39867109634551</v>
      </c>
      <c r="G90" s="965"/>
      <c r="H90" s="965">
        <v>722.99229235880398</v>
      </c>
      <c r="I90" s="965"/>
      <c r="J90" s="1103">
        <v>40.109102990033222</v>
      </c>
      <c r="K90" s="1103"/>
      <c r="L90" s="1117">
        <v>0</v>
      </c>
      <c r="M90" s="965" t="s">
        <v>43</v>
      </c>
      <c r="N90" s="965"/>
      <c r="O90" s="1103">
        <f t="shared" si="6"/>
        <v>7739</v>
      </c>
      <c r="P90" s="1118"/>
      <c r="Q90" s="369"/>
      <c r="R90" s="369"/>
      <c r="S90" s="369"/>
      <c r="T90" s="369"/>
      <c r="U90" s="347">
        <v>2009</v>
      </c>
      <c r="V90" s="349" t="s">
        <v>39</v>
      </c>
      <c r="W90" s="369"/>
      <c r="X90" s="369"/>
      <c r="Y90" s="596"/>
      <c r="Z90" s="596"/>
      <c r="AA90" s="596"/>
      <c r="AB90" s="596"/>
      <c r="AC90" s="596"/>
      <c r="AD90" s="596"/>
      <c r="AE90" s="596"/>
      <c r="AF90" s="596"/>
      <c r="AG90" s="596"/>
      <c r="AH90" s="596"/>
      <c r="AI90" s="596"/>
      <c r="AJ90" s="596"/>
      <c r="AK90" s="596"/>
      <c r="AL90" s="596"/>
      <c r="AM90" s="596"/>
      <c r="AN90" s="596"/>
      <c r="AO90" s="596"/>
      <c r="AP90" s="596"/>
      <c r="AQ90" s="596"/>
      <c r="AR90" s="596"/>
      <c r="AS90" s="596"/>
      <c r="AT90" s="596"/>
      <c r="AU90" s="596"/>
      <c r="AV90" s="596"/>
      <c r="AW90" s="597"/>
      <c r="AX90" s="597"/>
      <c r="AY90" s="597"/>
      <c r="AZ90" s="597"/>
      <c r="BA90" s="597"/>
      <c r="BB90" s="597"/>
      <c r="BC90" s="597"/>
      <c r="BD90" s="597"/>
      <c r="BE90" s="597"/>
      <c r="BF90" s="597"/>
      <c r="BG90" s="597"/>
      <c r="BH90" s="597"/>
      <c r="BI90" s="597"/>
      <c r="BJ90" s="597"/>
      <c r="BK90" s="597"/>
      <c r="BL90" s="597"/>
      <c r="BM90" s="597"/>
      <c r="BN90" s="597"/>
      <c r="BO90" s="597"/>
      <c r="BP90" s="597"/>
      <c r="BQ90" s="597"/>
      <c r="BR90" s="597"/>
      <c r="BS90" s="597"/>
      <c r="BT90" s="597"/>
      <c r="BU90" s="597"/>
      <c r="BV90" s="597"/>
      <c r="BW90" s="597"/>
      <c r="BX90" s="597"/>
    </row>
    <row r="91" spans="1:76" s="14" customFormat="1" ht="12.75" hidden="1" customHeight="1">
      <c r="A91" s="311"/>
      <c r="B91" s="347">
        <v>2009</v>
      </c>
      <c r="C91" s="369" t="s">
        <v>32</v>
      </c>
      <c r="D91" s="1106">
        <v>7772.8323025689815</v>
      </c>
      <c r="E91" s="1103"/>
      <c r="F91" s="965">
        <v>558.30399619410082</v>
      </c>
      <c r="G91" s="965"/>
      <c r="H91" s="965">
        <v>331.88070884871553</v>
      </c>
      <c r="I91" s="965"/>
      <c r="J91" s="1103">
        <v>29.982992388201712</v>
      </c>
      <c r="K91" s="1103"/>
      <c r="L91" s="1117">
        <v>0</v>
      </c>
      <c r="M91" s="965" t="s">
        <v>43</v>
      </c>
      <c r="N91" s="965"/>
      <c r="O91" s="1103">
        <f t="shared" si="6"/>
        <v>8693</v>
      </c>
      <c r="P91" s="1118"/>
      <c r="Q91" s="369"/>
      <c r="R91" s="369"/>
      <c r="S91" s="369"/>
      <c r="T91" s="369"/>
      <c r="U91" s="347">
        <v>2009</v>
      </c>
      <c r="V91" s="349" t="s">
        <v>32</v>
      </c>
      <c r="W91" s="369"/>
      <c r="X91" s="369"/>
      <c r="Y91" s="596"/>
      <c r="Z91" s="596"/>
      <c r="AA91" s="596"/>
      <c r="AB91" s="596"/>
      <c r="AC91" s="596"/>
      <c r="AD91" s="596"/>
      <c r="AE91" s="596"/>
      <c r="AF91" s="596"/>
      <c r="AG91" s="596"/>
      <c r="AH91" s="596"/>
      <c r="AI91" s="596"/>
      <c r="AJ91" s="596"/>
      <c r="AK91" s="596"/>
      <c r="AL91" s="596"/>
      <c r="AM91" s="596"/>
      <c r="AN91" s="596"/>
      <c r="AO91" s="596"/>
      <c r="AP91" s="596"/>
      <c r="AQ91" s="596"/>
      <c r="AR91" s="596"/>
      <c r="AS91" s="596"/>
      <c r="AT91" s="596"/>
      <c r="AU91" s="596"/>
      <c r="AV91" s="596"/>
      <c r="AW91" s="597"/>
      <c r="AX91" s="597"/>
      <c r="AY91" s="597"/>
      <c r="AZ91" s="597"/>
      <c r="BA91" s="597"/>
      <c r="BB91" s="597"/>
      <c r="BC91" s="597"/>
      <c r="BD91" s="597"/>
      <c r="BE91" s="597"/>
      <c r="BF91" s="597"/>
      <c r="BG91" s="597"/>
      <c r="BH91" s="597"/>
      <c r="BI91" s="597"/>
      <c r="BJ91" s="597"/>
      <c r="BK91" s="597"/>
      <c r="BL91" s="597"/>
      <c r="BM91" s="597"/>
      <c r="BN91" s="597"/>
      <c r="BO91" s="597"/>
      <c r="BP91" s="597"/>
      <c r="BQ91" s="597"/>
      <c r="BR91" s="597"/>
      <c r="BS91" s="597"/>
      <c r="BT91" s="597"/>
      <c r="BU91" s="597"/>
      <c r="BV91" s="597"/>
      <c r="BW91" s="597"/>
      <c r="BX91" s="597"/>
    </row>
    <row r="92" spans="1:76" s="14" customFormat="1" ht="12.75" hidden="1" customHeight="1">
      <c r="A92" s="311"/>
      <c r="B92" s="347">
        <v>2010</v>
      </c>
      <c r="C92" s="369" t="s">
        <v>33</v>
      </c>
      <c r="D92" s="1106">
        <v>6744.4996729033101</v>
      </c>
      <c r="E92" s="1103"/>
      <c r="F92" s="965">
        <v>426.71163155828862</v>
      </c>
      <c r="G92" s="965"/>
      <c r="H92" s="965">
        <v>558.71594923459372</v>
      </c>
      <c r="I92" s="965"/>
      <c r="J92" s="1103">
        <v>91.072746303807406</v>
      </c>
      <c r="K92" s="1103"/>
      <c r="L92" s="1117">
        <v>0</v>
      </c>
      <c r="M92" s="965" t="s">
        <v>43</v>
      </c>
      <c r="N92" s="965"/>
      <c r="O92" s="1103">
        <f t="shared" si="6"/>
        <v>7821</v>
      </c>
      <c r="P92" s="1118"/>
      <c r="Q92" s="369"/>
      <c r="R92" s="369"/>
      <c r="S92" s="369"/>
      <c r="T92" s="369"/>
      <c r="U92" s="347">
        <v>2010</v>
      </c>
      <c r="V92" s="349" t="s">
        <v>33</v>
      </c>
      <c r="W92" s="369"/>
      <c r="X92" s="369"/>
      <c r="Y92" s="596"/>
      <c r="Z92" s="596"/>
      <c r="AA92" s="596"/>
      <c r="AB92" s="596"/>
      <c r="AC92" s="596"/>
      <c r="AD92" s="596"/>
      <c r="AE92" s="596"/>
      <c r="AF92" s="596"/>
      <c r="AG92" s="596"/>
      <c r="AH92" s="596"/>
      <c r="AI92" s="596"/>
      <c r="AJ92" s="596"/>
      <c r="AK92" s="596"/>
      <c r="AL92" s="596"/>
      <c r="AM92" s="596"/>
      <c r="AN92" s="596"/>
      <c r="AO92" s="596"/>
      <c r="AP92" s="596"/>
      <c r="AQ92" s="596"/>
      <c r="AR92" s="596"/>
      <c r="AS92" s="596"/>
      <c r="AT92" s="596"/>
      <c r="AU92" s="596"/>
      <c r="AV92" s="596"/>
      <c r="AW92" s="597"/>
      <c r="AX92" s="597"/>
      <c r="AY92" s="597"/>
      <c r="AZ92" s="597"/>
      <c r="BA92" s="597"/>
      <c r="BB92" s="597"/>
      <c r="BC92" s="597"/>
      <c r="BD92" s="597"/>
      <c r="BE92" s="597"/>
      <c r="BF92" s="597"/>
      <c r="BG92" s="597"/>
      <c r="BH92" s="597"/>
      <c r="BI92" s="597"/>
      <c r="BJ92" s="597"/>
      <c r="BK92" s="597"/>
      <c r="BL92" s="597"/>
      <c r="BM92" s="597"/>
      <c r="BN92" s="597"/>
      <c r="BO92" s="597"/>
      <c r="BP92" s="597"/>
      <c r="BQ92" s="597"/>
      <c r="BR92" s="597"/>
      <c r="BS92" s="597"/>
      <c r="BT92" s="597"/>
      <c r="BU92" s="597"/>
      <c r="BV92" s="597"/>
      <c r="BW92" s="597"/>
      <c r="BX92" s="597"/>
    </row>
    <row r="93" spans="1:76" s="14" customFormat="1" ht="12.75" hidden="1" customHeight="1">
      <c r="A93" s="311"/>
      <c r="B93" s="347">
        <v>2010</v>
      </c>
      <c r="C93" s="369" t="s">
        <v>34</v>
      </c>
      <c r="D93" s="1106">
        <v>4161</v>
      </c>
      <c r="E93" s="1103"/>
      <c r="F93" s="965">
        <v>323</v>
      </c>
      <c r="G93" s="965"/>
      <c r="H93" s="965">
        <v>1060</v>
      </c>
      <c r="I93" s="965"/>
      <c r="J93" s="1103">
        <v>62</v>
      </c>
      <c r="K93" s="1103"/>
      <c r="L93" s="1117">
        <v>0</v>
      </c>
      <c r="M93" s="965" t="s">
        <v>43</v>
      </c>
      <c r="N93" s="965"/>
      <c r="O93" s="1103">
        <f t="shared" si="6"/>
        <v>5606</v>
      </c>
      <c r="P93" s="1118"/>
      <c r="Q93" s="369"/>
      <c r="R93" s="369"/>
      <c r="S93" s="369"/>
      <c r="T93" s="369"/>
      <c r="U93" s="347">
        <v>2010</v>
      </c>
      <c r="V93" s="349" t="s">
        <v>77</v>
      </c>
      <c r="W93" s="369"/>
      <c r="X93" s="369"/>
      <c r="Y93" s="596"/>
      <c r="Z93" s="596"/>
      <c r="AA93" s="596"/>
      <c r="AB93" s="596"/>
      <c r="AC93" s="596"/>
      <c r="AD93" s="596"/>
      <c r="AE93" s="596"/>
      <c r="AF93" s="596"/>
      <c r="AG93" s="596"/>
      <c r="AH93" s="596"/>
      <c r="AI93" s="596"/>
      <c r="AJ93" s="596"/>
      <c r="AK93" s="596"/>
      <c r="AL93" s="596"/>
      <c r="AM93" s="596"/>
      <c r="AN93" s="596"/>
      <c r="AO93" s="596"/>
      <c r="AP93" s="596"/>
      <c r="AQ93" s="596"/>
      <c r="AR93" s="596"/>
      <c r="AS93" s="596"/>
      <c r="AT93" s="596"/>
      <c r="AU93" s="596"/>
      <c r="AV93" s="596"/>
      <c r="AW93" s="597"/>
      <c r="AX93" s="597"/>
      <c r="AY93" s="597"/>
      <c r="AZ93" s="597"/>
      <c r="BA93" s="597"/>
      <c r="BB93" s="597"/>
      <c r="BC93" s="597"/>
      <c r="BD93" s="597"/>
      <c r="BE93" s="597"/>
      <c r="BF93" s="597"/>
      <c r="BG93" s="597"/>
      <c r="BH93" s="597"/>
      <c r="BI93" s="597"/>
      <c r="BJ93" s="597"/>
      <c r="BK93" s="597"/>
      <c r="BL93" s="597"/>
      <c r="BM93" s="597"/>
      <c r="BN93" s="597"/>
      <c r="BO93" s="597"/>
      <c r="BP93" s="597"/>
      <c r="BQ93" s="597"/>
      <c r="BR93" s="597"/>
      <c r="BS93" s="597"/>
      <c r="BT93" s="597"/>
      <c r="BU93" s="597"/>
      <c r="BV93" s="597"/>
      <c r="BW93" s="597"/>
      <c r="BX93" s="597"/>
    </row>
    <row r="94" spans="1:76" s="14" customFormat="1" ht="12.75" hidden="1" customHeight="1">
      <c r="A94" s="311"/>
      <c r="B94" s="347">
        <v>2010</v>
      </c>
      <c r="C94" s="369" t="s">
        <v>29</v>
      </c>
      <c r="D94" s="1106">
        <v>5217</v>
      </c>
      <c r="E94" s="1103"/>
      <c r="F94" s="965">
        <v>397</v>
      </c>
      <c r="G94" s="965"/>
      <c r="H94" s="965">
        <v>790</v>
      </c>
      <c r="I94" s="965"/>
      <c r="J94" s="1103">
        <v>64</v>
      </c>
      <c r="K94" s="1103"/>
      <c r="L94" s="1103">
        <v>2</v>
      </c>
      <c r="M94" s="965" t="s">
        <v>43</v>
      </c>
      <c r="N94" s="965"/>
      <c r="O94" s="1103">
        <f t="shared" si="6"/>
        <v>6470</v>
      </c>
      <c r="P94" s="1118"/>
      <c r="Q94" s="369"/>
      <c r="R94" s="369"/>
      <c r="S94" s="369"/>
      <c r="T94" s="369"/>
      <c r="U94" s="347">
        <v>2010</v>
      </c>
      <c r="V94" s="349" t="s">
        <v>29</v>
      </c>
      <c r="W94" s="369"/>
      <c r="X94" s="369"/>
      <c r="Y94" s="200"/>
      <c r="Z94" s="596"/>
      <c r="AA94" s="596"/>
      <c r="AB94" s="596"/>
      <c r="AC94" s="596"/>
      <c r="AD94" s="596"/>
      <c r="AE94" s="596"/>
      <c r="AF94" s="596"/>
      <c r="AG94" s="596"/>
      <c r="AH94" s="596"/>
      <c r="AI94" s="596"/>
      <c r="AJ94" s="596"/>
      <c r="AK94" s="596"/>
      <c r="AL94" s="596"/>
      <c r="AM94" s="596"/>
      <c r="AN94" s="596"/>
      <c r="AO94" s="596"/>
      <c r="AP94" s="596"/>
      <c r="AQ94" s="596"/>
      <c r="AR94" s="596"/>
      <c r="AS94" s="596"/>
      <c r="AT94" s="596"/>
      <c r="AU94" s="596"/>
      <c r="AV94" s="596"/>
      <c r="AW94" s="597"/>
      <c r="AX94" s="597"/>
      <c r="AY94" s="597"/>
      <c r="AZ94" s="597"/>
      <c r="BA94" s="597"/>
      <c r="BB94" s="597"/>
      <c r="BC94" s="597"/>
      <c r="BD94" s="597"/>
      <c r="BE94" s="597"/>
      <c r="BF94" s="597"/>
      <c r="BG94" s="597"/>
      <c r="BH94" s="597"/>
      <c r="BI94" s="597"/>
      <c r="BJ94" s="597"/>
      <c r="BK94" s="597"/>
      <c r="BL94" s="597"/>
      <c r="BM94" s="597"/>
      <c r="BN94" s="597"/>
      <c r="BO94" s="597"/>
      <c r="BP94" s="597"/>
      <c r="BQ94" s="597"/>
      <c r="BR94" s="597"/>
      <c r="BS94" s="597"/>
      <c r="BT94" s="597"/>
      <c r="BU94" s="597"/>
      <c r="BV94" s="597"/>
      <c r="BW94" s="597"/>
      <c r="BX94" s="597"/>
    </row>
    <row r="95" spans="1:76" s="14" customFormat="1" ht="12.75" hidden="1" customHeight="1">
      <c r="A95" s="311"/>
      <c r="B95" s="347">
        <v>2010</v>
      </c>
      <c r="C95" s="369" t="s">
        <v>35</v>
      </c>
      <c r="D95" s="1106">
        <v>5441</v>
      </c>
      <c r="E95" s="1103"/>
      <c r="F95" s="965">
        <v>349</v>
      </c>
      <c r="G95" s="965"/>
      <c r="H95" s="965">
        <v>784</v>
      </c>
      <c r="I95" s="965"/>
      <c r="J95" s="1103">
        <v>44</v>
      </c>
      <c r="K95" s="1103"/>
      <c r="L95" s="1103">
        <v>3</v>
      </c>
      <c r="M95" s="965" t="s">
        <v>43</v>
      </c>
      <c r="N95" s="965"/>
      <c r="O95" s="1103">
        <f t="shared" si="6"/>
        <v>6621</v>
      </c>
      <c r="P95" s="1118"/>
      <c r="Q95" s="369"/>
      <c r="R95" s="369"/>
      <c r="S95" s="369"/>
      <c r="T95" s="369"/>
      <c r="U95" s="347">
        <v>2010</v>
      </c>
      <c r="V95" s="349" t="s">
        <v>78</v>
      </c>
      <c r="W95" s="369"/>
      <c r="X95" s="369"/>
      <c r="Y95" s="596"/>
      <c r="Z95" s="596"/>
      <c r="AA95" s="596"/>
      <c r="AB95" s="596"/>
      <c r="AC95" s="596"/>
      <c r="AD95" s="596"/>
      <c r="AE95" s="596"/>
      <c r="AF95" s="596"/>
      <c r="AG95" s="596"/>
      <c r="AH95" s="596"/>
      <c r="AI95" s="596"/>
      <c r="AJ95" s="596"/>
      <c r="AK95" s="596"/>
      <c r="AL95" s="596"/>
      <c r="AM95" s="596"/>
      <c r="AN95" s="596"/>
      <c r="AO95" s="596"/>
      <c r="AP95" s="596"/>
      <c r="AQ95" s="596"/>
      <c r="AR95" s="596"/>
      <c r="AS95" s="596"/>
      <c r="AT95" s="596"/>
      <c r="AU95" s="596"/>
      <c r="AV95" s="596"/>
      <c r="AW95" s="597"/>
      <c r="AX95" s="597"/>
      <c r="AY95" s="597"/>
      <c r="AZ95" s="597"/>
      <c r="BA95" s="597"/>
      <c r="BB95" s="597"/>
      <c r="BC95" s="597"/>
      <c r="BD95" s="597"/>
      <c r="BE95" s="597"/>
      <c r="BF95" s="597"/>
      <c r="BG95" s="597"/>
      <c r="BH95" s="597"/>
      <c r="BI95" s="597"/>
      <c r="BJ95" s="597"/>
      <c r="BK95" s="597"/>
      <c r="BL95" s="597"/>
      <c r="BM95" s="597"/>
      <c r="BN95" s="597"/>
      <c r="BO95" s="597"/>
      <c r="BP95" s="597"/>
      <c r="BQ95" s="597"/>
      <c r="BR95" s="597"/>
      <c r="BS95" s="597"/>
      <c r="BT95" s="597"/>
      <c r="BU95" s="597"/>
      <c r="BV95" s="597"/>
      <c r="BW95" s="597"/>
      <c r="BX95" s="597"/>
    </row>
    <row r="96" spans="1:76" s="14" customFormat="1" ht="12.75" hidden="1" customHeight="1">
      <c r="A96" s="311"/>
      <c r="B96" s="347">
        <v>2010</v>
      </c>
      <c r="C96" s="369" t="s">
        <v>4</v>
      </c>
      <c r="D96" s="1106">
        <v>5495</v>
      </c>
      <c r="E96" s="1103"/>
      <c r="F96" s="965">
        <v>415</v>
      </c>
      <c r="G96" s="965"/>
      <c r="H96" s="965">
        <v>908</v>
      </c>
      <c r="I96" s="965"/>
      <c r="J96" s="1103">
        <v>42</v>
      </c>
      <c r="K96" s="1103"/>
      <c r="L96" s="1103">
        <v>7</v>
      </c>
      <c r="M96" s="965" t="s">
        <v>43</v>
      </c>
      <c r="N96" s="965"/>
      <c r="O96" s="1103">
        <f t="shared" si="6"/>
        <v>6867</v>
      </c>
      <c r="P96" s="1118"/>
      <c r="Q96" s="369"/>
      <c r="R96" s="369"/>
      <c r="S96" s="369"/>
      <c r="T96" s="369"/>
      <c r="U96" s="347">
        <v>2010</v>
      </c>
      <c r="V96" s="349" t="s">
        <v>79</v>
      </c>
      <c r="W96" s="369"/>
      <c r="X96" s="369"/>
      <c r="Y96" s="596"/>
      <c r="Z96" s="596"/>
      <c r="AA96" s="596"/>
      <c r="AB96" s="596"/>
      <c r="AC96" s="596"/>
      <c r="AD96" s="596"/>
      <c r="AE96" s="596"/>
      <c r="AF96" s="596"/>
      <c r="AG96" s="596"/>
      <c r="AH96" s="596"/>
      <c r="AI96" s="596"/>
      <c r="AJ96" s="596"/>
      <c r="AK96" s="596"/>
      <c r="AL96" s="596"/>
      <c r="AM96" s="596"/>
      <c r="AN96" s="596"/>
      <c r="AO96" s="596"/>
      <c r="AP96" s="596"/>
      <c r="AQ96" s="596"/>
      <c r="AR96" s="596"/>
      <c r="AS96" s="596"/>
      <c r="AT96" s="596"/>
      <c r="AU96" s="596"/>
      <c r="AV96" s="596"/>
      <c r="AW96" s="597"/>
      <c r="AX96" s="597"/>
      <c r="AY96" s="597"/>
      <c r="AZ96" s="597"/>
      <c r="BA96" s="597"/>
      <c r="BB96" s="597"/>
      <c r="BC96" s="597"/>
      <c r="BD96" s="597"/>
      <c r="BE96" s="597"/>
      <c r="BF96" s="597"/>
      <c r="BG96" s="597"/>
      <c r="BH96" s="597"/>
      <c r="BI96" s="597"/>
      <c r="BJ96" s="597"/>
      <c r="BK96" s="597"/>
      <c r="BL96" s="597"/>
      <c r="BM96" s="597"/>
      <c r="BN96" s="597"/>
      <c r="BO96" s="597"/>
      <c r="BP96" s="597"/>
      <c r="BQ96" s="597"/>
      <c r="BR96" s="597"/>
      <c r="BS96" s="597"/>
      <c r="BT96" s="597"/>
      <c r="BU96" s="597"/>
      <c r="BV96" s="597"/>
      <c r="BW96" s="597"/>
      <c r="BX96" s="597"/>
    </row>
    <row r="97" spans="1:76" s="14" customFormat="1" ht="12.75" hidden="1" customHeight="1">
      <c r="A97" s="311"/>
      <c r="B97" s="347">
        <v>2010</v>
      </c>
      <c r="C97" s="369" t="s">
        <v>30</v>
      </c>
      <c r="D97" s="1106">
        <v>6393.786451612903</v>
      </c>
      <c r="E97" s="1103"/>
      <c r="F97" s="965">
        <v>709.15354838709675</v>
      </c>
      <c r="G97" s="965"/>
      <c r="H97" s="965">
        <v>861.55935483870962</v>
      </c>
      <c r="I97" s="965"/>
      <c r="J97" s="1103">
        <v>70.500645161290322</v>
      </c>
      <c r="K97" s="1103"/>
      <c r="L97" s="1117">
        <v>0</v>
      </c>
      <c r="M97" s="965" t="s">
        <v>43</v>
      </c>
      <c r="N97" s="965"/>
      <c r="O97" s="1103">
        <f t="shared" si="6"/>
        <v>8035</v>
      </c>
      <c r="P97" s="1118"/>
      <c r="Q97" s="369"/>
      <c r="R97" s="369"/>
      <c r="S97" s="369"/>
      <c r="T97" s="369"/>
      <c r="U97" s="347">
        <v>2010</v>
      </c>
      <c r="V97" s="349" t="s">
        <v>80</v>
      </c>
      <c r="W97" s="369"/>
      <c r="X97" s="369"/>
      <c r="Y97" s="200"/>
      <c r="Z97" s="596"/>
      <c r="AA97" s="596"/>
      <c r="AB97" s="596"/>
      <c r="AC97" s="596"/>
      <c r="AD97" s="596"/>
      <c r="AE97" s="596"/>
      <c r="AF97" s="596"/>
      <c r="AG97" s="596"/>
      <c r="AH97" s="596"/>
      <c r="AI97" s="596"/>
      <c r="AJ97" s="596"/>
      <c r="AK97" s="596"/>
      <c r="AL97" s="596"/>
      <c r="AM97" s="596"/>
      <c r="AN97" s="596"/>
      <c r="AO97" s="596"/>
      <c r="AP97" s="596"/>
      <c r="AQ97" s="596"/>
      <c r="AR97" s="596"/>
      <c r="AS97" s="596"/>
      <c r="AT97" s="596"/>
      <c r="AU97" s="596"/>
      <c r="AV97" s="596"/>
      <c r="AW97" s="597"/>
      <c r="AX97" s="597"/>
      <c r="AY97" s="597"/>
      <c r="AZ97" s="597"/>
      <c r="BA97" s="597"/>
      <c r="BB97" s="597"/>
      <c r="BC97" s="597"/>
      <c r="BD97" s="597"/>
      <c r="BE97" s="597"/>
      <c r="BF97" s="597"/>
      <c r="BG97" s="597"/>
      <c r="BH97" s="597"/>
      <c r="BI97" s="597"/>
      <c r="BJ97" s="597"/>
      <c r="BK97" s="597"/>
      <c r="BL97" s="597"/>
      <c r="BM97" s="597"/>
      <c r="BN97" s="597"/>
      <c r="BO97" s="597"/>
      <c r="BP97" s="597"/>
      <c r="BQ97" s="597"/>
      <c r="BR97" s="597"/>
      <c r="BS97" s="597"/>
      <c r="BT97" s="597"/>
      <c r="BU97" s="597"/>
      <c r="BV97" s="597"/>
      <c r="BW97" s="597"/>
      <c r="BX97" s="597"/>
    </row>
    <row r="98" spans="1:76" s="14" customFormat="1" ht="12.75" hidden="1" customHeight="1">
      <c r="A98" s="311"/>
      <c r="B98" s="347">
        <v>2010</v>
      </c>
      <c r="C98" s="369" t="s">
        <v>36</v>
      </c>
      <c r="D98" s="1106">
        <v>8600</v>
      </c>
      <c r="E98" s="1103"/>
      <c r="F98" s="965">
        <v>912</v>
      </c>
      <c r="G98" s="965"/>
      <c r="H98" s="965">
        <v>996</v>
      </c>
      <c r="I98" s="965"/>
      <c r="J98" s="1103">
        <v>69</v>
      </c>
      <c r="K98" s="1103"/>
      <c r="L98" s="1103">
        <v>17</v>
      </c>
      <c r="M98" s="965"/>
      <c r="N98" s="965"/>
      <c r="O98" s="1103">
        <f t="shared" si="6"/>
        <v>10594</v>
      </c>
      <c r="P98" s="1118"/>
      <c r="Q98" s="369"/>
      <c r="R98" s="369"/>
      <c r="S98" s="369"/>
      <c r="T98" s="369"/>
      <c r="U98" s="347">
        <v>2010</v>
      </c>
      <c r="V98" s="349" t="s">
        <v>81</v>
      </c>
      <c r="W98" s="369"/>
      <c r="X98" s="369"/>
      <c r="Y98" s="598"/>
      <c r="Z98" s="596"/>
      <c r="AA98" s="596"/>
      <c r="AB98" s="596"/>
      <c r="AC98" s="596"/>
      <c r="AD98" s="596"/>
      <c r="AE98" s="596"/>
      <c r="AF98" s="596"/>
      <c r="AG98" s="596"/>
      <c r="AH98" s="596"/>
      <c r="AI98" s="596"/>
      <c r="AJ98" s="596"/>
      <c r="AK98" s="596"/>
      <c r="AL98" s="596"/>
      <c r="AM98" s="596"/>
      <c r="AN98" s="596"/>
      <c r="AO98" s="596"/>
      <c r="AP98" s="596"/>
      <c r="AQ98" s="596"/>
      <c r="AR98" s="596"/>
      <c r="AS98" s="596"/>
      <c r="AT98" s="596"/>
      <c r="AU98" s="596"/>
      <c r="AV98" s="596"/>
      <c r="AW98" s="597"/>
      <c r="AX98" s="597"/>
      <c r="AY98" s="597"/>
      <c r="AZ98" s="597"/>
      <c r="BA98" s="597"/>
      <c r="BB98" s="597"/>
      <c r="BC98" s="597"/>
      <c r="BD98" s="597"/>
      <c r="BE98" s="597"/>
      <c r="BF98" s="597"/>
      <c r="BG98" s="597"/>
      <c r="BH98" s="597"/>
      <c r="BI98" s="597"/>
      <c r="BJ98" s="597"/>
      <c r="BK98" s="597"/>
      <c r="BL98" s="597"/>
      <c r="BM98" s="597"/>
      <c r="BN98" s="597"/>
      <c r="BO98" s="597"/>
      <c r="BP98" s="597"/>
      <c r="BQ98" s="597"/>
      <c r="BR98" s="597"/>
      <c r="BS98" s="597"/>
      <c r="BT98" s="597"/>
      <c r="BU98" s="597"/>
      <c r="BV98" s="597"/>
      <c r="BW98" s="597"/>
      <c r="BX98" s="597"/>
    </row>
    <row r="99" spans="1:76" s="14" customFormat="1" ht="12.75" hidden="1" customHeight="1">
      <c r="A99" s="311"/>
      <c r="B99" s="347">
        <v>2010</v>
      </c>
      <c r="C99" s="369" t="s">
        <v>37</v>
      </c>
      <c r="D99" s="1106">
        <v>7460</v>
      </c>
      <c r="E99" s="1103"/>
      <c r="F99" s="965">
        <v>668</v>
      </c>
      <c r="G99" s="965"/>
      <c r="H99" s="965">
        <v>1387</v>
      </c>
      <c r="I99" s="965"/>
      <c r="J99" s="1103">
        <v>107</v>
      </c>
      <c r="K99" s="1103"/>
      <c r="L99" s="1103">
        <v>10</v>
      </c>
      <c r="M99" s="965"/>
      <c r="N99" s="965"/>
      <c r="O99" s="1103">
        <f t="shared" si="6"/>
        <v>9632</v>
      </c>
      <c r="P99" s="1118"/>
      <c r="Q99" s="369"/>
      <c r="R99" s="369"/>
      <c r="S99" s="369"/>
      <c r="T99" s="369"/>
      <c r="U99" s="347">
        <v>2010</v>
      </c>
      <c r="V99" s="349" t="s">
        <v>82</v>
      </c>
      <c r="W99" s="369"/>
      <c r="X99" s="369"/>
      <c r="Y99" s="596"/>
      <c r="Z99" s="596"/>
      <c r="AA99" s="596"/>
      <c r="AB99" s="596"/>
      <c r="AC99" s="596"/>
      <c r="AD99" s="596"/>
      <c r="AE99" s="596"/>
      <c r="AF99" s="596"/>
      <c r="AG99" s="596"/>
      <c r="AH99" s="596"/>
      <c r="AI99" s="596"/>
      <c r="AJ99" s="596"/>
      <c r="AK99" s="596"/>
      <c r="AL99" s="596"/>
      <c r="AM99" s="596"/>
      <c r="AN99" s="596"/>
      <c r="AO99" s="596"/>
      <c r="AP99" s="596"/>
      <c r="AQ99" s="596"/>
      <c r="AR99" s="596"/>
      <c r="AS99" s="596"/>
      <c r="AT99" s="596"/>
      <c r="AU99" s="596"/>
      <c r="AV99" s="596"/>
      <c r="AW99" s="597"/>
      <c r="AX99" s="597"/>
      <c r="AY99" s="597"/>
      <c r="AZ99" s="597"/>
      <c r="BA99" s="597"/>
      <c r="BB99" s="597"/>
      <c r="BC99" s="597"/>
      <c r="BD99" s="597"/>
      <c r="BE99" s="597"/>
      <c r="BF99" s="597"/>
      <c r="BG99" s="597"/>
      <c r="BH99" s="597"/>
      <c r="BI99" s="597"/>
      <c r="BJ99" s="597"/>
      <c r="BK99" s="597"/>
      <c r="BL99" s="597"/>
      <c r="BM99" s="597"/>
      <c r="BN99" s="597"/>
      <c r="BO99" s="597"/>
      <c r="BP99" s="597"/>
      <c r="BQ99" s="597"/>
      <c r="BR99" s="597"/>
      <c r="BS99" s="597"/>
      <c r="BT99" s="597"/>
      <c r="BU99" s="597"/>
      <c r="BV99" s="597"/>
      <c r="BW99" s="597"/>
      <c r="BX99" s="597"/>
    </row>
    <row r="100" spans="1:76" s="14" customFormat="1" ht="12.75" hidden="1" customHeight="1">
      <c r="A100" s="311"/>
      <c r="B100" s="347">
        <v>2010</v>
      </c>
      <c r="C100" s="369" t="s">
        <v>31</v>
      </c>
      <c r="D100" s="1106">
        <v>8045</v>
      </c>
      <c r="E100" s="1103"/>
      <c r="F100" s="965">
        <v>408</v>
      </c>
      <c r="G100" s="965"/>
      <c r="H100" s="965">
        <v>760</v>
      </c>
      <c r="I100" s="965"/>
      <c r="J100" s="1103">
        <v>29</v>
      </c>
      <c r="K100" s="1103"/>
      <c r="L100" s="1103">
        <v>45</v>
      </c>
      <c r="M100" s="965"/>
      <c r="N100" s="965"/>
      <c r="O100" s="1103">
        <f t="shared" si="6"/>
        <v>9287</v>
      </c>
      <c r="P100" s="1118"/>
      <c r="Q100" s="369"/>
      <c r="R100" s="369"/>
      <c r="S100" s="369"/>
      <c r="T100" s="369"/>
      <c r="U100" s="347">
        <v>2010</v>
      </c>
      <c r="V100" s="349" t="s">
        <v>31</v>
      </c>
      <c r="W100" s="369"/>
      <c r="X100" s="369"/>
      <c r="Y100" s="596"/>
      <c r="Z100" s="596"/>
      <c r="AA100" s="596"/>
      <c r="AB100" s="596"/>
      <c r="AC100" s="596"/>
      <c r="AD100" s="596"/>
      <c r="AE100" s="596"/>
      <c r="AF100" s="596"/>
      <c r="AG100" s="596"/>
      <c r="AH100" s="596"/>
      <c r="AI100" s="596"/>
      <c r="AJ100" s="596"/>
      <c r="AK100" s="596"/>
      <c r="AL100" s="596"/>
      <c r="AM100" s="596"/>
      <c r="AN100" s="596"/>
      <c r="AO100" s="596"/>
      <c r="AP100" s="596"/>
      <c r="AQ100" s="596"/>
      <c r="AR100" s="596"/>
      <c r="AS100" s="596"/>
      <c r="AT100" s="596"/>
      <c r="AU100" s="596"/>
      <c r="AV100" s="596"/>
      <c r="AW100" s="597"/>
      <c r="AX100" s="597"/>
      <c r="AY100" s="597"/>
      <c r="AZ100" s="597"/>
      <c r="BA100" s="597"/>
      <c r="BB100" s="597"/>
      <c r="BC100" s="597"/>
      <c r="BD100" s="597"/>
      <c r="BE100" s="597"/>
      <c r="BF100" s="597"/>
      <c r="BG100" s="597"/>
      <c r="BH100" s="597"/>
      <c r="BI100" s="597"/>
      <c r="BJ100" s="597"/>
      <c r="BK100" s="597"/>
      <c r="BL100" s="597"/>
      <c r="BM100" s="597"/>
      <c r="BN100" s="597"/>
      <c r="BO100" s="597"/>
      <c r="BP100" s="597"/>
      <c r="BQ100" s="597"/>
      <c r="BR100" s="597"/>
      <c r="BS100" s="597"/>
      <c r="BT100" s="597"/>
      <c r="BU100" s="597"/>
      <c r="BV100" s="597"/>
      <c r="BW100" s="597"/>
      <c r="BX100" s="597"/>
    </row>
    <row r="101" spans="1:76" s="14" customFormat="1" ht="12.75" hidden="1" customHeight="1">
      <c r="A101" s="311"/>
      <c r="B101" s="347">
        <v>2010</v>
      </c>
      <c r="C101" s="369" t="s">
        <v>38</v>
      </c>
      <c r="D101" s="1012">
        <v>8391</v>
      </c>
      <c r="E101" s="965"/>
      <c r="F101" s="965">
        <v>201</v>
      </c>
      <c r="G101" s="965"/>
      <c r="H101" s="965">
        <v>377</v>
      </c>
      <c r="I101" s="965"/>
      <c r="J101" s="1103">
        <v>24</v>
      </c>
      <c r="K101" s="1103"/>
      <c r="L101" s="1103">
        <v>8</v>
      </c>
      <c r="M101" s="965" t="s">
        <v>43</v>
      </c>
      <c r="N101" s="965"/>
      <c r="O101" s="1103">
        <f t="shared" si="6"/>
        <v>9001</v>
      </c>
      <c r="P101" s="1118"/>
      <c r="Q101" s="369"/>
      <c r="R101" s="369"/>
      <c r="S101" s="369"/>
      <c r="T101" s="369"/>
      <c r="U101" s="347">
        <v>2010</v>
      </c>
      <c r="V101" s="349" t="s">
        <v>50</v>
      </c>
      <c r="W101" s="369"/>
      <c r="X101" s="369"/>
    </row>
    <row r="102" spans="1:76" s="14" customFormat="1" ht="12.75" hidden="1" customHeight="1">
      <c r="A102" s="311"/>
      <c r="B102" s="347">
        <v>2010</v>
      </c>
      <c r="C102" s="369" t="s">
        <v>39</v>
      </c>
      <c r="D102" s="1012">
        <v>7051</v>
      </c>
      <c r="E102" s="965"/>
      <c r="F102" s="965">
        <v>193</v>
      </c>
      <c r="G102" s="965"/>
      <c r="H102" s="965">
        <v>321</v>
      </c>
      <c r="I102" s="965"/>
      <c r="J102" s="1103">
        <v>31</v>
      </c>
      <c r="K102" s="1103"/>
      <c r="L102" s="1103">
        <v>17</v>
      </c>
      <c r="M102" s="965"/>
      <c r="N102" s="965"/>
      <c r="O102" s="1103">
        <f t="shared" si="6"/>
        <v>7613</v>
      </c>
      <c r="P102" s="1118"/>
      <c r="Q102" s="369"/>
      <c r="R102" s="369"/>
      <c r="S102" s="369"/>
      <c r="T102" s="369"/>
      <c r="U102" s="347">
        <v>2010</v>
      </c>
      <c r="V102" s="349" t="s">
        <v>39</v>
      </c>
      <c r="W102" s="369"/>
      <c r="X102" s="369"/>
      <c r="Y102" s="599"/>
      <c r="AA102" s="599"/>
    </row>
    <row r="103" spans="1:76" s="14" customFormat="1" ht="12.75" hidden="1" customHeight="1">
      <c r="A103" s="311"/>
      <c r="B103" s="347">
        <v>2010</v>
      </c>
      <c r="C103" s="369" t="s">
        <v>32</v>
      </c>
      <c r="D103" s="1012">
        <v>7682</v>
      </c>
      <c r="E103" s="965"/>
      <c r="F103" s="965">
        <v>1077</v>
      </c>
      <c r="G103" s="965"/>
      <c r="H103" s="965">
        <v>812</v>
      </c>
      <c r="I103" s="965"/>
      <c r="J103" s="1103">
        <v>58</v>
      </c>
      <c r="K103" s="1103"/>
      <c r="L103" s="1103">
        <v>4</v>
      </c>
      <c r="M103" s="965"/>
      <c r="N103" s="965"/>
      <c r="O103" s="1103">
        <f t="shared" si="6"/>
        <v>9633</v>
      </c>
      <c r="P103" s="1118"/>
      <c r="Q103" s="369"/>
      <c r="R103" s="369"/>
      <c r="S103" s="369"/>
      <c r="T103" s="369"/>
      <c r="U103" s="347">
        <v>2010</v>
      </c>
      <c r="V103" s="349" t="s">
        <v>32</v>
      </c>
      <c r="W103" s="369"/>
      <c r="X103" s="369"/>
    </row>
    <row r="104" spans="1:76" s="14" customFormat="1" ht="12.75" hidden="1" customHeight="1">
      <c r="A104" s="311"/>
      <c r="B104" s="347">
        <v>2011</v>
      </c>
      <c r="C104" s="369" t="s">
        <v>33</v>
      </c>
      <c r="D104" s="1012">
        <v>5670</v>
      </c>
      <c r="E104" s="965"/>
      <c r="F104" s="965">
        <v>529</v>
      </c>
      <c r="G104" s="965"/>
      <c r="H104" s="965">
        <v>389</v>
      </c>
      <c r="I104" s="965"/>
      <c r="J104" s="1103">
        <v>78</v>
      </c>
      <c r="K104" s="1103"/>
      <c r="L104" s="1103">
        <v>6</v>
      </c>
      <c r="M104" s="965"/>
      <c r="N104" s="965"/>
      <c r="O104" s="965">
        <f t="shared" si="6"/>
        <v>6672</v>
      </c>
      <c r="P104" s="1021"/>
      <c r="Q104" s="768"/>
      <c r="R104" s="768"/>
      <c r="S104" s="768"/>
      <c r="T104" s="768"/>
      <c r="U104" s="347">
        <v>2011</v>
      </c>
      <c r="V104" s="349" t="s">
        <v>33</v>
      </c>
      <c r="W104" s="369"/>
      <c r="X104" s="369"/>
    </row>
    <row r="105" spans="1:76" s="14" customFormat="1" ht="12.75" hidden="1" customHeight="1">
      <c r="A105" s="311"/>
      <c r="B105" s="347">
        <v>2011</v>
      </c>
      <c r="C105" s="369" t="s">
        <v>34</v>
      </c>
      <c r="D105" s="1012">
        <v>3390</v>
      </c>
      <c r="E105" s="965"/>
      <c r="F105" s="965">
        <v>400</v>
      </c>
      <c r="G105" s="965"/>
      <c r="H105" s="965">
        <v>751</v>
      </c>
      <c r="I105" s="965"/>
      <c r="J105" s="1103">
        <v>84</v>
      </c>
      <c r="K105" s="1103"/>
      <c r="L105" s="1117" t="s">
        <v>43</v>
      </c>
      <c r="M105" s="965"/>
      <c r="N105" s="965"/>
      <c r="O105" s="965">
        <f t="shared" si="6"/>
        <v>4625</v>
      </c>
      <c r="P105" s="1021"/>
      <c r="Q105" s="768"/>
      <c r="R105" s="768"/>
      <c r="S105" s="768"/>
      <c r="T105" s="768"/>
      <c r="U105" s="347">
        <v>2011</v>
      </c>
      <c r="V105" s="349" t="s">
        <v>77</v>
      </c>
      <c r="W105" s="369"/>
      <c r="X105" s="369"/>
    </row>
    <row r="106" spans="1:76" s="14" customFormat="1" ht="12.75" hidden="1" customHeight="1">
      <c r="A106" s="311"/>
      <c r="B106" s="347">
        <v>2011</v>
      </c>
      <c r="C106" s="369" t="s">
        <v>29</v>
      </c>
      <c r="D106" s="1012">
        <v>4006</v>
      </c>
      <c r="E106" s="965"/>
      <c r="F106" s="965">
        <v>432</v>
      </c>
      <c r="G106" s="965"/>
      <c r="H106" s="965">
        <v>829</v>
      </c>
      <c r="I106" s="965"/>
      <c r="J106" s="1103">
        <v>36</v>
      </c>
      <c r="K106" s="1103"/>
      <c r="L106" s="1117">
        <v>0</v>
      </c>
      <c r="M106" s="965"/>
      <c r="N106" s="965"/>
      <c r="O106" s="965">
        <f t="shared" si="6"/>
        <v>5303</v>
      </c>
      <c r="P106" s="1021"/>
      <c r="Q106" s="768"/>
      <c r="R106" s="768"/>
      <c r="S106" s="768"/>
      <c r="T106" s="768"/>
      <c r="U106" s="347">
        <v>2011</v>
      </c>
      <c r="V106" s="349" t="s">
        <v>29</v>
      </c>
      <c r="W106" s="369"/>
      <c r="X106" s="369"/>
    </row>
    <row r="107" spans="1:76" s="14" customFormat="1" ht="12.75" hidden="1" customHeight="1">
      <c r="A107" s="311"/>
      <c r="B107" s="347">
        <v>2011</v>
      </c>
      <c r="C107" s="369" t="s">
        <v>35</v>
      </c>
      <c r="D107" s="1012">
        <v>6082</v>
      </c>
      <c r="E107" s="965"/>
      <c r="F107" s="965">
        <v>527</v>
      </c>
      <c r="G107" s="965"/>
      <c r="H107" s="965">
        <v>742</v>
      </c>
      <c r="I107" s="965"/>
      <c r="J107" s="1103">
        <v>68</v>
      </c>
      <c r="K107" s="1103"/>
      <c r="L107" s="1117">
        <v>0</v>
      </c>
      <c r="M107" s="965"/>
      <c r="N107" s="965"/>
      <c r="O107" s="965">
        <f t="shared" si="6"/>
        <v>7419</v>
      </c>
      <c r="P107" s="1021"/>
      <c r="Q107" s="768"/>
      <c r="R107" s="768"/>
      <c r="S107" s="768"/>
      <c r="T107" s="768"/>
      <c r="U107" s="347">
        <v>2011</v>
      </c>
      <c r="V107" s="349" t="s">
        <v>78</v>
      </c>
      <c r="W107" s="369"/>
      <c r="X107" s="369"/>
    </row>
    <row r="108" spans="1:76" s="14" customFormat="1" ht="12.75" hidden="1" customHeight="1">
      <c r="A108" s="311"/>
      <c r="B108" s="347">
        <v>2011</v>
      </c>
      <c r="C108" s="369" t="s">
        <v>4</v>
      </c>
      <c r="D108" s="1012">
        <v>4786</v>
      </c>
      <c r="E108" s="965"/>
      <c r="F108" s="965">
        <v>553</v>
      </c>
      <c r="G108" s="965"/>
      <c r="H108" s="965">
        <v>1002</v>
      </c>
      <c r="I108" s="965"/>
      <c r="J108" s="1103">
        <v>100</v>
      </c>
      <c r="K108" s="1103"/>
      <c r="L108" s="1103">
        <v>3</v>
      </c>
      <c r="M108" s="965"/>
      <c r="N108" s="965"/>
      <c r="O108" s="965">
        <f t="shared" si="6"/>
        <v>6444</v>
      </c>
      <c r="P108" s="1021"/>
      <c r="Q108" s="768"/>
      <c r="R108" s="768"/>
      <c r="S108" s="768"/>
      <c r="T108" s="768"/>
      <c r="U108" s="347">
        <v>2011</v>
      </c>
      <c r="V108" s="349" t="s">
        <v>79</v>
      </c>
      <c r="W108" s="369"/>
      <c r="X108" s="369"/>
    </row>
    <row r="109" spans="1:76" s="14" customFormat="1" ht="12.75" hidden="1" customHeight="1">
      <c r="A109" s="311"/>
      <c r="B109" s="347">
        <v>2011</v>
      </c>
      <c r="C109" s="369" t="s">
        <v>30</v>
      </c>
      <c r="D109" s="1012">
        <v>6627</v>
      </c>
      <c r="E109" s="965"/>
      <c r="F109" s="965">
        <v>643</v>
      </c>
      <c r="G109" s="965"/>
      <c r="H109" s="965">
        <v>942</v>
      </c>
      <c r="I109" s="965"/>
      <c r="J109" s="1103">
        <v>85</v>
      </c>
      <c r="K109" s="1103"/>
      <c r="L109" s="1103">
        <v>21</v>
      </c>
      <c r="M109" s="965"/>
      <c r="N109" s="965"/>
      <c r="O109" s="965">
        <f t="shared" ref="O109:O115" si="7">SUM(D109:L109)</f>
        <v>8318</v>
      </c>
      <c r="P109" s="1021"/>
      <c r="Q109" s="768"/>
      <c r="R109" s="768"/>
      <c r="S109" s="768"/>
      <c r="T109" s="768"/>
      <c r="U109" s="347">
        <v>2011</v>
      </c>
      <c r="V109" s="349" t="s">
        <v>80</v>
      </c>
      <c r="W109" s="369"/>
      <c r="X109" s="369"/>
    </row>
    <row r="110" spans="1:76" s="14" customFormat="1" ht="12.75" hidden="1" customHeight="1">
      <c r="A110" s="311"/>
      <c r="B110" s="347">
        <v>2011</v>
      </c>
      <c r="C110" s="369" t="s">
        <v>36</v>
      </c>
      <c r="D110" s="1012">
        <v>8799</v>
      </c>
      <c r="E110" s="965"/>
      <c r="F110" s="965">
        <v>914</v>
      </c>
      <c r="G110" s="965"/>
      <c r="H110" s="965">
        <v>912</v>
      </c>
      <c r="I110" s="965"/>
      <c r="J110" s="1103">
        <v>87</v>
      </c>
      <c r="K110" s="1103"/>
      <c r="L110" s="1103">
        <v>17</v>
      </c>
      <c r="M110" s="965"/>
      <c r="N110" s="965"/>
      <c r="O110" s="965">
        <f t="shared" si="7"/>
        <v>10729</v>
      </c>
      <c r="P110" s="1021"/>
      <c r="Q110" s="768"/>
      <c r="R110" s="768"/>
      <c r="S110" s="768"/>
      <c r="T110" s="768"/>
      <c r="U110" s="347">
        <v>2011</v>
      </c>
      <c r="V110" s="349" t="s">
        <v>81</v>
      </c>
      <c r="W110" s="369"/>
      <c r="X110" s="369"/>
    </row>
    <row r="111" spans="1:76" s="14" customFormat="1" ht="12.75" hidden="1" customHeight="1">
      <c r="A111" s="311"/>
      <c r="B111" s="347">
        <v>2011</v>
      </c>
      <c r="C111" s="369" t="s">
        <v>37</v>
      </c>
      <c r="D111" s="1012">
        <v>7749</v>
      </c>
      <c r="E111" s="965"/>
      <c r="F111" s="965">
        <v>628</v>
      </c>
      <c r="G111" s="965"/>
      <c r="H111" s="965">
        <v>1153</v>
      </c>
      <c r="I111" s="965"/>
      <c r="J111" s="1103">
        <v>66</v>
      </c>
      <c r="K111" s="1103"/>
      <c r="L111" s="1103">
        <v>26</v>
      </c>
      <c r="M111" s="965"/>
      <c r="N111" s="965"/>
      <c r="O111" s="965">
        <f t="shared" si="7"/>
        <v>9622</v>
      </c>
      <c r="P111" s="1021"/>
      <c r="Q111" s="768"/>
      <c r="R111" s="768"/>
      <c r="S111" s="768"/>
      <c r="T111" s="768"/>
      <c r="U111" s="347">
        <v>2011</v>
      </c>
      <c r="V111" s="349" t="s">
        <v>82</v>
      </c>
      <c r="W111" s="369"/>
      <c r="X111" s="369"/>
    </row>
    <row r="112" spans="1:76" s="14" customFormat="1" ht="12.75" hidden="1" customHeight="1">
      <c r="A112" s="311"/>
      <c r="B112" s="347">
        <v>2011</v>
      </c>
      <c r="C112" s="369" t="s">
        <v>31</v>
      </c>
      <c r="D112" s="1012">
        <v>8076</v>
      </c>
      <c r="E112" s="965"/>
      <c r="F112" s="965">
        <v>578</v>
      </c>
      <c r="G112" s="965"/>
      <c r="H112" s="965">
        <v>820</v>
      </c>
      <c r="I112" s="965"/>
      <c r="J112" s="1103">
        <v>60</v>
      </c>
      <c r="K112" s="1103"/>
      <c r="L112" s="1103">
        <v>12</v>
      </c>
      <c r="M112" s="965"/>
      <c r="N112" s="965"/>
      <c r="O112" s="965">
        <f t="shared" si="7"/>
        <v>9546</v>
      </c>
      <c r="P112" s="1021"/>
      <c r="Q112" s="768"/>
      <c r="R112" s="768"/>
      <c r="S112" s="768"/>
      <c r="T112" s="768"/>
      <c r="U112" s="347">
        <v>2011</v>
      </c>
      <c r="V112" s="349" t="s">
        <v>31</v>
      </c>
      <c r="W112" s="369"/>
      <c r="X112" s="369"/>
    </row>
    <row r="113" spans="1:24" s="14" customFormat="1" ht="12.75" hidden="1" customHeight="1">
      <c r="A113" s="311"/>
      <c r="B113" s="347">
        <v>2011</v>
      </c>
      <c r="C113" s="369" t="s">
        <v>38</v>
      </c>
      <c r="D113" s="1012">
        <v>6991</v>
      </c>
      <c r="E113" s="965"/>
      <c r="F113" s="965">
        <v>642</v>
      </c>
      <c r="G113" s="965"/>
      <c r="H113" s="965">
        <v>953</v>
      </c>
      <c r="I113" s="965"/>
      <c r="J113" s="965">
        <v>51</v>
      </c>
      <c r="K113" s="965"/>
      <c r="L113" s="1103">
        <v>0</v>
      </c>
      <c r="M113" s="965"/>
      <c r="N113" s="965"/>
      <c r="O113" s="965">
        <f t="shared" si="7"/>
        <v>8637</v>
      </c>
      <c r="P113" s="1021"/>
      <c r="Q113" s="768"/>
      <c r="R113" s="768"/>
      <c r="S113" s="768"/>
      <c r="T113" s="768"/>
      <c r="U113" s="347">
        <v>2011</v>
      </c>
      <c r="V113" s="349" t="s">
        <v>38</v>
      </c>
      <c r="W113" s="369"/>
      <c r="X113" s="369"/>
    </row>
    <row r="114" spans="1:24" s="14" customFormat="1" ht="12.75" hidden="1" customHeight="1">
      <c r="A114" s="311"/>
      <c r="B114" s="347">
        <v>2011</v>
      </c>
      <c r="C114" s="369" t="s">
        <v>39</v>
      </c>
      <c r="D114" s="1012">
        <v>6228</v>
      </c>
      <c r="E114" s="965"/>
      <c r="F114" s="965">
        <v>468</v>
      </c>
      <c r="G114" s="965"/>
      <c r="H114" s="965">
        <v>907</v>
      </c>
      <c r="I114" s="965"/>
      <c r="J114" s="965">
        <v>52</v>
      </c>
      <c r="K114" s="965"/>
      <c r="L114" s="1103">
        <v>0</v>
      </c>
      <c r="M114" s="965"/>
      <c r="N114" s="965"/>
      <c r="O114" s="965">
        <f t="shared" si="7"/>
        <v>7655</v>
      </c>
      <c r="P114" s="1021"/>
      <c r="Q114" s="768"/>
      <c r="R114" s="768"/>
      <c r="S114" s="768"/>
      <c r="T114" s="768"/>
      <c r="U114" s="347">
        <v>2011</v>
      </c>
      <c r="V114" s="349" t="s">
        <v>39</v>
      </c>
      <c r="W114" s="369"/>
      <c r="X114" s="369"/>
    </row>
    <row r="115" spans="1:24" s="14" customFormat="1" ht="12.75" hidden="1" customHeight="1">
      <c r="A115" s="311"/>
      <c r="B115" s="347">
        <v>2011</v>
      </c>
      <c r="C115" s="369" t="s">
        <v>32</v>
      </c>
      <c r="D115" s="1012">
        <v>7417</v>
      </c>
      <c r="E115" s="965"/>
      <c r="F115" s="965">
        <v>1006</v>
      </c>
      <c r="G115" s="965"/>
      <c r="H115" s="965">
        <v>533</v>
      </c>
      <c r="I115" s="965"/>
      <c r="J115" s="965">
        <v>23</v>
      </c>
      <c r="K115" s="965"/>
      <c r="L115" s="965">
        <v>11</v>
      </c>
      <c r="M115" s="965"/>
      <c r="N115" s="965"/>
      <c r="O115" s="965">
        <f t="shared" si="7"/>
        <v>8990</v>
      </c>
      <c r="P115" s="1021"/>
      <c r="Q115" s="768"/>
      <c r="R115" s="768"/>
      <c r="S115" s="768"/>
      <c r="T115" s="768"/>
      <c r="U115" s="347">
        <v>2011</v>
      </c>
      <c r="V115" s="349" t="s">
        <v>32</v>
      </c>
      <c r="W115" s="369"/>
      <c r="X115" s="369"/>
    </row>
    <row r="116" spans="1:24" s="14" customFormat="1" ht="12.75" hidden="1" customHeight="1">
      <c r="A116" s="311"/>
      <c r="B116" s="347">
        <v>2012</v>
      </c>
      <c r="C116" s="369" t="s">
        <v>33</v>
      </c>
      <c r="D116" s="1012">
        <v>7280</v>
      </c>
      <c r="E116" s="965"/>
      <c r="F116" s="965">
        <v>986</v>
      </c>
      <c r="G116" s="965"/>
      <c r="H116" s="965">
        <v>457</v>
      </c>
      <c r="I116" s="965"/>
      <c r="J116" s="965">
        <v>23</v>
      </c>
      <c r="K116" s="965"/>
      <c r="L116" s="965">
        <v>9</v>
      </c>
      <c r="M116" s="965"/>
      <c r="N116" s="965"/>
      <c r="O116" s="965">
        <f>D116+F116+H116+J116+L116</f>
        <v>8755</v>
      </c>
      <c r="P116" s="1021"/>
      <c r="Q116" s="768"/>
      <c r="R116" s="768"/>
      <c r="S116" s="768"/>
      <c r="T116" s="768"/>
      <c r="U116" s="347">
        <v>2012</v>
      </c>
      <c r="V116" s="349" t="s">
        <v>33</v>
      </c>
      <c r="W116" s="369"/>
      <c r="X116" s="369"/>
    </row>
    <row r="117" spans="1:24" s="14" customFormat="1" ht="12.75" hidden="1" customHeight="1">
      <c r="A117" s="311"/>
      <c r="B117" s="347">
        <v>2012</v>
      </c>
      <c r="C117" s="369" t="s">
        <v>34</v>
      </c>
      <c r="D117" s="1012">
        <v>3390</v>
      </c>
      <c r="E117" s="965"/>
      <c r="F117" s="965">
        <v>387</v>
      </c>
      <c r="G117" s="965"/>
      <c r="H117" s="965">
        <v>833</v>
      </c>
      <c r="I117" s="965"/>
      <c r="J117" s="965">
        <v>30</v>
      </c>
      <c r="K117" s="965"/>
      <c r="L117" s="965">
        <v>60</v>
      </c>
      <c r="M117" s="965"/>
      <c r="N117" s="965">
        <v>833</v>
      </c>
      <c r="O117" s="965">
        <f>D117+F117+H117+J117+L117</f>
        <v>4700</v>
      </c>
      <c r="P117" s="1021"/>
      <c r="Q117" s="768"/>
      <c r="R117" s="768"/>
      <c r="S117" s="768"/>
      <c r="T117" s="768"/>
      <c r="U117" s="347">
        <v>2012</v>
      </c>
      <c r="V117" s="349" t="s">
        <v>77</v>
      </c>
      <c r="W117" s="369"/>
      <c r="X117" s="369"/>
    </row>
    <row r="118" spans="1:24" s="14" customFormat="1" ht="12.75" hidden="1" customHeight="1">
      <c r="A118" s="311"/>
      <c r="B118" s="347">
        <v>2012</v>
      </c>
      <c r="C118" s="369" t="s">
        <v>29</v>
      </c>
      <c r="D118" s="1012">
        <v>4991</v>
      </c>
      <c r="E118" s="965"/>
      <c r="F118" s="965">
        <v>455</v>
      </c>
      <c r="G118" s="965"/>
      <c r="H118" s="965">
        <v>846</v>
      </c>
      <c r="I118" s="965"/>
      <c r="J118" s="965">
        <v>42</v>
      </c>
      <c r="K118" s="965"/>
      <c r="L118" s="965">
        <v>9</v>
      </c>
      <c r="M118" s="965"/>
      <c r="N118" s="965"/>
      <c r="O118" s="1103">
        <f>SUM(D118:L118)</f>
        <v>6343</v>
      </c>
      <c r="P118" s="1021"/>
      <c r="Q118" s="768"/>
      <c r="R118" s="768"/>
      <c r="S118" s="768"/>
      <c r="T118" s="768"/>
      <c r="U118" s="347">
        <v>2012</v>
      </c>
      <c r="V118" s="349" t="s">
        <v>29</v>
      </c>
      <c r="W118" s="369"/>
      <c r="X118" s="369"/>
    </row>
    <row r="119" spans="1:24" s="14" customFormat="1" ht="12.75" hidden="1" customHeight="1">
      <c r="A119" s="311"/>
      <c r="B119" s="347">
        <v>2012</v>
      </c>
      <c r="C119" s="369" t="s">
        <v>35</v>
      </c>
      <c r="D119" s="1012">
        <v>6596</v>
      </c>
      <c r="E119" s="965"/>
      <c r="F119" s="965">
        <v>546</v>
      </c>
      <c r="G119" s="965"/>
      <c r="H119" s="965">
        <v>674</v>
      </c>
      <c r="I119" s="965"/>
      <c r="J119" s="965">
        <v>29</v>
      </c>
      <c r="K119" s="965"/>
      <c r="L119" s="965">
        <v>15</v>
      </c>
      <c r="M119" s="965"/>
      <c r="N119" s="965"/>
      <c r="O119" s="965">
        <f>D119+F119+H119+J119+L119</f>
        <v>7860</v>
      </c>
      <c r="P119" s="1021"/>
      <c r="Q119" s="768"/>
      <c r="R119" s="768"/>
      <c r="S119" s="768"/>
      <c r="T119" s="768"/>
      <c r="U119" s="347">
        <v>2012</v>
      </c>
      <c r="V119" s="349" t="s">
        <v>78</v>
      </c>
      <c r="W119" s="369"/>
      <c r="X119" s="369"/>
    </row>
    <row r="120" spans="1:24" s="14" customFormat="1" ht="12.75" hidden="1" customHeight="1">
      <c r="A120" s="311"/>
      <c r="B120" s="347">
        <v>2012</v>
      </c>
      <c r="C120" s="369" t="s">
        <v>4</v>
      </c>
      <c r="D120" s="1012">
        <v>5928</v>
      </c>
      <c r="E120" s="965"/>
      <c r="F120" s="965">
        <v>513</v>
      </c>
      <c r="G120" s="965"/>
      <c r="H120" s="965">
        <v>984</v>
      </c>
      <c r="I120" s="965"/>
      <c r="J120" s="965">
        <v>34</v>
      </c>
      <c r="K120" s="965"/>
      <c r="L120" s="965">
        <v>15</v>
      </c>
      <c r="M120" s="965"/>
      <c r="N120" s="965"/>
      <c r="O120" s="965">
        <f>D120+F120+H120+J120+L120</f>
        <v>7474</v>
      </c>
      <c r="P120" s="1021"/>
      <c r="Q120" s="768"/>
      <c r="R120" s="768"/>
      <c r="S120" s="768"/>
      <c r="T120" s="768"/>
      <c r="U120" s="347">
        <v>2012</v>
      </c>
      <c r="V120" s="349" t="s">
        <v>79</v>
      </c>
      <c r="W120" s="369"/>
      <c r="X120" s="369"/>
    </row>
    <row r="121" spans="1:24" s="14" customFormat="1" ht="12.75" hidden="1" customHeight="1">
      <c r="A121" s="311"/>
      <c r="B121" s="347">
        <v>2012</v>
      </c>
      <c r="C121" s="369" t="s">
        <v>30</v>
      </c>
      <c r="D121" s="1012">
        <v>7946</v>
      </c>
      <c r="E121" s="965"/>
      <c r="F121" s="965">
        <v>601</v>
      </c>
      <c r="G121" s="965"/>
      <c r="H121" s="965">
        <v>1254</v>
      </c>
      <c r="I121" s="965"/>
      <c r="J121" s="965">
        <v>171</v>
      </c>
      <c r="K121" s="965"/>
      <c r="L121" s="965">
        <v>4</v>
      </c>
      <c r="M121" s="965"/>
      <c r="N121" s="965"/>
      <c r="O121" s="965">
        <f>D121+F121+H121+J121+L121</f>
        <v>9976</v>
      </c>
      <c r="P121" s="1021"/>
      <c r="Q121" s="768"/>
      <c r="R121" s="768"/>
      <c r="S121" s="768"/>
      <c r="T121" s="768"/>
      <c r="U121" s="347">
        <v>2012</v>
      </c>
      <c r="V121" s="349" t="s">
        <v>80</v>
      </c>
      <c r="W121" s="369"/>
      <c r="X121" s="369"/>
    </row>
    <row r="122" spans="1:24" s="14" customFormat="1" ht="12.75" hidden="1" customHeight="1">
      <c r="A122" s="311"/>
      <c r="B122" s="347">
        <v>2012</v>
      </c>
      <c r="C122" s="369" t="s">
        <v>36</v>
      </c>
      <c r="D122" s="1012">
        <v>9877</v>
      </c>
      <c r="E122" s="965"/>
      <c r="F122" s="965">
        <v>863</v>
      </c>
      <c r="G122" s="965"/>
      <c r="H122" s="965">
        <v>992</v>
      </c>
      <c r="I122" s="965"/>
      <c r="J122" s="965">
        <v>32</v>
      </c>
      <c r="K122" s="965"/>
      <c r="L122" s="965">
        <v>6</v>
      </c>
      <c r="M122" s="965"/>
      <c r="N122" s="965"/>
      <c r="O122" s="965">
        <f>D122+F122+H122+J122+L122</f>
        <v>11770</v>
      </c>
      <c r="P122" s="1021"/>
      <c r="Q122" s="768"/>
      <c r="R122" s="768"/>
      <c r="S122" s="768"/>
      <c r="T122" s="768"/>
      <c r="U122" s="347">
        <v>2012</v>
      </c>
      <c r="V122" s="349" t="s">
        <v>81</v>
      </c>
      <c r="W122" s="369"/>
      <c r="X122" s="369"/>
    </row>
    <row r="123" spans="1:24" s="14" customFormat="1" ht="12.75" hidden="1" customHeight="1">
      <c r="A123" s="311"/>
      <c r="B123" s="347">
        <v>2012</v>
      </c>
      <c r="C123" s="369" t="s">
        <v>37</v>
      </c>
      <c r="D123" s="1012">
        <v>8776</v>
      </c>
      <c r="E123" s="965"/>
      <c r="F123" s="965">
        <v>638</v>
      </c>
      <c r="G123" s="965"/>
      <c r="H123" s="965">
        <v>929</v>
      </c>
      <c r="I123" s="965"/>
      <c r="J123" s="965">
        <v>55</v>
      </c>
      <c r="K123" s="965"/>
      <c r="L123" s="965">
        <v>7</v>
      </c>
      <c r="M123" s="965"/>
      <c r="N123" s="965"/>
      <c r="O123" s="965">
        <f>D123+F123+H123+J123+L123</f>
        <v>10405</v>
      </c>
      <c r="P123" s="1021"/>
      <c r="Q123" s="768"/>
      <c r="R123" s="768"/>
      <c r="S123" s="768"/>
      <c r="T123" s="768"/>
      <c r="U123" s="347">
        <v>2012</v>
      </c>
      <c r="V123" s="349" t="s">
        <v>82</v>
      </c>
      <c r="W123" s="369"/>
      <c r="X123" s="369"/>
    </row>
    <row r="124" spans="1:24" s="14" customFormat="1" ht="12.75" hidden="1" customHeight="1">
      <c r="A124" s="311"/>
      <c r="B124" s="347">
        <v>2012</v>
      </c>
      <c r="C124" s="369" t="s">
        <v>31</v>
      </c>
      <c r="D124" s="1012">
        <v>10089</v>
      </c>
      <c r="E124" s="965"/>
      <c r="F124" s="965">
        <v>640</v>
      </c>
      <c r="G124" s="965"/>
      <c r="H124" s="965">
        <v>1350</v>
      </c>
      <c r="I124" s="965"/>
      <c r="J124" s="965">
        <v>58</v>
      </c>
      <c r="K124" s="965"/>
      <c r="L124" s="965">
        <v>45</v>
      </c>
      <c r="M124" s="965"/>
      <c r="N124" s="965"/>
      <c r="O124" s="965">
        <f>SUM(D124:L124)</f>
        <v>12182</v>
      </c>
      <c r="P124" s="1021"/>
      <c r="Q124" s="768"/>
      <c r="R124" s="768"/>
      <c r="S124" s="768"/>
      <c r="T124" s="768"/>
      <c r="U124" s="347">
        <v>2012</v>
      </c>
      <c r="V124" s="349" t="s">
        <v>31</v>
      </c>
      <c r="W124" s="369"/>
      <c r="X124" s="369"/>
    </row>
    <row r="125" spans="1:24" s="14" customFormat="1" ht="12.75" hidden="1" customHeight="1">
      <c r="A125" s="311"/>
      <c r="B125" s="347">
        <v>2012</v>
      </c>
      <c r="C125" s="369" t="s">
        <v>38</v>
      </c>
      <c r="D125" s="1012">
        <v>8071</v>
      </c>
      <c r="E125" s="965"/>
      <c r="F125" s="965">
        <v>586</v>
      </c>
      <c r="G125" s="965"/>
      <c r="H125" s="965">
        <v>1192</v>
      </c>
      <c r="I125" s="965"/>
      <c r="J125" s="965">
        <v>43</v>
      </c>
      <c r="K125" s="965"/>
      <c r="L125" s="965">
        <v>30</v>
      </c>
      <c r="M125" s="965"/>
      <c r="N125" s="965"/>
      <c r="O125" s="965">
        <f>SUM(D125:L125)</f>
        <v>9922</v>
      </c>
      <c r="P125" s="1021"/>
      <c r="Q125" s="768"/>
      <c r="R125" s="768"/>
      <c r="S125" s="768"/>
      <c r="T125" s="768"/>
      <c r="U125" s="347">
        <v>2012</v>
      </c>
      <c r="V125" s="349" t="s">
        <v>38</v>
      </c>
      <c r="W125" s="369"/>
      <c r="X125" s="369"/>
    </row>
    <row r="126" spans="1:24" s="14" customFormat="1" ht="12.75" hidden="1" customHeight="1">
      <c r="A126" s="311"/>
      <c r="B126" s="347">
        <v>2012</v>
      </c>
      <c r="C126" s="369" t="s">
        <v>39</v>
      </c>
      <c r="D126" s="1012">
        <v>6152</v>
      </c>
      <c r="E126" s="965"/>
      <c r="F126" s="965">
        <v>491</v>
      </c>
      <c r="G126" s="965"/>
      <c r="H126" s="965">
        <v>980</v>
      </c>
      <c r="I126" s="965"/>
      <c r="J126" s="965">
        <v>59</v>
      </c>
      <c r="K126" s="965"/>
      <c r="L126" s="965">
        <v>22</v>
      </c>
      <c r="M126" s="965"/>
      <c r="N126" s="965"/>
      <c r="O126" s="965">
        <f>SUM(D126:L126)</f>
        <v>7704</v>
      </c>
      <c r="P126" s="1021"/>
      <c r="Q126" s="768"/>
      <c r="R126" s="768"/>
      <c r="S126" s="768"/>
      <c r="T126" s="768"/>
      <c r="U126" s="347">
        <v>2012</v>
      </c>
      <c r="V126" s="349" t="s">
        <v>39</v>
      </c>
      <c r="W126" s="369"/>
      <c r="X126" s="369"/>
    </row>
    <row r="127" spans="1:24" s="14" customFormat="1" ht="12.75" hidden="1" customHeight="1">
      <c r="A127" s="311"/>
      <c r="B127" s="347">
        <v>2012</v>
      </c>
      <c r="C127" s="369" t="s">
        <v>32</v>
      </c>
      <c r="D127" s="1012">
        <v>8989</v>
      </c>
      <c r="E127" s="965"/>
      <c r="F127" s="965">
        <v>1204</v>
      </c>
      <c r="G127" s="965"/>
      <c r="H127" s="965">
        <v>803</v>
      </c>
      <c r="I127" s="965"/>
      <c r="J127" s="965">
        <v>26</v>
      </c>
      <c r="K127" s="965"/>
      <c r="L127" s="965">
        <v>48</v>
      </c>
      <c r="M127" s="965"/>
      <c r="N127" s="965"/>
      <c r="O127" s="965">
        <f>SUM(D127:L127)</f>
        <v>11070</v>
      </c>
      <c r="P127" s="1021"/>
      <c r="Q127" s="768"/>
      <c r="R127" s="768"/>
      <c r="S127" s="768"/>
      <c r="T127" s="768"/>
      <c r="U127" s="347">
        <v>2012</v>
      </c>
      <c r="V127" s="349" t="s">
        <v>32</v>
      </c>
      <c r="W127" s="369"/>
      <c r="X127" s="369"/>
    </row>
    <row r="128" spans="1:24" s="14" customFormat="1" ht="12.75" hidden="1" customHeight="1">
      <c r="A128" s="311"/>
      <c r="B128" s="347">
        <v>2013</v>
      </c>
      <c r="C128" s="369" t="s">
        <v>33</v>
      </c>
      <c r="D128" s="1012">
        <v>6315</v>
      </c>
      <c r="E128" s="965"/>
      <c r="F128" s="965">
        <v>596</v>
      </c>
      <c r="G128" s="965"/>
      <c r="H128" s="965">
        <v>638</v>
      </c>
      <c r="I128" s="965"/>
      <c r="J128" s="965">
        <v>63</v>
      </c>
      <c r="K128" s="965"/>
      <c r="L128" s="1024">
        <v>0</v>
      </c>
      <c r="M128" s="965"/>
      <c r="N128" s="965"/>
      <c r="O128" s="965">
        <f t="shared" ref="O128:O161" si="8">SUM(D128:N128)</f>
        <v>7612</v>
      </c>
      <c r="P128" s="1021"/>
      <c r="Q128" s="768"/>
      <c r="R128" s="768"/>
      <c r="S128" s="768"/>
      <c r="T128" s="768"/>
      <c r="U128" s="347">
        <v>2013</v>
      </c>
      <c r="V128" s="349" t="s">
        <v>33</v>
      </c>
      <c r="W128" s="369"/>
      <c r="X128" s="369"/>
    </row>
    <row r="129" spans="1:25" s="14" customFormat="1" ht="12.75" hidden="1" customHeight="1">
      <c r="A129" s="311"/>
      <c r="B129" s="347">
        <v>2013</v>
      </c>
      <c r="C129" s="369" t="s">
        <v>34</v>
      </c>
      <c r="D129" s="1012">
        <v>3431</v>
      </c>
      <c r="E129" s="1119"/>
      <c r="F129" s="965">
        <v>437</v>
      </c>
      <c r="G129" s="1119"/>
      <c r="H129" s="965">
        <v>856</v>
      </c>
      <c r="I129" s="1119"/>
      <c r="J129" s="965">
        <v>16</v>
      </c>
      <c r="K129" s="1119"/>
      <c r="L129" s="1024">
        <v>191</v>
      </c>
      <c r="M129" s="965"/>
      <c r="N129" s="965"/>
      <c r="O129" s="965">
        <f t="shared" si="8"/>
        <v>4931</v>
      </c>
      <c r="P129" s="1120"/>
      <c r="Q129" s="768"/>
      <c r="R129" s="768"/>
      <c r="S129" s="768"/>
      <c r="T129" s="768"/>
      <c r="U129" s="347">
        <v>2013</v>
      </c>
      <c r="V129" s="349" t="s">
        <v>77</v>
      </c>
      <c r="W129" s="369"/>
      <c r="X129" s="369"/>
      <c r="Y129" s="600"/>
    </row>
    <row r="130" spans="1:25" s="14" customFormat="1" ht="12.75" hidden="1" customHeight="1">
      <c r="A130" s="311"/>
      <c r="B130" s="347">
        <v>2013</v>
      </c>
      <c r="C130" s="369" t="s">
        <v>29</v>
      </c>
      <c r="D130" s="1012">
        <v>5557</v>
      </c>
      <c r="E130" s="965"/>
      <c r="F130" s="965">
        <v>594</v>
      </c>
      <c r="G130" s="965"/>
      <c r="H130" s="965">
        <v>645</v>
      </c>
      <c r="I130" s="965"/>
      <c r="J130" s="965">
        <v>57</v>
      </c>
      <c r="K130" s="965"/>
      <c r="L130" s="1024">
        <v>124</v>
      </c>
      <c r="M130" s="965"/>
      <c r="N130" s="965"/>
      <c r="O130" s="965">
        <f t="shared" si="8"/>
        <v>6977</v>
      </c>
      <c r="P130" s="1021"/>
      <c r="Q130" s="768"/>
      <c r="R130" s="768"/>
      <c r="S130" s="768"/>
      <c r="T130" s="768"/>
      <c r="U130" s="347">
        <v>2013</v>
      </c>
      <c r="V130" s="349" t="s">
        <v>29</v>
      </c>
      <c r="W130" s="369"/>
      <c r="X130" s="369"/>
    </row>
    <row r="131" spans="1:25" s="14" customFormat="1" ht="12.75" hidden="1" customHeight="1">
      <c r="A131" s="311"/>
      <c r="B131" s="347">
        <v>2013</v>
      </c>
      <c r="C131" s="369" t="s">
        <v>35</v>
      </c>
      <c r="D131" s="1012">
        <v>6874</v>
      </c>
      <c r="E131" s="965"/>
      <c r="F131" s="965">
        <v>558</v>
      </c>
      <c r="G131" s="965"/>
      <c r="H131" s="965">
        <v>937</v>
      </c>
      <c r="I131" s="965"/>
      <c r="J131" s="965">
        <v>28</v>
      </c>
      <c r="K131" s="965"/>
      <c r="L131" s="1024">
        <v>265</v>
      </c>
      <c r="M131" s="965"/>
      <c r="N131" s="965"/>
      <c r="O131" s="965">
        <f t="shared" si="8"/>
        <v>8662</v>
      </c>
      <c r="P131" s="1021"/>
      <c r="Q131" s="768"/>
      <c r="R131" s="768"/>
      <c r="S131" s="768"/>
      <c r="T131" s="768"/>
      <c r="U131" s="347">
        <v>2013</v>
      </c>
      <c r="V131" s="349" t="s">
        <v>78</v>
      </c>
      <c r="W131" s="369"/>
      <c r="X131" s="369"/>
    </row>
    <row r="132" spans="1:25" s="14" customFormat="1" ht="12.75" hidden="1" customHeight="1">
      <c r="A132" s="311"/>
      <c r="B132" s="347">
        <v>2013</v>
      </c>
      <c r="C132" s="369" t="s">
        <v>4</v>
      </c>
      <c r="D132" s="1012">
        <v>6029</v>
      </c>
      <c r="E132" s="965"/>
      <c r="F132" s="965">
        <v>565</v>
      </c>
      <c r="G132" s="965"/>
      <c r="H132" s="965">
        <v>800</v>
      </c>
      <c r="I132" s="965"/>
      <c r="J132" s="965">
        <v>33</v>
      </c>
      <c r="K132" s="965"/>
      <c r="L132" s="1024">
        <v>243</v>
      </c>
      <c r="M132" s="965"/>
      <c r="N132" s="965"/>
      <c r="O132" s="965">
        <f t="shared" si="8"/>
        <v>7670</v>
      </c>
      <c r="P132" s="1021"/>
      <c r="Q132" s="768"/>
      <c r="R132" s="768"/>
      <c r="S132" s="768"/>
      <c r="T132" s="768"/>
      <c r="U132" s="347">
        <v>2013</v>
      </c>
      <c r="V132" s="349" t="s">
        <v>79</v>
      </c>
      <c r="W132" s="369"/>
      <c r="X132" s="369"/>
    </row>
    <row r="133" spans="1:25" s="14" customFormat="1" ht="12.75" hidden="1" customHeight="1">
      <c r="A133" s="311"/>
      <c r="B133" s="347">
        <v>2013</v>
      </c>
      <c r="C133" s="369" t="s">
        <v>30</v>
      </c>
      <c r="D133" s="1012">
        <v>9152</v>
      </c>
      <c r="E133" s="965"/>
      <c r="F133" s="965">
        <v>723</v>
      </c>
      <c r="G133" s="965"/>
      <c r="H133" s="965">
        <v>775</v>
      </c>
      <c r="I133" s="965"/>
      <c r="J133" s="965">
        <v>62</v>
      </c>
      <c r="K133" s="965"/>
      <c r="L133" s="1024">
        <v>494</v>
      </c>
      <c r="M133" s="965"/>
      <c r="N133" s="965"/>
      <c r="O133" s="965">
        <f t="shared" si="8"/>
        <v>11206</v>
      </c>
      <c r="P133" s="1021"/>
      <c r="Q133" s="768"/>
      <c r="R133" s="768"/>
      <c r="S133" s="768"/>
      <c r="T133" s="768"/>
      <c r="U133" s="347">
        <v>2013</v>
      </c>
      <c r="V133" s="349" t="s">
        <v>80</v>
      </c>
      <c r="W133" s="369"/>
      <c r="X133" s="369"/>
    </row>
    <row r="134" spans="1:25" s="14" customFormat="1" ht="12.75" hidden="1" customHeight="1">
      <c r="A134" s="311"/>
      <c r="B134" s="347">
        <v>2013</v>
      </c>
      <c r="C134" s="369" t="s">
        <v>36</v>
      </c>
      <c r="D134" s="1012">
        <v>9819</v>
      </c>
      <c r="E134" s="965"/>
      <c r="F134" s="965">
        <v>853</v>
      </c>
      <c r="G134" s="965"/>
      <c r="H134" s="965">
        <v>582</v>
      </c>
      <c r="I134" s="965"/>
      <c r="J134" s="965">
        <v>89</v>
      </c>
      <c r="K134" s="965"/>
      <c r="L134" s="1024">
        <v>512</v>
      </c>
      <c r="M134" s="965"/>
      <c r="N134" s="965"/>
      <c r="O134" s="965">
        <f t="shared" si="8"/>
        <v>11855</v>
      </c>
      <c r="P134" s="1021"/>
      <c r="Q134" s="768"/>
      <c r="R134" s="768"/>
      <c r="S134" s="768"/>
      <c r="T134" s="768"/>
      <c r="U134" s="347">
        <v>2013</v>
      </c>
      <c r="V134" s="349" t="s">
        <v>81</v>
      </c>
      <c r="W134" s="369"/>
      <c r="X134" s="369"/>
    </row>
    <row r="135" spans="1:25" s="14" customFormat="1" ht="12.75" hidden="1" customHeight="1">
      <c r="A135" s="311"/>
      <c r="B135" s="347">
        <v>2013</v>
      </c>
      <c r="C135" s="369" t="s">
        <v>37</v>
      </c>
      <c r="D135" s="1012">
        <v>8678</v>
      </c>
      <c r="E135" s="965"/>
      <c r="F135" s="965">
        <v>767</v>
      </c>
      <c r="G135" s="965"/>
      <c r="H135" s="965">
        <v>1001</v>
      </c>
      <c r="I135" s="965"/>
      <c r="J135" s="965">
        <v>59</v>
      </c>
      <c r="K135" s="965"/>
      <c r="L135" s="1024">
        <v>292</v>
      </c>
      <c r="M135" s="965"/>
      <c r="N135" s="965"/>
      <c r="O135" s="965">
        <f t="shared" si="8"/>
        <v>10797</v>
      </c>
      <c r="P135" s="1021"/>
      <c r="Q135" s="768"/>
      <c r="R135" s="768"/>
      <c r="S135" s="768"/>
      <c r="T135" s="768"/>
      <c r="U135" s="347">
        <v>2013</v>
      </c>
      <c r="V135" s="349" t="s">
        <v>82</v>
      </c>
      <c r="W135" s="369"/>
      <c r="X135" s="369"/>
    </row>
    <row r="136" spans="1:25" s="14" customFormat="1" ht="12.75" hidden="1" customHeight="1">
      <c r="A136" s="311"/>
      <c r="B136" s="347">
        <v>2013</v>
      </c>
      <c r="C136" s="369" t="s">
        <v>31</v>
      </c>
      <c r="D136" s="1012">
        <v>9814</v>
      </c>
      <c r="E136" s="965"/>
      <c r="F136" s="965">
        <v>567</v>
      </c>
      <c r="G136" s="965"/>
      <c r="H136" s="965">
        <v>847</v>
      </c>
      <c r="I136" s="965"/>
      <c r="J136" s="965">
        <v>70</v>
      </c>
      <c r="K136" s="965"/>
      <c r="L136" s="1024">
        <v>298</v>
      </c>
      <c r="M136" s="965"/>
      <c r="N136" s="965"/>
      <c r="O136" s="965">
        <f t="shared" si="8"/>
        <v>11596</v>
      </c>
      <c r="P136" s="1021"/>
      <c r="Q136" s="768"/>
      <c r="R136" s="768"/>
      <c r="S136" s="768"/>
      <c r="T136" s="768"/>
      <c r="U136" s="347">
        <v>2013</v>
      </c>
      <c r="V136" s="349" t="s">
        <v>31</v>
      </c>
      <c r="W136" s="369"/>
      <c r="X136" s="369"/>
    </row>
    <row r="137" spans="1:25" s="14" customFormat="1" ht="12.75" hidden="1" customHeight="1">
      <c r="A137" s="311"/>
      <c r="B137" s="347">
        <v>2013</v>
      </c>
      <c r="C137" s="369" t="s">
        <v>38</v>
      </c>
      <c r="D137" s="1012">
        <v>8806</v>
      </c>
      <c r="E137" s="965"/>
      <c r="F137" s="965">
        <v>705</v>
      </c>
      <c r="G137" s="965"/>
      <c r="H137" s="965">
        <v>849</v>
      </c>
      <c r="I137" s="965"/>
      <c r="J137" s="965">
        <v>82</v>
      </c>
      <c r="K137" s="965"/>
      <c r="L137" s="1024">
        <v>385</v>
      </c>
      <c r="M137" s="965"/>
      <c r="N137" s="965"/>
      <c r="O137" s="965">
        <f t="shared" si="8"/>
        <v>10827</v>
      </c>
      <c r="P137" s="1021"/>
      <c r="Q137" s="768"/>
      <c r="R137" s="768"/>
      <c r="S137" s="768"/>
      <c r="T137" s="768"/>
      <c r="U137" s="347">
        <v>2013</v>
      </c>
      <c r="V137" s="349" t="s">
        <v>38</v>
      </c>
      <c r="W137" s="369"/>
      <c r="X137" s="369"/>
    </row>
    <row r="138" spans="1:25" s="14" customFormat="1" ht="12.75" hidden="1" customHeight="1">
      <c r="A138" s="311"/>
      <c r="B138" s="347">
        <v>2013</v>
      </c>
      <c r="C138" s="369" t="s">
        <v>39</v>
      </c>
      <c r="D138" s="1012">
        <v>6389</v>
      </c>
      <c r="E138" s="965"/>
      <c r="F138" s="965">
        <v>566</v>
      </c>
      <c r="G138" s="965"/>
      <c r="H138" s="965">
        <v>757</v>
      </c>
      <c r="I138" s="965"/>
      <c r="J138" s="965">
        <v>36</v>
      </c>
      <c r="K138" s="965"/>
      <c r="L138" s="1024">
        <v>375</v>
      </c>
      <c r="M138" s="965"/>
      <c r="N138" s="965"/>
      <c r="O138" s="965">
        <f t="shared" si="8"/>
        <v>8123</v>
      </c>
      <c r="P138" s="1021"/>
      <c r="Q138" s="768"/>
      <c r="R138" s="768"/>
      <c r="S138" s="768"/>
      <c r="T138" s="768"/>
      <c r="U138" s="347">
        <v>2013</v>
      </c>
      <c r="V138" s="349" t="s">
        <v>39</v>
      </c>
      <c r="W138" s="369"/>
      <c r="X138" s="369"/>
    </row>
    <row r="139" spans="1:25" s="14" customFormat="1" ht="12.75" hidden="1" customHeight="1">
      <c r="A139" s="311"/>
      <c r="B139" s="347">
        <v>2013</v>
      </c>
      <c r="C139" s="369" t="s">
        <v>32</v>
      </c>
      <c r="D139" s="1012">
        <v>8389</v>
      </c>
      <c r="E139" s="965"/>
      <c r="F139" s="965">
        <v>824</v>
      </c>
      <c r="G139" s="965"/>
      <c r="H139" s="965">
        <v>392</v>
      </c>
      <c r="I139" s="965"/>
      <c r="J139" s="965">
        <v>18</v>
      </c>
      <c r="K139" s="965"/>
      <c r="L139" s="1024">
        <v>230</v>
      </c>
      <c r="M139" s="965"/>
      <c r="N139" s="965"/>
      <c r="O139" s="965">
        <f t="shared" si="8"/>
        <v>9853</v>
      </c>
      <c r="P139" s="1021"/>
      <c r="Q139" s="768"/>
      <c r="R139" s="768"/>
      <c r="S139" s="768"/>
      <c r="T139" s="768"/>
      <c r="U139" s="347">
        <v>2013</v>
      </c>
      <c r="V139" s="349" t="s">
        <v>32</v>
      </c>
      <c r="W139" s="369"/>
      <c r="X139" s="369"/>
    </row>
    <row r="140" spans="1:25" s="14" customFormat="1" ht="12.75" hidden="1" customHeight="1">
      <c r="A140" s="311"/>
      <c r="B140" s="347">
        <v>2014</v>
      </c>
      <c r="C140" s="369" t="s">
        <v>33</v>
      </c>
      <c r="D140" s="1012">
        <v>7317</v>
      </c>
      <c r="E140" s="965"/>
      <c r="F140" s="965">
        <v>544</v>
      </c>
      <c r="G140" s="965"/>
      <c r="H140" s="965">
        <v>335</v>
      </c>
      <c r="I140" s="965"/>
      <c r="J140" s="965">
        <v>63</v>
      </c>
      <c r="K140" s="965"/>
      <c r="L140" s="1024">
        <v>188</v>
      </c>
      <c r="M140" s="965"/>
      <c r="N140" s="965"/>
      <c r="O140" s="965">
        <f t="shared" si="8"/>
        <v>8447</v>
      </c>
      <c r="P140" s="1021"/>
      <c r="Q140" s="768"/>
      <c r="R140" s="768"/>
      <c r="S140" s="768"/>
      <c r="T140" s="768"/>
      <c r="U140" s="347">
        <v>2014</v>
      </c>
      <c r="V140" s="349" t="s">
        <v>33</v>
      </c>
      <c r="W140" s="369"/>
      <c r="X140" s="369"/>
    </row>
    <row r="141" spans="1:25" s="14" customFormat="1" ht="12.75" hidden="1" customHeight="1">
      <c r="A141" s="311"/>
      <c r="B141" s="347">
        <v>2014</v>
      </c>
      <c r="C141" s="369" t="s">
        <v>34</v>
      </c>
      <c r="D141" s="1012">
        <v>3773</v>
      </c>
      <c r="E141" s="965"/>
      <c r="F141" s="965">
        <v>407</v>
      </c>
      <c r="G141" s="965"/>
      <c r="H141" s="965">
        <v>462</v>
      </c>
      <c r="I141" s="965"/>
      <c r="J141" s="965">
        <v>47</v>
      </c>
      <c r="K141" s="965"/>
      <c r="L141" s="1024">
        <v>320</v>
      </c>
      <c r="M141" s="965"/>
      <c r="N141" s="965"/>
      <c r="O141" s="965">
        <f t="shared" si="8"/>
        <v>5009</v>
      </c>
      <c r="P141" s="1021"/>
      <c r="Q141" s="768"/>
      <c r="R141" s="768"/>
      <c r="S141" s="768"/>
      <c r="T141" s="768"/>
      <c r="U141" s="347">
        <v>2014</v>
      </c>
      <c r="V141" s="349" t="s">
        <v>77</v>
      </c>
      <c r="W141" s="369"/>
      <c r="X141" s="369"/>
    </row>
    <row r="142" spans="1:25" s="14" customFormat="1" ht="12.75" hidden="1" customHeight="1">
      <c r="A142" s="311"/>
      <c r="B142" s="347">
        <v>2014</v>
      </c>
      <c r="C142" s="369" t="s">
        <v>29</v>
      </c>
      <c r="D142" s="1012">
        <v>4906</v>
      </c>
      <c r="E142" s="965"/>
      <c r="F142" s="965">
        <v>406</v>
      </c>
      <c r="G142" s="965"/>
      <c r="H142" s="965">
        <v>628</v>
      </c>
      <c r="I142" s="965"/>
      <c r="J142" s="965">
        <v>35</v>
      </c>
      <c r="K142" s="965"/>
      <c r="L142" s="1024">
        <v>401</v>
      </c>
      <c r="M142" s="965"/>
      <c r="N142" s="965"/>
      <c r="O142" s="965">
        <f t="shared" si="8"/>
        <v>6376</v>
      </c>
      <c r="P142" s="1021"/>
      <c r="Q142" s="768"/>
      <c r="R142" s="768"/>
      <c r="S142" s="768"/>
      <c r="T142" s="768"/>
      <c r="U142" s="347">
        <v>2014</v>
      </c>
      <c r="V142" s="349" t="s">
        <v>29</v>
      </c>
      <c r="W142" s="369"/>
      <c r="X142" s="369"/>
    </row>
    <row r="143" spans="1:25" s="14" customFormat="1" ht="12.75" hidden="1" customHeight="1">
      <c r="A143" s="311"/>
      <c r="B143" s="347">
        <v>2014</v>
      </c>
      <c r="C143" s="369" t="s">
        <v>35</v>
      </c>
      <c r="D143" s="1012">
        <v>5593</v>
      </c>
      <c r="E143" s="965"/>
      <c r="F143" s="965">
        <v>406</v>
      </c>
      <c r="G143" s="965"/>
      <c r="H143" s="965">
        <v>640</v>
      </c>
      <c r="I143" s="965"/>
      <c r="J143" s="965">
        <v>11</v>
      </c>
      <c r="K143" s="965"/>
      <c r="L143" s="1024">
        <v>154</v>
      </c>
      <c r="M143" s="965"/>
      <c r="N143" s="965"/>
      <c r="O143" s="965">
        <f t="shared" si="8"/>
        <v>6804</v>
      </c>
      <c r="P143" s="1021"/>
      <c r="Q143" s="768"/>
      <c r="R143" s="768"/>
      <c r="S143" s="768"/>
      <c r="T143" s="768"/>
      <c r="U143" s="347">
        <v>2014</v>
      </c>
      <c r="V143" s="349" t="s">
        <v>78</v>
      </c>
      <c r="W143" s="369"/>
      <c r="X143" s="369"/>
    </row>
    <row r="144" spans="1:25" s="14" customFormat="1" ht="12.75" hidden="1" customHeight="1">
      <c r="A144" s="311"/>
      <c r="B144" s="347">
        <v>2014</v>
      </c>
      <c r="C144" s="369" t="s">
        <v>4</v>
      </c>
      <c r="D144" s="1012">
        <v>6213</v>
      </c>
      <c r="E144" s="965"/>
      <c r="F144" s="965">
        <v>534</v>
      </c>
      <c r="G144" s="965"/>
      <c r="H144" s="965">
        <v>776</v>
      </c>
      <c r="I144" s="965"/>
      <c r="J144" s="965">
        <v>22</v>
      </c>
      <c r="K144" s="965"/>
      <c r="L144" s="1024">
        <v>267</v>
      </c>
      <c r="M144" s="965"/>
      <c r="N144" s="965"/>
      <c r="O144" s="965">
        <f t="shared" si="8"/>
        <v>7812</v>
      </c>
      <c r="P144" s="1021"/>
      <c r="Q144" s="768"/>
      <c r="R144" s="768"/>
      <c r="S144" s="768"/>
      <c r="T144" s="768"/>
      <c r="U144" s="347">
        <v>2014</v>
      </c>
      <c r="V144" s="349" t="s">
        <v>79</v>
      </c>
      <c r="W144" s="369"/>
      <c r="X144" s="369"/>
    </row>
    <row r="145" spans="1:50" s="14" customFormat="1" ht="12.75" hidden="1" customHeight="1">
      <c r="A145" s="311"/>
      <c r="B145" s="347">
        <v>2014</v>
      </c>
      <c r="C145" s="369" t="s">
        <v>30</v>
      </c>
      <c r="D145" s="1012">
        <v>8865</v>
      </c>
      <c r="E145" s="965"/>
      <c r="F145" s="965">
        <v>744</v>
      </c>
      <c r="G145" s="965"/>
      <c r="H145" s="965">
        <v>880</v>
      </c>
      <c r="I145" s="965"/>
      <c r="J145" s="965">
        <v>52</v>
      </c>
      <c r="K145" s="965"/>
      <c r="L145" s="1024">
        <v>376</v>
      </c>
      <c r="M145" s="965"/>
      <c r="N145" s="965"/>
      <c r="O145" s="965">
        <f t="shared" si="8"/>
        <v>10917</v>
      </c>
      <c r="P145" s="1021"/>
      <c r="Q145" s="768"/>
      <c r="R145" s="768"/>
      <c r="S145" s="768"/>
      <c r="T145" s="768"/>
      <c r="U145" s="347">
        <v>2014</v>
      </c>
      <c r="V145" s="349" t="s">
        <v>80</v>
      </c>
      <c r="W145" s="369"/>
      <c r="X145" s="369"/>
    </row>
    <row r="146" spans="1:50" s="14" customFormat="1" ht="12.75" hidden="1" customHeight="1">
      <c r="A146" s="311"/>
      <c r="B146" s="347">
        <v>2014</v>
      </c>
      <c r="C146" s="369" t="s">
        <v>36</v>
      </c>
      <c r="D146" s="1012">
        <v>9423</v>
      </c>
      <c r="E146" s="965"/>
      <c r="F146" s="965">
        <v>830</v>
      </c>
      <c r="G146" s="965"/>
      <c r="H146" s="965">
        <v>578</v>
      </c>
      <c r="I146" s="965"/>
      <c r="J146" s="965">
        <v>121</v>
      </c>
      <c r="K146" s="965"/>
      <c r="L146" s="1024">
        <v>494</v>
      </c>
      <c r="M146" s="965"/>
      <c r="N146" s="965"/>
      <c r="O146" s="965">
        <f t="shared" si="8"/>
        <v>11446</v>
      </c>
      <c r="P146" s="1021"/>
      <c r="Q146" s="768"/>
      <c r="R146" s="768"/>
      <c r="S146" s="768"/>
      <c r="T146" s="768"/>
      <c r="U146" s="347">
        <v>2014</v>
      </c>
      <c r="V146" s="349" t="s">
        <v>81</v>
      </c>
      <c r="W146" s="369"/>
      <c r="X146" s="369"/>
    </row>
    <row r="147" spans="1:50" s="14" customFormat="1" ht="12.75" hidden="1" customHeight="1">
      <c r="A147" s="311"/>
      <c r="B147" s="347">
        <v>2014</v>
      </c>
      <c r="C147" s="369" t="s">
        <v>37</v>
      </c>
      <c r="D147" s="1012">
        <v>9321</v>
      </c>
      <c r="E147" s="965"/>
      <c r="F147" s="965">
        <v>743</v>
      </c>
      <c r="G147" s="965"/>
      <c r="H147" s="965">
        <v>882</v>
      </c>
      <c r="I147" s="965"/>
      <c r="J147" s="965">
        <v>214</v>
      </c>
      <c r="K147" s="965"/>
      <c r="L147" s="1024">
        <v>705</v>
      </c>
      <c r="M147" s="965"/>
      <c r="N147" s="965"/>
      <c r="O147" s="965">
        <f t="shared" si="8"/>
        <v>11865</v>
      </c>
      <c r="P147" s="1021"/>
      <c r="Q147" s="768"/>
      <c r="R147" s="768"/>
      <c r="S147" s="768"/>
      <c r="T147" s="768"/>
      <c r="U147" s="347">
        <v>2014</v>
      </c>
      <c r="V147" s="349" t="s">
        <v>82</v>
      </c>
      <c r="W147" s="369"/>
      <c r="X147" s="369"/>
    </row>
    <row r="148" spans="1:50" s="14" customFormat="1" ht="12.75" hidden="1" customHeight="1">
      <c r="A148" s="311"/>
      <c r="B148" s="347">
        <v>2014</v>
      </c>
      <c r="C148" s="369" t="s">
        <v>31</v>
      </c>
      <c r="D148" s="1012">
        <v>8904</v>
      </c>
      <c r="E148" s="965"/>
      <c r="F148" s="965">
        <v>699</v>
      </c>
      <c r="G148" s="965"/>
      <c r="H148" s="965">
        <v>807</v>
      </c>
      <c r="I148" s="965"/>
      <c r="J148" s="965">
        <v>147</v>
      </c>
      <c r="K148" s="965"/>
      <c r="L148" s="1024">
        <v>731</v>
      </c>
      <c r="M148" s="965"/>
      <c r="N148" s="965"/>
      <c r="O148" s="965">
        <f t="shared" si="8"/>
        <v>11288</v>
      </c>
      <c r="P148" s="1021"/>
      <c r="Q148" s="768"/>
      <c r="R148" s="768"/>
      <c r="S148" s="768"/>
      <c r="T148" s="768"/>
      <c r="U148" s="347">
        <v>2014</v>
      </c>
      <c r="V148" s="349" t="s">
        <v>31</v>
      </c>
      <c r="W148" s="369"/>
      <c r="X148" s="369"/>
    </row>
    <row r="149" spans="1:50" s="14" customFormat="1" ht="12.75" hidden="1" customHeight="1">
      <c r="A149" s="311"/>
      <c r="B149" s="347">
        <v>2014</v>
      </c>
      <c r="C149" s="369" t="s">
        <v>38</v>
      </c>
      <c r="D149" s="1012">
        <v>8042</v>
      </c>
      <c r="E149" s="965"/>
      <c r="F149" s="965">
        <v>685</v>
      </c>
      <c r="G149" s="965"/>
      <c r="H149" s="965">
        <v>851</v>
      </c>
      <c r="I149" s="965"/>
      <c r="J149" s="965">
        <v>145</v>
      </c>
      <c r="K149" s="965"/>
      <c r="L149" s="1024">
        <v>810</v>
      </c>
      <c r="M149" s="965"/>
      <c r="N149" s="965"/>
      <c r="O149" s="965">
        <f t="shared" si="8"/>
        <v>10533</v>
      </c>
      <c r="P149" s="1021"/>
      <c r="Q149" s="768"/>
      <c r="R149" s="768"/>
      <c r="S149" s="768"/>
      <c r="T149" s="768"/>
      <c r="U149" s="347">
        <v>2014</v>
      </c>
      <c r="V149" s="349" t="s">
        <v>38</v>
      </c>
      <c r="W149" s="369"/>
      <c r="X149" s="369"/>
    </row>
    <row r="150" spans="1:50" s="14" customFormat="1" ht="12.75" hidden="1" customHeight="1">
      <c r="A150" s="311"/>
      <c r="B150" s="347">
        <v>2014</v>
      </c>
      <c r="C150" s="369" t="s">
        <v>39</v>
      </c>
      <c r="D150" s="1012">
        <v>5816</v>
      </c>
      <c r="E150" s="965"/>
      <c r="F150" s="965">
        <v>564</v>
      </c>
      <c r="G150" s="965"/>
      <c r="H150" s="965">
        <v>780</v>
      </c>
      <c r="I150" s="965"/>
      <c r="J150" s="965">
        <v>162</v>
      </c>
      <c r="K150" s="965"/>
      <c r="L150" s="1024">
        <v>674</v>
      </c>
      <c r="M150" s="965"/>
      <c r="N150" s="965"/>
      <c r="O150" s="965">
        <f t="shared" si="8"/>
        <v>7996</v>
      </c>
      <c r="P150" s="1021"/>
      <c r="Q150" s="768"/>
      <c r="R150" s="768"/>
      <c r="S150" s="768"/>
      <c r="T150" s="768"/>
      <c r="U150" s="347">
        <v>2014</v>
      </c>
      <c r="V150" s="349" t="s">
        <v>39</v>
      </c>
      <c r="W150" s="369"/>
      <c r="X150" s="369"/>
    </row>
    <row r="151" spans="1:50" s="14" customFormat="1" ht="12.75" hidden="1" customHeight="1">
      <c r="A151" s="311"/>
      <c r="B151" s="347">
        <v>2014</v>
      </c>
      <c r="C151" s="369" t="s">
        <v>32</v>
      </c>
      <c r="D151" s="1012">
        <v>8066</v>
      </c>
      <c r="E151" s="965"/>
      <c r="F151" s="965">
        <v>1110</v>
      </c>
      <c r="G151" s="965"/>
      <c r="H151" s="965">
        <v>388</v>
      </c>
      <c r="I151" s="965"/>
      <c r="J151" s="965">
        <v>3</v>
      </c>
      <c r="K151" s="965"/>
      <c r="L151" s="1024">
        <v>748</v>
      </c>
      <c r="M151" s="965"/>
      <c r="N151" s="965"/>
      <c r="O151" s="965">
        <f t="shared" si="8"/>
        <v>10315</v>
      </c>
      <c r="P151" s="1021"/>
      <c r="Q151" s="768"/>
      <c r="R151" s="768"/>
      <c r="S151" s="768"/>
      <c r="T151" s="768"/>
      <c r="U151" s="347">
        <v>2014</v>
      </c>
      <c r="V151" s="349" t="s">
        <v>32</v>
      </c>
      <c r="W151" s="369"/>
      <c r="X151" s="369"/>
    </row>
    <row r="152" spans="1:50" s="14" customFormat="1" ht="12.75" hidden="1" customHeight="1">
      <c r="A152" s="311"/>
      <c r="B152" s="347">
        <v>2015</v>
      </c>
      <c r="C152" s="369" t="s">
        <v>33</v>
      </c>
      <c r="D152" s="1012">
        <v>6846</v>
      </c>
      <c r="E152" s="965"/>
      <c r="F152" s="965">
        <v>524</v>
      </c>
      <c r="G152" s="965"/>
      <c r="H152" s="965">
        <v>377</v>
      </c>
      <c r="I152" s="965"/>
      <c r="J152" s="965">
        <v>11</v>
      </c>
      <c r="K152" s="965"/>
      <c r="L152" s="1024">
        <v>766</v>
      </c>
      <c r="M152" s="965"/>
      <c r="N152" s="965"/>
      <c r="O152" s="965">
        <f t="shared" si="8"/>
        <v>8524</v>
      </c>
      <c r="P152" s="1021"/>
      <c r="Q152" s="768"/>
      <c r="R152" s="768"/>
      <c r="S152" s="768"/>
      <c r="T152" s="768"/>
      <c r="U152" s="347">
        <v>2015</v>
      </c>
      <c r="V152" s="349" t="s">
        <v>33</v>
      </c>
      <c r="W152" s="369"/>
      <c r="X152" s="369"/>
    </row>
    <row r="153" spans="1:50" s="14" customFormat="1" ht="12.75" hidden="1" customHeight="1">
      <c r="A153" s="311"/>
      <c r="B153" s="347">
        <v>2015</v>
      </c>
      <c r="C153" s="369" t="s">
        <v>34</v>
      </c>
      <c r="D153" s="1012">
        <v>3702</v>
      </c>
      <c r="E153" s="965"/>
      <c r="F153" s="965">
        <v>461</v>
      </c>
      <c r="G153" s="965"/>
      <c r="H153" s="965">
        <v>556</v>
      </c>
      <c r="I153" s="965"/>
      <c r="J153" s="965">
        <v>21</v>
      </c>
      <c r="K153" s="965"/>
      <c r="L153" s="1024">
        <v>649</v>
      </c>
      <c r="M153" s="965"/>
      <c r="N153" s="965"/>
      <c r="O153" s="965">
        <f t="shared" si="8"/>
        <v>5389</v>
      </c>
      <c r="P153" s="1021"/>
      <c r="Q153" s="768"/>
      <c r="R153" s="768"/>
      <c r="S153" s="768"/>
      <c r="T153" s="768"/>
      <c r="U153" s="347">
        <v>2015</v>
      </c>
      <c r="V153" s="349" t="s">
        <v>77</v>
      </c>
      <c r="W153" s="369"/>
      <c r="X153" s="369"/>
      <c r="AW153" s="601"/>
      <c r="AX153" s="601"/>
    </row>
    <row r="154" spans="1:50" s="602" customFormat="1" ht="12.75" hidden="1" customHeight="1">
      <c r="A154" s="311"/>
      <c r="B154" s="347">
        <v>2015</v>
      </c>
      <c r="C154" s="369" t="s">
        <v>29</v>
      </c>
      <c r="D154" s="1012">
        <v>1899</v>
      </c>
      <c r="E154" s="965"/>
      <c r="F154" s="965">
        <v>689</v>
      </c>
      <c r="G154" s="965"/>
      <c r="H154" s="965">
        <v>988</v>
      </c>
      <c r="I154" s="965"/>
      <c r="J154" s="965">
        <v>2</v>
      </c>
      <c r="K154" s="965"/>
      <c r="L154" s="1024">
        <v>1259</v>
      </c>
      <c r="M154" s="965"/>
      <c r="N154" s="965"/>
      <c r="O154" s="965">
        <f t="shared" si="8"/>
        <v>4837</v>
      </c>
      <c r="P154" s="1021"/>
      <c r="Q154" s="768"/>
      <c r="R154" s="768"/>
      <c r="S154" s="768"/>
      <c r="T154" s="768"/>
      <c r="U154" s="347">
        <v>2015</v>
      </c>
      <c r="V154" s="349" t="s">
        <v>29</v>
      </c>
      <c r="W154" s="369"/>
      <c r="X154" s="369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601"/>
      <c r="AX154" s="601"/>
    </row>
    <row r="155" spans="1:50" s="14" customFormat="1" ht="12.75" hidden="1" customHeight="1">
      <c r="A155" s="311"/>
      <c r="B155" s="347">
        <v>2015</v>
      </c>
      <c r="C155" s="369" t="s">
        <v>35</v>
      </c>
      <c r="D155" s="1012">
        <v>2281</v>
      </c>
      <c r="E155" s="965"/>
      <c r="F155" s="965">
        <v>670</v>
      </c>
      <c r="G155" s="965"/>
      <c r="H155" s="965">
        <v>709</v>
      </c>
      <c r="I155" s="965"/>
      <c r="J155" s="965">
        <v>13</v>
      </c>
      <c r="K155" s="965"/>
      <c r="L155" s="1024">
        <v>905</v>
      </c>
      <c r="M155" s="965"/>
      <c r="N155" s="965"/>
      <c r="O155" s="965">
        <f t="shared" si="8"/>
        <v>4578</v>
      </c>
      <c r="P155" s="1021"/>
      <c r="Q155" s="768"/>
      <c r="R155" s="768"/>
      <c r="S155" s="768"/>
      <c r="T155" s="768"/>
      <c r="U155" s="347">
        <v>2015</v>
      </c>
      <c r="V155" s="349" t="s">
        <v>78</v>
      </c>
      <c r="W155" s="369"/>
      <c r="X155" s="369"/>
      <c r="AW155" s="601"/>
      <c r="AX155" s="601"/>
    </row>
    <row r="156" spans="1:50" s="14" customFormat="1" ht="12.75" hidden="1" customHeight="1">
      <c r="A156" s="311"/>
      <c r="B156" s="347">
        <v>2015</v>
      </c>
      <c r="C156" s="369" t="s">
        <v>4</v>
      </c>
      <c r="D156" s="1012">
        <v>3618</v>
      </c>
      <c r="E156" s="965"/>
      <c r="F156" s="965">
        <v>607</v>
      </c>
      <c r="G156" s="965"/>
      <c r="H156" s="965">
        <v>936</v>
      </c>
      <c r="I156" s="965"/>
      <c r="J156" s="965">
        <v>19</v>
      </c>
      <c r="K156" s="965"/>
      <c r="L156" s="1024">
        <v>607</v>
      </c>
      <c r="M156" s="965"/>
      <c r="N156" s="965"/>
      <c r="O156" s="965">
        <f t="shared" si="8"/>
        <v>5787</v>
      </c>
      <c r="P156" s="1021"/>
      <c r="Q156" s="768"/>
      <c r="R156" s="768"/>
      <c r="S156" s="768"/>
      <c r="T156" s="768"/>
      <c r="U156" s="347">
        <v>2015</v>
      </c>
      <c r="V156" s="349" t="s">
        <v>79</v>
      </c>
      <c r="W156" s="369"/>
      <c r="X156" s="369"/>
      <c r="AW156" s="601"/>
      <c r="AX156" s="601"/>
    </row>
    <row r="157" spans="1:50" s="14" customFormat="1" ht="12.75" hidden="1" customHeight="1">
      <c r="A157" s="311"/>
      <c r="B157" s="347">
        <v>2015</v>
      </c>
      <c r="C157" s="369" t="s">
        <v>30</v>
      </c>
      <c r="D157" s="1012">
        <v>5643</v>
      </c>
      <c r="E157" s="965"/>
      <c r="F157" s="965">
        <v>851</v>
      </c>
      <c r="G157" s="965"/>
      <c r="H157" s="965">
        <v>761</v>
      </c>
      <c r="I157" s="965"/>
      <c r="J157" s="965">
        <v>42</v>
      </c>
      <c r="K157" s="965"/>
      <c r="L157" s="1024">
        <v>992</v>
      </c>
      <c r="M157" s="965"/>
      <c r="N157" s="965"/>
      <c r="O157" s="965">
        <f t="shared" si="8"/>
        <v>8289</v>
      </c>
      <c r="P157" s="1021"/>
      <c r="Q157" s="768"/>
      <c r="R157" s="768"/>
      <c r="S157" s="768"/>
      <c r="T157" s="768"/>
      <c r="U157" s="347">
        <v>2015</v>
      </c>
      <c r="V157" s="349" t="s">
        <v>80</v>
      </c>
      <c r="W157" s="369"/>
      <c r="X157" s="369"/>
      <c r="AW157" s="601"/>
      <c r="AX157" s="601"/>
    </row>
    <row r="158" spans="1:50" s="14" customFormat="1" ht="12.75" hidden="1" customHeight="1">
      <c r="A158" s="311"/>
      <c r="B158" s="347">
        <v>2015</v>
      </c>
      <c r="C158" s="369" t="s">
        <v>36</v>
      </c>
      <c r="D158" s="1012">
        <v>7771</v>
      </c>
      <c r="E158" s="965"/>
      <c r="F158" s="965">
        <v>873</v>
      </c>
      <c r="G158" s="965"/>
      <c r="H158" s="965">
        <v>629</v>
      </c>
      <c r="I158" s="965"/>
      <c r="J158" s="965">
        <v>47</v>
      </c>
      <c r="K158" s="965"/>
      <c r="L158" s="1024">
        <v>711</v>
      </c>
      <c r="M158" s="965"/>
      <c r="N158" s="965"/>
      <c r="O158" s="965">
        <f t="shared" si="8"/>
        <v>10031</v>
      </c>
      <c r="P158" s="1021"/>
      <c r="Q158" s="768"/>
      <c r="R158" s="768"/>
      <c r="S158" s="768"/>
      <c r="T158" s="768"/>
      <c r="U158" s="347">
        <v>2015</v>
      </c>
      <c r="V158" s="349" t="s">
        <v>81</v>
      </c>
      <c r="W158" s="369"/>
      <c r="X158" s="369"/>
      <c r="AW158" s="601"/>
      <c r="AX158" s="601"/>
    </row>
    <row r="159" spans="1:50" s="14" customFormat="1" ht="12.75" hidden="1" customHeight="1">
      <c r="A159" s="311"/>
      <c r="B159" s="347">
        <v>2015</v>
      </c>
      <c r="C159" s="369" t="s">
        <v>37</v>
      </c>
      <c r="D159" s="1012">
        <v>6154</v>
      </c>
      <c r="E159" s="965"/>
      <c r="F159" s="965">
        <v>796</v>
      </c>
      <c r="G159" s="965"/>
      <c r="H159" s="965">
        <v>831</v>
      </c>
      <c r="I159" s="965"/>
      <c r="J159" s="965">
        <v>35</v>
      </c>
      <c r="K159" s="965"/>
      <c r="L159" s="1024">
        <v>574</v>
      </c>
      <c r="M159" s="965"/>
      <c r="N159" s="965"/>
      <c r="O159" s="965">
        <f t="shared" si="8"/>
        <v>8390</v>
      </c>
      <c r="P159" s="1021"/>
      <c r="Q159" s="768"/>
      <c r="R159" s="768"/>
      <c r="S159" s="768"/>
      <c r="T159" s="768"/>
      <c r="U159" s="347">
        <v>2015</v>
      </c>
      <c r="V159" s="349" t="s">
        <v>82</v>
      </c>
      <c r="W159" s="369"/>
      <c r="X159" s="369"/>
      <c r="AW159" s="601"/>
      <c r="AX159" s="601"/>
    </row>
    <row r="160" spans="1:50" s="53" customFormat="1" ht="12.75" hidden="1" customHeight="1">
      <c r="A160" s="1121"/>
      <c r="B160" s="347">
        <v>2015</v>
      </c>
      <c r="C160" s="369" t="s">
        <v>31</v>
      </c>
      <c r="D160" s="1012">
        <v>6956</v>
      </c>
      <c r="E160" s="965"/>
      <c r="F160" s="965">
        <v>712</v>
      </c>
      <c r="G160" s="965"/>
      <c r="H160" s="965">
        <v>836</v>
      </c>
      <c r="I160" s="965"/>
      <c r="J160" s="965">
        <v>59</v>
      </c>
      <c r="K160" s="965"/>
      <c r="L160" s="965">
        <v>608</v>
      </c>
      <c r="M160" s="965"/>
      <c r="N160" s="965"/>
      <c r="O160" s="965">
        <f t="shared" si="8"/>
        <v>9171</v>
      </c>
      <c r="P160" s="1020"/>
      <c r="Q160" s="768"/>
      <c r="R160" s="768"/>
      <c r="S160" s="768"/>
      <c r="T160" s="768"/>
      <c r="U160" s="347">
        <v>2015</v>
      </c>
      <c r="V160" s="349" t="s">
        <v>31</v>
      </c>
      <c r="W160" s="369"/>
      <c r="X160" s="369"/>
      <c r="AW160" s="603"/>
      <c r="AX160" s="603"/>
    </row>
    <row r="161" spans="1:50" s="53" customFormat="1" ht="12.75" hidden="1" customHeight="1">
      <c r="A161" s="1121"/>
      <c r="B161" s="347">
        <v>2015</v>
      </c>
      <c r="C161" s="369" t="s">
        <v>38</v>
      </c>
      <c r="D161" s="1012">
        <v>6468</v>
      </c>
      <c r="E161" s="965"/>
      <c r="F161" s="965">
        <v>694</v>
      </c>
      <c r="G161" s="965"/>
      <c r="H161" s="965">
        <v>704</v>
      </c>
      <c r="I161" s="965"/>
      <c r="J161" s="965">
        <v>30</v>
      </c>
      <c r="K161" s="965"/>
      <c r="L161" s="965">
        <v>637</v>
      </c>
      <c r="M161" s="965"/>
      <c r="N161" s="965"/>
      <c r="O161" s="965">
        <f t="shared" si="8"/>
        <v>8533</v>
      </c>
      <c r="P161" s="1020"/>
      <c r="Q161" s="768"/>
      <c r="R161" s="768"/>
      <c r="S161" s="768"/>
      <c r="T161" s="768"/>
      <c r="U161" s="347">
        <v>2015</v>
      </c>
      <c r="V161" s="349" t="s">
        <v>38</v>
      </c>
      <c r="W161" s="369"/>
      <c r="X161" s="369"/>
      <c r="AW161" s="603"/>
      <c r="AX161" s="603"/>
    </row>
    <row r="162" spans="1:50" s="53" customFormat="1" ht="12.75" hidden="1" customHeight="1">
      <c r="A162" s="1121"/>
      <c r="B162" s="347">
        <v>2015</v>
      </c>
      <c r="C162" s="369" t="s">
        <v>39</v>
      </c>
      <c r="D162" s="1012">
        <v>5147</v>
      </c>
      <c r="E162" s="965"/>
      <c r="F162" s="965">
        <v>637</v>
      </c>
      <c r="G162" s="965"/>
      <c r="H162" s="965">
        <v>809</v>
      </c>
      <c r="I162" s="965"/>
      <c r="J162" s="965">
        <v>40</v>
      </c>
      <c r="K162" s="965"/>
      <c r="L162" s="965">
        <v>642</v>
      </c>
      <c r="M162" s="965"/>
      <c r="N162" s="965"/>
      <c r="O162" s="965">
        <v>7275</v>
      </c>
      <c r="P162" s="1020"/>
      <c r="Q162" s="768"/>
      <c r="R162" s="768"/>
      <c r="S162" s="768"/>
      <c r="T162" s="768"/>
      <c r="U162" s="347">
        <v>2015</v>
      </c>
      <c r="V162" s="349" t="s">
        <v>39</v>
      </c>
      <c r="W162" s="369"/>
      <c r="X162" s="369"/>
      <c r="AW162" s="603"/>
      <c r="AX162" s="603"/>
    </row>
    <row r="163" spans="1:50" s="53" customFormat="1" ht="12.75" hidden="1" customHeight="1">
      <c r="A163" s="1121"/>
      <c r="B163" s="347">
        <v>2015</v>
      </c>
      <c r="C163" s="369" t="s">
        <v>32</v>
      </c>
      <c r="D163" s="1012">
        <v>7140</v>
      </c>
      <c r="E163" s="965"/>
      <c r="F163" s="965">
        <v>981</v>
      </c>
      <c r="G163" s="965"/>
      <c r="H163" s="965">
        <v>551</v>
      </c>
      <c r="I163" s="965"/>
      <c r="J163" s="965">
        <v>17</v>
      </c>
      <c r="K163" s="965"/>
      <c r="L163" s="965">
        <v>459</v>
      </c>
      <c r="M163" s="965"/>
      <c r="N163" s="965"/>
      <c r="O163" s="965">
        <v>9148</v>
      </c>
      <c r="P163" s="1020"/>
      <c r="Q163" s="768"/>
      <c r="R163" s="768"/>
      <c r="S163" s="768"/>
      <c r="T163" s="768"/>
      <c r="U163" s="347">
        <v>2015</v>
      </c>
      <c r="V163" s="349" t="s">
        <v>32</v>
      </c>
      <c r="W163" s="369"/>
      <c r="X163" s="369"/>
      <c r="AW163" s="603"/>
      <c r="AX163" s="603"/>
    </row>
    <row r="164" spans="1:50" s="53" customFormat="1" ht="12.75" hidden="1" customHeight="1">
      <c r="A164" s="1121"/>
      <c r="B164" s="347">
        <v>2016</v>
      </c>
      <c r="C164" s="369" t="s">
        <v>33</v>
      </c>
      <c r="D164" s="1012">
        <v>6918</v>
      </c>
      <c r="E164" s="965"/>
      <c r="F164" s="965">
        <v>613</v>
      </c>
      <c r="G164" s="965"/>
      <c r="H164" s="965">
        <v>363</v>
      </c>
      <c r="I164" s="965"/>
      <c r="J164" s="965">
        <v>20</v>
      </c>
      <c r="K164" s="965"/>
      <c r="L164" s="965">
        <v>565</v>
      </c>
      <c r="M164" s="965"/>
      <c r="N164" s="965"/>
      <c r="O164" s="965">
        <f t="shared" ref="O164:O195" si="9">SUM(D164:L164)</f>
        <v>8479</v>
      </c>
      <c r="P164" s="1020"/>
      <c r="Q164" s="922"/>
      <c r="R164" s="922"/>
      <c r="S164" s="922"/>
      <c r="T164" s="768"/>
      <c r="U164" s="347">
        <v>2016</v>
      </c>
      <c r="V164" s="349" t="s">
        <v>33</v>
      </c>
      <c r="W164" s="369"/>
      <c r="X164" s="369"/>
      <c r="AW164" s="603"/>
      <c r="AX164" s="603"/>
    </row>
    <row r="165" spans="1:50" s="604" customFormat="1" ht="12.75" hidden="1" customHeight="1">
      <c r="A165" s="1121"/>
      <c r="B165" s="347">
        <v>2016</v>
      </c>
      <c r="C165" s="369" t="s">
        <v>34</v>
      </c>
      <c r="D165" s="1012">
        <v>3249</v>
      </c>
      <c r="E165" s="965"/>
      <c r="F165" s="965">
        <v>323</v>
      </c>
      <c r="G165" s="965"/>
      <c r="H165" s="965">
        <v>373</v>
      </c>
      <c r="I165" s="965"/>
      <c r="J165" s="965">
        <v>30</v>
      </c>
      <c r="K165" s="965"/>
      <c r="L165" s="965">
        <v>299</v>
      </c>
      <c r="M165" s="965"/>
      <c r="N165" s="965"/>
      <c r="O165" s="965">
        <f t="shared" si="9"/>
        <v>4274</v>
      </c>
      <c r="P165" s="1020"/>
      <c r="Q165" s="1088"/>
      <c r="R165" s="1088"/>
      <c r="S165" s="1088"/>
      <c r="T165" s="768"/>
      <c r="U165" s="347">
        <v>2016</v>
      </c>
      <c r="V165" s="349" t="s">
        <v>77</v>
      </c>
      <c r="W165" s="369"/>
      <c r="X165" s="369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603"/>
      <c r="AX165" s="603"/>
    </row>
    <row r="166" spans="1:50" s="53" customFormat="1" ht="12.75" hidden="1" customHeight="1">
      <c r="A166" s="1121"/>
      <c r="B166" s="347">
        <v>2016</v>
      </c>
      <c r="C166" s="369" t="s">
        <v>29</v>
      </c>
      <c r="D166" s="1012">
        <v>2989</v>
      </c>
      <c r="E166" s="965"/>
      <c r="F166" s="965">
        <v>396</v>
      </c>
      <c r="G166" s="965"/>
      <c r="H166" s="965">
        <v>410</v>
      </c>
      <c r="I166" s="965"/>
      <c r="J166" s="965">
        <v>7</v>
      </c>
      <c r="K166" s="965"/>
      <c r="L166" s="965">
        <v>353</v>
      </c>
      <c r="M166" s="965"/>
      <c r="N166" s="965"/>
      <c r="O166" s="965">
        <f t="shared" si="9"/>
        <v>4155</v>
      </c>
      <c r="P166" s="1020"/>
      <c r="Q166" s="768"/>
      <c r="R166" s="768"/>
      <c r="S166" s="768"/>
      <c r="T166" s="768"/>
      <c r="U166" s="347">
        <v>2016</v>
      </c>
      <c r="V166" s="349" t="s">
        <v>29</v>
      </c>
      <c r="W166" s="369"/>
      <c r="X166" s="369"/>
      <c r="AW166" s="603"/>
      <c r="AX166" s="603"/>
    </row>
    <row r="167" spans="1:50" s="53" customFormat="1" ht="12.75" hidden="1" customHeight="1">
      <c r="A167" s="1121"/>
      <c r="B167" s="347">
        <v>2016</v>
      </c>
      <c r="C167" s="369" t="s">
        <v>35</v>
      </c>
      <c r="D167" s="1012">
        <v>4470</v>
      </c>
      <c r="E167" s="965"/>
      <c r="F167" s="965">
        <v>476</v>
      </c>
      <c r="G167" s="965"/>
      <c r="H167" s="965">
        <v>605</v>
      </c>
      <c r="I167" s="965"/>
      <c r="J167" s="965">
        <v>53</v>
      </c>
      <c r="K167" s="965"/>
      <c r="L167" s="965">
        <v>479</v>
      </c>
      <c r="M167" s="965"/>
      <c r="N167" s="965"/>
      <c r="O167" s="965">
        <f t="shared" si="9"/>
        <v>6083</v>
      </c>
      <c r="P167" s="1020"/>
      <c r="Q167" s="768"/>
      <c r="R167" s="768"/>
      <c r="S167" s="768"/>
      <c r="T167" s="768"/>
      <c r="U167" s="347">
        <v>2016</v>
      </c>
      <c r="V167" s="349" t="s">
        <v>78</v>
      </c>
      <c r="W167" s="369"/>
      <c r="X167" s="369"/>
      <c r="AW167" s="603"/>
      <c r="AX167" s="603"/>
    </row>
    <row r="168" spans="1:50" s="53" customFormat="1" ht="12.75" hidden="1" customHeight="1">
      <c r="A168" s="1121"/>
      <c r="B168" s="347">
        <v>2016</v>
      </c>
      <c r="C168" s="369" t="s">
        <v>4</v>
      </c>
      <c r="D168" s="1012">
        <v>3820</v>
      </c>
      <c r="E168" s="965"/>
      <c r="F168" s="965">
        <v>605</v>
      </c>
      <c r="G168" s="965"/>
      <c r="H168" s="965">
        <v>908</v>
      </c>
      <c r="I168" s="965"/>
      <c r="J168" s="965">
        <v>47</v>
      </c>
      <c r="K168" s="965"/>
      <c r="L168" s="965">
        <v>362</v>
      </c>
      <c r="M168" s="965"/>
      <c r="N168" s="965"/>
      <c r="O168" s="965">
        <f t="shared" si="9"/>
        <v>5742</v>
      </c>
      <c r="P168" s="1020"/>
      <c r="Q168" s="768"/>
      <c r="R168" s="768"/>
      <c r="S168" s="768"/>
      <c r="T168" s="768"/>
      <c r="U168" s="347">
        <v>2016</v>
      </c>
      <c r="V168" s="349" t="s">
        <v>79</v>
      </c>
      <c r="W168" s="369"/>
      <c r="X168" s="369"/>
      <c r="AW168" s="603"/>
      <c r="AX168" s="603"/>
    </row>
    <row r="169" spans="1:50" s="53" customFormat="1" ht="12.75" hidden="1" customHeight="1">
      <c r="A169" s="1121"/>
      <c r="B169" s="347">
        <v>2016</v>
      </c>
      <c r="C169" s="369" t="s">
        <v>30</v>
      </c>
      <c r="D169" s="1012">
        <v>6905</v>
      </c>
      <c r="E169" s="965"/>
      <c r="F169" s="965">
        <v>782</v>
      </c>
      <c r="G169" s="965"/>
      <c r="H169" s="965">
        <v>826</v>
      </c>
      <c r="I169" s="965"/>
      <c r="J169" s="965">
        <v>63</v>
      </c>
      <c r="K169" s="965"/>
      <c r="L169" s="965">
        <v>582</v>
      </c>
      <c r="M169" s="965"/>
      <c r="N169" s="965"/>
      <c r="O169" s="965">
        <f t="shared" si="9"/>
        <v>9158</v>
      </c>
      <c r="P169" s="1020"/>
      <c r="Q169" s="768"/>
      <c r="R169" s="768"/>
      <c r="S169" s="768"/>
      <c r="T169" s="768"/>
      <c r="U169" s="347">
        <v>2016</v>
      </c>
      <c r="V169" s="349" t="s">
        <v>80</v>
      </c>
      <c r="W169" s="369"/>
      <c r="X169" s="369"/>
      <c r="AW169" s="603"/>
      <c r="AX169" s="603"/>
    </row>
    <row r="170" spans="1:50" s="53" customFormat="1" ht="12.75" hidden="1" customHeight="1">
      <c r="A170" s="1121"/>
      <c r="B170" s="347">
        <v>2016</v>
      </c>
      <c r="C170" s="369" t="s">
        <v>36</v>
      </c>
      <c r="D170" s="1012">
        <v>8347</v>
      </c>
      <c r="E170" s="965"/>
      <c r="F170" s="965">
        <v>969</v>
      </c>
      <c r="G170" s="965"/>
      <c r="H170" s="965">
        <v>842</v>
      </c>
      <c r="I170" s="965"/>
      <c r="J170" s="965">
        <v>74</v>
      </c>
      <c r="K170" s="965"/>
      <c r="L170" s="965">
        <v>632</v>
      </c>
      <c r="M170" s="965"/>
      <c r="N170" s="965"/>
      <c r="O170" s="965">
        <f t="shared" si="9"/>
        <v>10864</v>
      </c>
      <c r="P170" s="1020"/>
      <c r="Q170" s="768"/>
      <c r="R170" s="768"/>
      <c r="S170" s="768"/>
      <c r="T170" s="768"/>
      <c r="U170" s="347">
        <v>2016</v>
      </c>
      <c r="V170" s="349" t="s">
        <v>264</v>
      </c>
      <c r="W170" s="369"/>
      <c r="X170" s="369"/>
      <c r="AW170" s="603"/>
      <c r="AX170" s="603"/>
    </row>
    <row r="171" spans="1:50" s="53" customFormat="1" ht="12.75" hidden="1" customHeight="1">
      <c r="A171" s="1121"/>
      <c r="B171" s="347">
        <v>2016</v>
      </c>
      <c r="C171" s="369" t="s">
        <v>37</v>
      </c>
      <c r="D171" s="1012">
        <v>6992</v>
      </c>
      <c r="E171" s="965"/>
      <c r="F171" s="965">
        <v>900</v>
      </c>
      <c r="G171" s="965"/>
      <c r="H171" s="965">
        <v>1010</v>
      </c>
      <c r="I171" s="965"/>
      <c r="J171" s="965">
        <v>62</v>
      </c>
      <c r="K171" s="965"/>
      <c r="L171" s="965">
        <v>855</v>
      </c>
      <c r="M171" s="965"/>
      <c r="N171" s="965"/>
      <c r="O171" s="965">
        <f t="shared" si="9"/>
        <v>9819</v>
      </c>
      <c r="P171" s="1020"/>
      <c r="Q171" s="768"/>
      <c r="R171" s="768"/>
      <c r="S171" s="768"/>
      <c r="T171" s="768"/>
      <c r="U171" s="347">
        <v>2016</v>
      </c>
      <c r="V171" s="349" t="s">
        <v>82</v>
      </c>
      <c r="W171" s="369"/>
      <c r="X171" s="369"/>
      <c r="AW171" s="603"/>
      <c r="AX171" s="603"/>
    </row>
    <row r="172" spans="1:50" s="53" customFormat="1" ht="12.75" hidden="1" customHeight="1">
      <c r="A172" s="1121"/>
      <c r="B172" s="347">
        <v>2016</v>
      </c>
      <c r="C172" s="369" t="s">
        <v>31</v>
      </c>
      <c r="D172" s="1012">
        <v>7360</v>
      </c>
      <c r="E172" s="965"/>
      <c r="F172" s="965">
        <v>787</v>
      </c>
      <c r="G172" s="965"/>
      <c r="H172" s="965">
        <v>797</v>
      </c>
      <c r="I172" s="965"/>
      <c r="J172" s="965">
        <v>40</v>
      </c>
      <c r="K172" s="965"/>
      <c r="L172" s="965">
        <v>688</v>
      </c>
      <c r="M172" s="965"/>
      <c r="N172" s="965"/>
      <c r="O172" s="965">
        <f t="shared" si="9"/>
        <v>9672</v>
      </c>
      <c r="P172" s="1020"/>
      <c r="Q172" s="922"/>
      <c r="R172" s="922"/>
      <c r="S172" s="922"/>
      <c r="T172" s="768"/>
      <c r="U172" s="347">
        <v>2016</v>
      </c>
      <c r="V172" s="349" t="s">
        <v>31</v>
      </c>
      <c r="W172" s="369"/>
      <c r="X172" s="369"/>
      <c r="AW172" s="603"/>
      <c r="AX172" s="603"/>
    </row>
    <row r="173" spans="1:50" s="53" customFormat="1" ht="12.75" hidden="1" customHeight="1">
      <c r="A173" s="1121"/>
      <c r="B173" s="347">
        <v>2016</v>
      </c>
      <c r="C173" s="369" t="s">
        <v>38</v>
      </c>
      <c r="D173" s="1012">
        <v>6956</v>
      </c>
      <c r="E173" s="965"/>
      <c r="F173" s="965">
        <v>817</v>
      </c>
      <c r="G173" s="965"/>
      <c r="H173" s="965">
        <v>951</v>
      </c>
      <c r="I173" s="965"/>
      <c r="J173" s="965">
        <v>59</v>
      </c>
      <c r="K173" s="965"/>
      <c r="L173" s="965">
        <v>828</v>
      </c>
      <c r="M173" s="965"/>
      <c r="N173" s="965"/>
      <c r="O173" s="965">
        <f t="shared" si="9"/>
        <v>9611</v>
      </c>
      <c r="P173" s="1020"/>
      <c r="Q173" s="1088"/>
      <c r="R173" s="1088"/>
      <c r="S173" s="1088"/>
      <c r="T173" s="768"/>
      <c r="U173" s="347">
        <v>2016</v>
      </c>
      <c r="V173" s="349" t="s">
        <v>38</v>
      </c>
      <c r="W173" s="369"/>
      <c r="X173" s="369"/>
      <c r="AW173" s="603"/>
      <c r="AX173" s="603"/>
    </row>
    <row r="174" spans="1:50" s="53" customFormat="1" ht="12.75" hidden="1" customHeight="1">
      <c r="A174" s="1121"/>
      <c r="B174" s="347">
        <v>2016</v>
      </c>
      <c r="C174" s="369" t="s">
        <v>39</v>
      </c>
      <c r="D174" s="1012">
        <v>5416</v>
      </c>
      <c r="E174" s="965"/>
      <c r="F174" s="965">
        <v>648</v>
      </c>
      <c r="G174" s="965"/>
      <c r="H174" s="965">
        <v>807</v>
      </c>
      <c r="I174" s="965"/>
      <c r="J174" s="965">
        <v>39</v>
      </c>
      <c r="K174" s="965"/>
      <c r="L174" s="965">
        <v>601</v>
      </c>
      <c r="M174" s="965"/>
      <c r="N174" s="965"/>
      <c r="O174" s="965">
        <f t="shared" si="9"/>
        <v>7511</v>
      </c>
      <c r="P174" s="1020"/>
      <c r="Q174" s="922"/>
      <c r="R174" s="922"/>
      <c r="S174" s="922"/>
      <c r="T174" s="768"/>
      <c r="U174" s="347">
        <v>2016</v>
      </c>
      <c r="V174" s="349" t="s">
        <v>39</v>
      </c>
      <c r="W174" s="369"/>
      <c r="X174" s="369"/>
      <c r="AW174" s="603"/>
      <c r="AX174" s="603"/>
    </row>
    <row r="175" spans="1:50" s="53" customFormat="1" ht="12.75" hidden="1" customHeight="1">
      <c r="A175" s="1121"/>
      <c r="B175" s="347">
        <v>2016</v>
      </c>
      <c r="C175" s="369" t="s">
        <v>32</v>
      </c>
      <c r="D175" s="1012">
        <v>7666</v>
      </c>
      <c r="E175" s="965"/>
      <c r="F175" s="965">
        <v>984</v>
      </c>
      <c r="G175" s="965"/>
      <c r="H175" s="965">
        <v>629</v>
      </c>
      <c r="I175" s="965"/>
      <c r="J175" s="965">
        <v>57</v>
      </c>
      <c r="K175" s="965"/>
      <c r="L175" s="965">
        <v>413</v>
      </c>
      <c r="M175" s="965"/>
      <c r="N175" s="965"/>
      <c r="O175" s="965">
        <f t="shared" si="9"/>
        <v>9749</v>
      </c>
      <c r="P175" s="1020"/>
      <c r="Q175" s="1122"/>
      <c r="R175" s="1122"/>
      <c r="S175" s="1122"/>
      <c r="T175" s="768"/>
      <c r="U175" s="347">
        <v>2016</v>
      </c>
      <c r="V175" s="349" t="s">
        <v>32</v>
      </c>
      <c r="W175" s="369"/>
      <c r="X175" s="369"/>
      <c r="AW175" s="603"/>
      <c r="AX175" s="603"/>
    </row>
    <row r="176" spans="1:50" s="53" customFormat="1" ht="12.75" hidden="1" customHeight="1">
      <c r="A176" s="1121"/>
      <c r="B176" s="347">
        <v>2017</v>
      </c>
      <c r="C176" s="369" t="s">
        <v>33</v>
      </c>
      <c r="D176" s="1012">
        <v>7203</v>
      </c>
      <c r="E176" s="965"/>
      <c r="F176" s="965">
        <v>746</v>
      </c>
      <c r="G176" s="965"/>
      <c r="H176" s="965">
        <v>462</v>
      </c>
      <c r="I176" s="965"/>
      <c r="J176" s="965">
        <v>71</v>
      </c>
      <c r="K176" s="965"/>
      <c r="L176" s="965">
        <v>475</v>
      </c>
      <c r="M176" s="965"/>
      <c r="N176" s="965"/>
      <c r="O176" s="965">
        <f t="shared" si="9"/>
        <v>8957</v>
      </c>
      <c r="P176" s="1020"/>
      <c r="Q176" s="1122"/>
      <c r="R176" s="1122"/>
      <c r="S176" s="1122"/>
      <c r="T176" s="768"/>
      <c r="U176" s="347">
        <v>2017</v>
      </c>
      <c r="V176" s="349" t="s">
        <v>33</v>
      </c>
      <c r="W176" s="369"/>
      <c r="X176" s="369"/>
      <c r="AW176" s="603"/>
      <c r="AX176" s="603"/>
    </row>
    <row r="177" spans="1:50" s="53" customFormat="1" ht="12.75" hidden="1" customHeight="1">
      <c r="A177" s="1121"/>
      <c r="B177" s="347">
        <v>2017</v>
      </c>
      <c r="C177" s="369" t="s">
        <v>34</v>
      </c>
      <c r="D177" s="1012">
        <v>3712</v>
      </c>
      <c r="E177" s="965"/>
      <c r="F177" s="965">
        <v>528</v>
      </c>
      <c r="G177" s="965"/>
      <c r="H177" s="965">
        <v>591</v>
      </c>
      <c r="I177" s="965"/>
      <c r="J177" s="965">
        <v>88</v>
      </c>
      <c r="K177" s="965"/>
      <c r="L177" s="965">
        <v>691</v>
      </c>
      <c r="M177" s="965"/>
      <c r="N177" s="965"/>
      <c r="O177" s="965">
        <f t="shared" si="9"/>
        <v>5610</v>
      </c>
      <c r="P177" s="1020"/>
      <c r="Q177" s="1088"/>
      <c r="R177" s="1088"/>
      <c r="S177" s="1088"/>
      <c r="T177" s="768"/>
      <c r="U177" s="347">
        <v>2017</v>
      </c>
      <c r="V177" s="349" t="str">
        <f>V129</f>
        <v>Fév</v>
      </c>
      <c r="W177" s="369"/>
      <c r="X177" s="369"/>
      <c r="AW177" s="603"/>
      <c r="AX177" s="603"/>
    </row>
    <row r="178" spans="1:50" s="53" customFormat="1" ht="12.75" hidden="1" customHeight="1">
      <c r="A178" s="1121"/>
      <c r="B178" s="347">
        <v>2017</v>
      </c>
      <c r="C178" s="369" t="s">
        <v>29</v>
      </c>
      <c r="D178" s="1012">
        <v>4489</v>
      </c>
      <c r="E178" s="965"/>
      <c r="F178" s="965">
        <v>585</v>
      </c>
      <c r="G178" s="965"/>
      <c r="H178" s="965">
        <v>822</v>
      </c>
      <c r="I178" s="965"/>
      <c r="J178" s="965">
        <v>59</v>
      </c>
      <c r="K178" s="965"/>
      <c r="L178" s="965">
        <v>401</v>
      </c>
      <c r="M178" s="965"/>
      <c r="N178" s="965"/>
      <c r="O178" s="965">
        <f t="shared" si="9"/>
        <v>6356</v>
      </c>
      <c r="P178" s="1020"/>
      <c r="Q178" s="768"/>
      <c r="R178" s="768"/>
      <c r="S178" s="768"/>
      <c r="T178" s="768"/>
      <c r="U178" s="347">
        <v>2017</v>
      </c>
      <c r="V178" s="349" t="s">
        <v>29</v>
      </c>
      <c r="W178" s="369"/>
      <c r="X178" s="369"/>
      <c r="AW178" s="603"/>
      <c r="AX178" s="603"/>
    </row>
    <row r="179" spans="1:50" s="53" customFormat="1" ht="12.75" hidden="1" customHeight="1">
      <c r="A179" s="1121"/>
      <c r="B179" s="347">
        <v>2017</v>
      </c>
      <c r="C179" s="369" t="s">
        <v>35</v>
      </c>
      <c r="D179" s="1012">
        <v>6976</v>
      </c>
      <c r="E179" s="965"/>
      <c r="F179" s="965">
        <v>769</v>
      </c>
      <c r="G179" s="965"/>
      <c r="H179" s="965">
        <v>619</v>
      </c>
      <c r="I179" s="965"/>
      <c r="J179" s="965">
        <v>92</v>
      </c>
      <c r="K179" s="965"/>
      <c r="L179" s="965">
        <v>479</v>
      </c>
      <c r="M179" s="965"/>
      <c r="N179" s="965"/>
      <c r="O179" s="965">
        <f t="shared" si="9"/>
        <v>8935</v>
      </c>
      <c r="P179" s="1020"/>
      <c r="Q179" s="768"/>
      <c r="R179" s="768"/>
      <c r="S179" s="768"/>
      <c r="T179" s="768"/>
      <c r="U179" s="347">
        <v>2017</v>
      </c>
      <c r="V179" s="349" t="s">
        <v>78</v>
      </c>
      <c r="W179" s="369"/>
      <c r="X179" s="369"/>
      <c r="AW179" s="603"/>
      <c r="AX179" s="603"/>
    </row>
    <row r="180" spans="1:50" s="53" customFormat="1" ht="12.75" hidden="1" customHeight="1">
      <c r="A180" s="1121"/>
      <c r="B180" s="347">
        <v>2017</v>
      </c>
      <c r="C180" s="369" t="s">
        <v>4</v>
      </c>
      <c r="D180" s="1012">
        <v>5154</v>
      </c>
      <c r="E180" s="965"/>
      <c r="F180" s="965">
        <v>739</v>
      </c>
      <c r="G180" s="965"/>
      <c r="H180" s="965">
        <v>787</v>
      </c>
      <c r="I180" s="965"/>
      <c r="J180" s="965">
        <v>78</v>
      </c>
      <c r="K180" s="965"/>
      <c r="L180" s="965">
        <v>421</v>
      </c>
      <c r="M180" s="965"/>
      <c r="N180" s="965"/>
      <c r="O180" s="965">
        <f t="shared" si="9"/>
        <v>7179</v>
      </c>
      <c r="P180" s="1020"/>
      <c r="Q180" s="768"/>
      <c r="R180" s="768"/>
      <c r="S180" s="768"/>
      <c r="T180" s="768"/>
      <c r="U180" s="347">
        <v>2017</v>
      </c>
      <c r="V180" s="349" t="s">
        <v>79</v>
      </c>
      <c r="W180" s="369"/>
      <c r="X180" s="369"/>
      <c r="AW180" s="603"/>
      <c r="AX180" s="603"/>
    </row>
    <row r="181" spans="1:50" s="53" customFormat="1" ht="12.75" hidden="1" customHeight="1">
      <c r="A181" s="1121"/>
      <c r="B181" s="347">
        <v>2017</v>
      </c>
      <c r="C181" s="369" t="s">
        <v>30</v>
      </c>
      <c r="D181" s="1012">
        <v>7328</v>
      </c>
      <c r="E181" s="965"/>
      <c r="F181" s="965">
        <v>784</v>
      </c>
      <c r="G181" s="965"/>
      <c r="H181" s="965">
        <v>781</v>
      </c>
      <c r="I181" s="965"/>
      <c r="J181" s="965">
        <v>80</v>
      </c>
      <c r="K181" s="965"/>
      <c r="L181" s="965">
        <v>527</v>
      </c>
      <c r="M181" s="965"/>
      <c r="N181" s="965"/>
      <c r="O181" s="965">
        <f t="shared" si="9"/>
        <v>9500</v>
      </c>
      <c r="P181" s="1020"/>
      <c r="Q181" s="768"/>
      <c r="R181" s="768"/>
      <c r="S181" s="768"/>
      <c r="T181" s="768"/>
      <c r="U181" s="347">
        <v>2017</v>
      </c>
      <c r="V181" s="349" t="str">
        <f>V169</f>
        <v>Juin</v>
      </c>
      <c r="W181" s="369"/>
      <c r="X181" s="369"/>
      <c r="AW181" s="603"/>
      <c r="AX181" s="603"/>
    </row>
    <row r="182" spans="1:50" s="53" customFormat="1" ht="12.75" hidden="1" customHeight="1">
      <c r="A182" s="1121"/>
      <c r="B182" s="347">
        <v>2017</v>
      </c>
      <c r="C182" s="369" t="s">
        <v>36</v>
      </c>
      <c r="D182" s="1012">
        <v>9514</v>
      </c>
      <c r="E182" s="965"/>
      <c r="F182" s="965">
        <v>821</v>
      </c>
      <c r="G182" s="965"/>
      <c r="H182" s="965">
        <v>832</v>
      </c>
      <c r="I182" s="965"/>
      <c r="J182" s="965">
        <v>102</v>
      </c>
      <c r="K182" s="965"/>
      <c r="L182" s="965">
        <v>786</v>
      </c>
      <c r="M182" s="965"/>
      <c r="N182" s="965"/>
      <c r="O182" s="965">
        <f t="shared" si="9"/>
        <v>12055</v>
      </c>
      <c r="P182" s="1020"/>
      <c r="Q182" s="768"/>
      <c r="R182" s="768"/>
      <c r="S182" s="768"/>
      <c r="T182" s="768"/>
      <c r="U182" s="347">
        <v>2017</v>
      </c>
      <c r="V182" s="349" t="s">
        <v>81</v>
      </c>
      <c r="W182" s="369"/>
      <c r="X182" s="369"/>
      <c r="AW182" s="603"/>
      <c r="AX182" s="603"/>
    </row>
    <row r="183" spans="1:50" s="53" customFormat="1" ht="12.75" hidden="1" customHeight="1">
      <c r="A183" s="1121"/>
      <c r="B183" s="347">
        <v>2017</v>
      </c>
      <c r="C183" s="369" t="s">
        <v>37</v>
      </c>
      <c r="D183" s="1012">
        <v>6828</v>
      </c>
      <c r="E183" s="965"/>
      <c r="F183" s="965">
        <v>561</v>
      </c>
      <c r="G183" s="965"/>
      <c r="H183" s="965">
        <v>529</v>
      </c>
      <c r="I183" s="965"/>
      <c r="J183" s="965">
        <v>41</v>
      </c>
      <c r="K183" s="965"/>
      <c r="L183" s="965">
        <v>342</v>
      </c>
      <c r="M183" s="965"/>
      <c r="N183" s="965"/>
      <c r="O183" s="965">
        <f t="shared" si="9"/>
        <v>8301</v>
      </c>
      <c r="P183" s="1020"/>
      <c r="Q183" s="768"/>
      <c r="R183" s="768"/>
      <c r="S183" s="768"/>
      <c r="T183" s="768"/>
      <c r="U183" s="347">
        <v>2017</v>
      </c>
      <c r="V183" s="349" t="s">
        <v>82</v>
      </c>
      <c r="W183" s="369"/>
      <c r="X183" s="369"/>
      <c r="AW183" s="603"/>
      <c r="AX183" s="603"/>
    </row>
    <row r="184" spans="1:50" s="53" customFormat="1" ht="12.75" hidden="1" customHeight="1">
      <c r="A184" s="1121"/>
      <c r="B184" s="347">
        <v>2017</v>
      </c>
      <c r="C184" s="369" t="s">
        <v>31</v>
      </c>
      <c r="D184" s="1012">
        <v>8640</v>
      </c>
      <c r="E184" s="965"/>
      <c r="F184" s="965">
        <v>727</v>
      </c>
      <c r="G184" s="965"/>
      <c r="H184" s="965">
        <v>657</v>
      </c>
      <c r="I184" s="965"/>
      <c r="J184" s="965">
        <v>134</v>
      </c>
      <c r="K184" s="965"/>
      <c r="L184" s="965">
        <v>719</v>
      </c>
      <c r="M184" s="965"/>
      <c r="N184" s="965"/>
      <c r="O184" s="965">
        <f t="shared" si="9"/>
        <v>10877</v>
      </c>
      <c r="P184" s="1020"/>
      <c r="Q184" s="768"/>
      <c r="R184" s="768"/>
      <c r="S184" s="768"/>
      <c r="T184" s="768"/>
      <c r="U184" s="347">
        <v>2017</v>
      </c>
      <c r="V184" s="349" t="s">
        <v>31</v>
      </c>
      <c r="W184" s="369"/>
      <c r="X184" s="369"/>
      <c r="AW184" s="603"/>
      <c r="AX184" s="603"/>
    </row>
    <row r="185" spans="1:50" s="53" customFormat="1" ht="12.75" hidden="1" customHeight="1">
      <c r="A185" s="1121"/>
      <c r="B185" s="347">
        <v>2017</v>
      </c>
      <c r="C185" s="369" t="s">
        <v>38</v>
      </c>
      <c r="D185" s="1012">
        <v>8125</v>
      </c>
      <c r="E185" s="965"/>
      <c r="F185" s="965">
        <v>769</v>
      </c>
      <c r="G185" s="965"/>
      <c r="H185" s="965">
        <v>975</v>
      </c>
      <c r="I185" s="965"/>
      <c r="J185" s="965">
        <v>60</v>
      </c>
      <c r="K185" s="965"/>
      <c r="L185" s="965">
        <v>682</v>
      </c>
      <c r="M185" s="965"/>
      <c r="N185" s="965"/>
      <c r="O185" s="965">
        <f t="shared" si="9"/>
        <v>10611</v>
      </c>
      <c r="P185" s="1020"/>
      <c r="Q185" s="768"/>
      <c r="R185" s="768"/>
      <c r="S185" s="768"/>
      <c r="T185" s="768"/>
      <c r="U185" s="347">
        <v>2017</v>
      </c>
      <c r="V185" s="349" t="s">
        <v>38</v>
      </c>
      <c r="W185" s="369"/>
      <c r="X185" s="369"/>
      <c r="AW185" s="603"/>
      <c r="AX185" s="603"/>
    </row>
    <row r="186" spans="1:50" s="53" customFormat="1" ht="12.75" hidden="1" customHeight="1">
      <c r="A186" s="1121"/>
      <c r="B186" s="347">
        <v>2017</v>
      </c>
      <c r="C186" s="369" t="s">
        <v>39</v>
      </c>
      <c r="D186" s="1012">
        <v>5794</v>
      </c>
      <c r="E186" s="965"/>
      <c r="F186" s="965">
        <v>795</v>
      </c>
      <c r="G186" s="965"/>
      <c r="H186" s="965">
        <v>909</v>
      </c>
      <c r="I186" s="965"/>
      <c r="J186" s="965">
        <v>55</v>
      </c>
      <c r="K186" s="965"/>
      <c r="L186" s="965">
        <v>953</v>
      </c>
      <c r="M186" s="965"/>
      <c r="N186" s="965"/>
      <c r="O186" s="965">
        <f t="shared" si="9"/>
        <v>8506</v>
      </c>
      <c r="P186" s="1020"/>
      <c r="Q186" s="768"/>
      <c r="R186" s="768"/>
      <c r="S186" s="768"/>
      <c r="T186" s="768"/>
      <c r="U186" s="347">
        <v>2017</v>
      </c>
      <c r="V186" s="349" t="s">
        <v>39</v>
      </c>
      <c r="W186" s="369"/>
      <c r="X186" s="369"/>
      <c r="AW186" s="603"/>
      <c r="AX186" s="603"/>
    </row>
    <row r="187" spans="1:50" s="53" customFormat="1" ht="12.75" hidden="1" customHeight="1">
      <c r="A187" s="1121"/>
      <c r="B187" s="347">
        <v>2017</v>
      </c>
      <c r="C187" s="369" t="s">
        <v>32</v>
      </c>
      <c r="D187" s="1012">
        <v>9702</v>
      </c>
      <c r="E187" s="965"/>
      <c r="F187" s="965">
        <v>1116</v>
      </c>
      <c r="G187" s="965"/>
      <c r="H187" s="965">
        <v>374</v>
      </c>
      <c r="I187" s="965"/>
      <c r="J187" s="965">
        <v>37</v>
      </c>
      <c r="K187" s="965"/>
      <c r="L187" s="965">
        <v>1054</v>
      </c>
      <c r="M187" s="965"/>
      <c r="N187" s="965"/>
      <c r="O187" s="965">
        <f t="shared" si="9"/>
        <v>12283</v>
      </c>
      <c r="P187" s="1020"/>
      <c r="Q187" s="768"/>
      <c r="R187" s="768"/>
      <c r="S187" s="768"/>
      <c r="T187" s="768"/>
      <c r="U187" s="347">
        <v>2017</v>
      </c>
      <c r="V187" s="349" t="s">
        <v>32</v>
      </c>
      <c r="W187" s="369"/>
      <c r="X187" s="369"/>
      <c r="AW187" s="603"/>
      <c r="AX187" s="603"/>
    </row>
    <row r="188" spans="1:50" s="53" customFormat="1" ht="12.75" hidden="1" customHeight="1">
      <c r="A188" s="1121"/>
      <c r="B188" s="347">
        <v>2018</v>
      </c>
      <c r="C188" s="369" t="s">
        <v>33</v>
      </c>
      <c r="D188" s="1012">
        <v>8106</v>
      </c>
      <c r="E188" s="965"/>
      <c r="F188" s="965">
        <v>873</v>
      </c>
      <c r="G188" s="965"/>
      <c r="H188" s="965">
        <v>465</v>
      </c>
      <c r="I188" s="965"/>
      <c r="J188" s="965">
        <v>81</v>
      </c>
      <c r="K188" s="965"/>
      <c r="L188" s="965">
        <v>605</v>
      </c>
      <c r="M188" s="965"/>
      <c r="N188" s="965"/>
      <c r="O188" s="965">
        <f t="shared" si="9"/>
        <v>10130</v>
      </c>
      <c r="P188" s="1020"/>
      <c r="Q188" s="768"/>
      <c r="R188" s="768"/>
      <c r="S188" s="768"/>
      <c r="T188" s="768"/>
      <c r="U188" s="347">
        <v>2018</v>
      </c>
      <c r="V188" s="349" t="s">
        <v>33</v>
      </c>
      <c r="W188" s="369"/>
      <c r="X188" s="369"/>
      <c r="AW188" s="603"/>
      <c r="AX188" s="603"/>
    </row>
    <row r="189" spans="1:50" s="53" customFormat="1" ht="12.75" hidden="1" customHeight="1">
      <c r="A189" s="1121"/>
      <c r="B189" s="347">
        <v>2018</v>
      </c>
      <c r="C189" s="369" t="s">
        <v>34</v>
      </c>
      <c r="D189" s="1012">
        <v>4571</v>
      </c>
      <c r="E189" s="965"/>
      <c r="F189" s="965">
        <v>446</v>
      </c>
      <c r="G189" s="965"/>
      <c r="H189" s="965">
        <v>494</v>
      </c>
      <c r="I189" s="965"/>
      <c r="J189" s="965">
        <v>47</v>
      </c>
      <c r="K189" s="965"/>
      <c r="L189" s="965">
        <v>708</v>
      </c>
      <c r="M189" s="965"/>
      <c r="N189" s="965"/>
      <c r="O189" s="965">
        <f t="shared" si="9"/>
        <v>6266</v>
      </c>
      <c r="P189" s="1020"/>
      <c r="Q189" s="768"/>
      <c r="R189" s="768"/>
      <c r="S189" s="768"/>
      <c r="T189" s="768"/>
      <c r="U189" s="347">
        <v>2018</v>
      </c>
      <c r="V189" s="349" t="s">
        <v>77</v>
      </c>
      <c r="W189" s="369"/>
      <c r="X189" s="369"/>
      <c r="AW189" s="603"/>
      <c r="AX189" s="603"/>
    </row>
    <row r="190" spans="1:50" s="53" customFormat="1" ht="12.75" hidden="1" customHeight="1">
      <c r="A190" s="1121"/>
      <c r="B190" s="347">
        <v>2018</v>
      </c>
      <c r="C190" s="369" t="s">
        <v>29</v>
      </c>
      <c r="D190" s="1012">
        <v>5630</v>
      </c>
      <c r="E190" s="965"/>
      <c r="F190" s="965">
        <v>600</v>
      </c>
      <c r="G190" s="965"/>
      <c r="H190" s="965">
        <v>561</v>
      </c>
      <c r="I190" s="965"/>
      <c r="J190" s="965">
        <v>18</v>
      </c>
      <c r="K190" s="965"/>
      <c r="L190" s="965">
        <v>307</v>
      </c>
      <c r="M190" s="965"/>
      <c r="N190" s="965"/>
      <c r="O190" s="965">
        <f t="shared" si="9"/>
        <v>7116</v>
      </c>
      <c r="P190" s="1020"/>
      <c r="Q190" s="768"/>
      <c r="R190" s="768"/>
      <c r="S190" s="768"/>
      <c r="T190" s="768"/>
      <c r="U190" s="347">
        <v>2018</v>
      </c>
      <c r="V190" s="349" t="s">
        <v>29</v>
      </c>
      <c r="W190" s="369"/>
      <c r="X190" s="369"/>
      <c r="AW190" s="603"/>
      <c r="AX190" s="603"/>
    </row>
    <row r="191" spans="1:50" s="53" customFormat="1" ht="12.75" hidden="1" customHeight="1">
      <c r="A191" s="1121"/>
      <c r="B191" s="347">
        <v>2018</v>
      </c>
      <c r="C191" s="369" t="s">
        <v>35</v>
      </c>
      <c r="D191" s="1012">
        <v>7182</v>
      </c>
      <c r="E191" s="965"/>
      <c r="F191" s="965">
        <v>741</v>
      </c>
      <c r="G191" s="965"/>
      <c r="H191" s="965">
        <v>726</v>
      </c>
      <c r="I191" s="965"/>
      <c r="J191" s="965">
        <v>27</v>
      </c>
      <c r="K191" s="965"/>
      <c r="L191" s="965">
        <v>517</v>
      </c>
      <c r="M191" s="965"/>
      <c r="N191" s="965"/>
      <c r="O191" s="965">
        <f t="shared" si="9"/>
        <v>9193</v>
      </c>
      <c r="P191" s="1020"/>
      <c r="Q191" s="768"/>
      <c r="R191" s="768"/>
      <c r="S191" s="768"/>
      <c r="T191" s="768"/>
      <c r="U191" s="347">
        <v>2018</v>
      </c>
      <c r="V191" s="349" t="s">
        <v>78</v>
      </c>
      <c r="W191" s="369"/>
      <c r="X191" s="369"/>
      <c r="AW191" s="603"/>
      <c r="AX191" s="603"/>
    </row>
    <row r="192" spans="1:50" s="53" customFormat="1" ht="12.75" hidden="1" customHeight="1">
      <c r="A192" s="1121"/>
      <c r="B192" s="347">
        <v>2018</v>
      </c>
      <c r="C192" s="369" t="s">
        <v>4</v>
      </c>
      <c r="D192" s="1012">
        <v>6642</v>
      </c>
      <c r="E192" s="965"/>
      <c r="F192" s="965">
        <v>680</v>
      </c>
      <c r="G192" s="965"/>
      <c r="H192" s="965">
        <v>739</v>
      </c>
      <c r="I192" s="965"/>
      <c r="J192" s="965">
        <v>58</v>
      </c>
      <c r="K192" s="965"/>
      <c r="L192" s="965">
        <v>734</v>
      </c>
      <c r="M192" s="965"/>
      <c r="N192" s="965"/>
      <c r="O192" s="965">
        <f t="shared" si="9"/>
        <v>8853</v>
      </c>
      <c r="P192" s="1020"/>
      <c r="Q192" s="768"/>
      <c r="R192" s="768"/>
      <c r="S192" s="768"/>
      <c r="T192" s="768"/>
      <c r="U192" s="347">
        <v>2018</v>
      </c>
      <c r="V192" s="349" t="s">
        <v>79</v>
      </c>
      <c r="W192" s="369"/>
      <c r="X192" s="369"/>
      <c r="AW192" s="603"/>
      <c r="AX192" s="603"/>
    </row>
    <row r="193" spans="1:50" s="53" customFormat="1" ht="12.75" hidden="1" customHeight="1">
      <c r="A193" s="1121"/>
      <c r="B193" s="347">
        <v>2018</v>
      </c>
      <c r="C193" s="369" t="s">
        <v>30</v>
      </c>
      <c r="D193" s="1012">
        <v>8621</v>
      </c>
      <c r="E193" s="965"/>
      <c r="F193" s="965">
        <v>688</v>
      </c>
      <c r="G193" s="965"/>
      <c r="H193" s="965">
        <v>558</v>
      </c>
      <c r="I193" s="965"/>
      <c r="J193" s="965">
        <v>61</v>
      </c>
      <c r="K193" s="965"/>
      <c r="L193" s="965">
        <v>645</v>
      </c>
      <c r="M193" s="965"/>
      <c r="N193" s="965"/>
      <c r="O193" s="965">
        <f t="shared" si="9"/>
        <v>10573</v>
      </c>
      <c r="P193" s="1020"/>
      <c r="Q193" s="768"/>
      <c r="R193" s="768"/>
      <c r="S193" s="768"/>
      <c r="T193" s="768"/>
      <c r="U193" s="347">
        <v>2018</v>
      </c>
      <c r="V193" s="349" t="s">
        <v>80</v>
      </c>
      <c r="W193" s="369"/>
      <c r="X193" s="369"/>
      <c r="AW193" s="603"/>
      <c r="AX193" s="603"/>
    </row>
    <row r="194" spans="1:50" s="53" customFormat="1" ht="12.75" hidden="1" customHeight="1">
      <c r="A194" s="1121"/>
      <c r="B194" s="347">
        <v>2018</v>
      </c>
      <c r="C194" s="369" t="s">
        <v>36</v>
      </c>
      <c r="D194" s="1012">
        <v>10736</v>
      </c>
      <c r="E194" s="965"/>
      <c r="F194" s="965">
        <v>820</v>
      </c>
      <c r="G194" s="965"/>
      <c r="H194" s="965">
        <v>714</v>
      </c>
      <c r="I194" s="965"/>
      <c r="J194" s="965">
        <v>117</v>
      </c>
      <c r="K194" s="965"/>
      <c r="L194" s="965">
        <v>797</v>
      </c>
      <c r="M194" s="965"/>
      <c r="N194" s="965"/>
      <c r="O194" s="965">
        <f t="shared" si="9"/>
        <v>13184</v>
      </c>
      <c r="P194" s="1020"/>
      <c r="Q194" s="768"/>
      <c r="R194" s="768"/>
      <c r="S194" s="768"/>
      <c r="T194" s="768"/>
      <c r="U194" s="347">
        <v>2018</v>
      </c>
      <c r="V194" s="349" t="s">
        <v>81</v>
      </c>
      <c r="W194" s="369"/>
      <c r="X194" s="369"/>
      <c r="AW194" s="603"/>
      <c r="AX194" s="603"/>
    </row>
    <row r="195" spans="1:50" s="53" customFormat="1" ht="12.75" hidden="1" customHeight="1">
      <c r="A195" s="1121"/>
      <c r="B195" s="347">
        <v>2018</v>
      </c>
      <c r="C195" s="369" t="s">
        <v>271</v>
      </c>
      <c r="D195" s="1012">
        <v>7212</v>
      </c>
      <c r="E195" s="965"/>
      <c r="F195" s="965">
        <v>687</v>
      </c>
      <c r="G195" s="965"/>
      <c r="H195" s="965">
        <v>711</v>
      </c>
      <c r="I195" s="965"/>
      <c r="J195" s="965">
        <v>20</v>
      </c>
      <c r="K195" s="965"/>
      <c r="L195" s="965">
        <v>342</v>
      </c>
      <c r="M195" s="965"/>
      <c r="N195" s="965"/>
      <c r="O195" s="965">
        <f t="shared" si="9"/>
        <v>8972</v>
      </c>
      <c r="P195" s="1020"/>
      <c r="Q195" s="768"/>
      <c r="R195" s="768"/>
      <c r="S195" s="768"/>
      <c r="T195" s="768"/>
      <c r="U195" s="347">
        <v>2018</v>
      </c>
      <c r="V195" s="349" t="str">
        <f>V171</f>
        <v>Aoû</v>
      </c>
      <c r="W195" s="369"/>
      <c r="X195" s="369"/>
      <c r="AW195" s="603"/>
      <c r="AX195" s="603"/>
    </row>
    <row r="196" spans="1:50" s="53" customFormat="1" ht="12.75" hidden="1" customHeight="1">
      <c r="A196" s="1121"/>
      <c r="B196" s="347">
        <v>2018</v>
      </c>
      <c r="C196" s="369" t="s">
        <v>31</v>
      </c>
      <c r="D196" s="1012">
        <v>9209</v>
      </c>
      <c r="E196" s="965"/>
      <c r="F196" s="965">
        <v>739</v>
      </c>
      <c r="G196" s="965"/>
      <c r="H196" s="965">
        <v>752</v>
      </c>
      <c r="I196" s="965"/>
      <c r="J196" s="965">
        <v>54</v>
      </c>
      <c r="K196" s="965"/>
      <c r="L196" s="965">
        <v>672</v>
      </c>
      <c r="M196" s="965"/>
      <c r="N196" s="965"/>
      <c r="O196" s="965">
        <f t="shared" ref="O196:O216" si="10">SUM(D196:L196)</f>
        <v>11426</v>
      </c>
      <c r="P196" s="1020"/>
      <c r="Q196" s="768"/>
      <c r="R196" s="768"/>
      <c r="S196" s="768"/>
      <c r="T196" s="768"/>
      <c r="U196" s="347">
        <v>2018</v>
      </c>
      <c r="V196" s="349" t="s">
        <v>31</v>
      </c>
      <c r="W196" s="369"/>
      <c r="X196" s="369"/>
      <c r="AW196" s="603"/>
      <c r="AX196" s="603"/>
    </row>
    <row r="197" spans="1:50" s="53" customFormat="1" ht="12.75" hidden="1" customHeight="1">
      <c r="A197" s="1121"/>
      <c r="B197" s="347">
        <v>2018</v>
      </c>
      <c r="C197" s="369" t="s">
        <v>38</v>
      </c>
      <c r="D197" s="1012">
        <v>8147</v>
      </c>
      <c r="E197" s="965"/>
      <c r="F197" s="965">
        <v>691</v>
      </c>
      <c r="G197" s="965"/>
      <c r="H197" s="965">
        <v>740</v>
      </c>
      <c r="I197" s="965"/>
      <c r="J197" s="965">
        <v>65</v>
      </c>
      <c r="K197" s="965"/>
      <c r="L197" s="965">
        <v>766</v>
      </c>
      <c r="M197" s="965"/>
      <c r="N197" s="965"/>
      <c r="O197" s="965">
        <f t="shared" si="10"/>
        <v>10409</v>
      </c>
      <c r="P197" s="1020"/>
      <c r="Q197" s="768"/>
      <c r="R197" s="768"/>
      <c r="S197" s="768"/>
      <c r="T197" s="768"/>
      <c r="U197" s="347">
        <v>2018</v>
      </c>
      <c r="V197" s="349" t="s">
        <v>38</v>
      </c>
      <c r="W197" s="369"/>
      <c r="X197" s="369"/>
      <c r="AW197" s="603"/>
      <c r="AX197" s="603"/>
    </row>
    <row r="198" spans="1:50" s="53" customFormat="1" ht="12.75" hidden="1" customHeight="1">
      <c r="A198" s="1121"/>
      <c r="B198" s="347">
        <v>2018</v>
      </c>
      <c r="C198" s="1123" t="s">
        <v>39</v>
      </c>
      <c r="D198" s="1012">
        <v>6862</v>
      </c>
      <c r="E198" s="965"/>
      <c r="F198" s="965">
        <v>694</v>
      </c>
      <c r="G198" s="965"/>
      <c r="H198" s="965">
        <v>675</v>
      </c>
      <c r="I198" s="965"/>
      <c r="J198" s="965">
        <v>42</v>
      </c>
      <c r="K198" s="965"/>
      <c r="L198" s="965">
        <v>771</v>
      </c>
      <c r="M198" s="965"/>
      <c r="N198" s="965"/>
      <c r="O198" s="965">
        <f t="shared" si="10"/>
        <v>9044</v>
      </c>
      <c r="P198" s="1020"/>
      <c r="Q198" s="768"/>
      <c r="R198" s="768"/>
      <c r="S198" s="768"/>
      <c r="T198" s="768"/>
      <c r="U198" s="347">
        <v>2018</v>
      </c>
      <c r="V198" s="349" t="s">
        <v>39</v>
      </c>
      <c r="W198" s="369"/>
      <c r="X198" s="369"/>
      <c r="AW198" s="603"/>
      <c r="AX198" s="603"/>
    </row>
    <row r="199" spans="1:50" s="53" customFormat="1" ht="12.75" hidden="1" customHeight="1">
      <c r="A199" s="1121"/>
      <c r="B199" s="347">
        <v>2018</v>
      </c>
      <c r="C199" s="1123" t="s">
        <v>32</v>
      </c>
      <c r="D199" s="1012">
        <v>8808</v>
      </c>
      <c r="E199" s="965"/>
      <c r="F199" s="965">
        <v>957</v>
      </c>
      <c r="G199" s="965"/>
      <c r="H199" s="965">
        <v>417</v>
      </c>
      <c r="I199" s="965"/>
      <c r="J199" s="965">
        <v>55</v>
      </c>
      <c r="K199" s="965"/>
      <c r="L199" s="965">
        <v>231</v>
      </c>
      <c r="M199" s="965"/>
      <c r="N199" s="965"/>
      <c r="O199" s="965">
        <f t="shared" si="10"/>
        <v>10468</v>
      </c>
      <c r="P199" s="1020"/>
      <c r="Q199" s="768"/>
      <c r="R199" s="768"/>
      <c r="S199" s="768"/>
      <c r="T199" s="768"/>
      <c r="U199" s="347">
        <v>2018</v>
      </c>
      <c r="V199" s="349" t="s">
        <v>83</v>
      </c>
      <c r="W199" s="369"/>
      <c r="X199" s="369"/>
      <c r="AW199" s="603"/>
      <c r="AX199" s="603"/>
    </row>
    <row r="200" spans="1:50" s="53" customFormat="1" ht="12.75" hidden="1" customHeight="1">
      <c r="A200" s="1121"/>
      <c r="B200" s="347">
        <v>2019</v>
      </c>
      <c r="C200" s="1123" t="s">
        <v>260</v>
      </c>
      <c r="D200" s="1012">
        <v>7816</v>
      </c>
      <c r="E200" s="965"/>
      <c r="F200" s="965">
        <v>717</v>
      </c>
      <c r="G200" s="965"/>
      <c r="H200" s="965">
        <v>426</v>
      </c>
      <c r="I200" s="965"/>
      <c r="J200" s="965">
        <v>16</v>
      </c>
      <c r="K200" s="965"/>
      <c r="L200" s="965">
        <v>573</v>
      </c>
      <c r="M200" s="965"/>
      <c r="N200" s="965"/>
      <c r="O200" s="965">
        <f t="shared" si="10"/>
        <v>9548</v>
      </c>
      <c r="P200" s="1020"/>
      <c r="Q200" s="768"/>
      <c r="R200" s="768"/>
      <c r="S200" s="768"/>
      <c r="T200" s="768"/>
      <c r="U200" s="347">
        <v>2019</v>
      </c>
      <c r="V200" s="349" t="s">
        <v>260</v>
      </c>
      <c r="W200" s="369"/>
      <c r="X200" s="369"/>
      <c r="AW200" s="603"/>
      <c r="AX200" s="603"/>
    </row>
    <row r="201" spans="1:50" s="53" customFormat="1" ht="12.75" hidden="1" customHeight="1">
      <c r="A201" s="1121"/>
      <c r="B201" s="347">
        <v>2019</v>
      </c>
      <c r="C201" s="1123" t="s">
        <v>34</v>
      </c>
      <c r="D201" s="1012">
        <v>4368</v>
      </c>
      <c r="E201" s="965"/>
      <c r="F201" s="965">
        <v>425</v>
      </c>
      <c r="G201" s="965"/>
      <c r="H201" s="965">
        <v>539</v>
      </c>
      <c r="I201" s="965"/>
      <c r="J201" s="965">
        <v>8</v>
      </c>
      <c r="K201" s="965"/>
      <c r="L201" s="965">
        <v>495</v>
      </c>
      <c r="M201" s="965"/>
      <c r="N201" s="965"/>
      <c r="O201" s="965">
        <f t="shared" si="10"/>
        <v>5835</v>
      </c>
      <c r="P201" s="1020"/>
      <c r="Q201" s="768"/>
      <c r="R201" s="768"/>
      <c r="S201" s="768"/>
      <c r="T201" s="768"/>
      <c r="U201" s="347">
        <v>2019</v>
      </c>
      <c r="V201" s="349" t="s">
        <v>77</v>
      </c>
      <c r="W201" s="369"/>
      <c r="X201" s="369"/>
      <c r="AW201" s="603"/>
      <c r="AX201" s="603"/>
    </row>
    <row r="202" spans="1:50" s="53" customFormat="1" ht="12.75" hidden="1" customHeight="1">
      <c r="A202" s="1121"/>
      <c r="B202" s="347">
        <v>2019</v>
      </c>
      <c r="C202" s="1123" t="s">
        <v>29</v>
      </c>
      <c r="D202" s="1012">
        <v>5299</v>
      </c>
      <c r="E202" s="965"/>
      <c r="F202" s="965">
        <v>610</v>
      </c>
      <c r="G202" s="965"/>
      <c r="H202" s="965">
        <v>726</v>
      </c>
      <c r="I202" s="965"/>
      <c r="J202" s="965">
        <v>4</v>
      </c>
      <c r="K202" s="965"/>
      <c r="L202" s="965">
        <v>387</v>
      </c>
      <c r="M202" s="965"/>
      <c r="N202" s="965"/>
      <c r="O202" s="965">
        <f t="shared" si="10"/>
        <v>7026</v>
      </c>
      <c r="P202" s="1020"/>
      <c r="Q202" s="768"/>
      <c r="R202" s="768"/>
      <c r="S202" s="768"/>
      <c r="T202" s="768"/>
      <c r="U202" s="347">
        <v>2019</v>
      </c>
      <c r="V202" s="349" t="s">
        <v>29</v>
      </c>
      <c r="W202" s="369"/>
      <c r="X202" s="369"/>
      <c r="AW202" s="603"/>
      <c r="AX202" s="603"/>
    </row>
    <row r="203" spans="1:50" s="53" customFormat="1" ht="12.75" hidden="1" customHeight="1">
      <c r="A203" s="1121"/>
      <c r="B203" s="347">
        <v>2019</v>
      </c>
      <c r="C203" s="1123" t="s">
        <v>35</v>
      </c>
      <c r="D203" s="1012">
        <v>7651</v>
      </c>
      <c r="E203" s="965"/>
      <c r="F203" s="965">
        <v>739</v>
      </c>
      <c r="G203" s="965"/>
      <c r="H203" s="965">
        <v>455</v>
      </c>
      <c r="I203" s="965"/>
      <c r="J203" s="965">
        <v>4</v>
      </c>
      <c r="K203" s="965"/>
      <c r="L203" s="965">
        <v>596</v>
      </c>
      <c r="M203" s="965"/>
      <c r="N203" s="965"/>
      <c r="O203" s="965">
        <f t="shared" si="10"/>
        <v>9445</v>
      </c>
      <c r="P203" s="1020"/>
      <c r="Q203" s="768"/>
      <c r="R203" s="768"/>
      <c r="S203" s="768"/>
      <c r="T203" s="768"/>
      <c r="U203" s="347">
        <v>2019</v>
      </c>
      <c r="V203" s="349" t="s">
        <v>78</v>
      </c>
      <c r="W203" s="369"/>
      <c r="X203" s="369"/>
      <c r="AW203" s="603"/>
      <c r="AX203" s="603"/>
    </row>
    <row r="204" spans="1:50" s="53" customFormat="1" ht="12.75" hidden="1" customHeight="1">
      <c r="A204" s="1121"/>
      <c r="B204" s="347">
        <v>2019</v>
      </c>
      <c r="C204" s="1123" t="s">
        <v>263</v>
      </c>
      <c r="D204" s="1012">
        <v>6142</v>
      </c>
      <c r="E204" s="965"/>
      <c r="F204" s="965">
        <v>710</v>
      </c>
      <c r="G204" s="965"/>
      <c r="H204" s="965">
        <v>865</v>
      </c>
      <c r="I204" s="965"/>
      <c r="J204" s="965">
        <v>4</v>
      </c>
      <c r="K204" s="965"/>
      <c r="L204" s="965">
        <v>638</v>
      </c>
      <c r="M204" s="965"/>
      <c r="N204" s="965"/>
      <c r="O204" s="965">
        <f t="shared" si="10"/>
        <v>8359</v>
      </c>
      <c r="P204" s="1020"/>
      <c r="Q204" s="768"/>
      <c r="R204" s="768"/>
      <c r="S204" s="768"/>
      <c r="T204" s="768"/>
      <c r="U204" s="347">
        <v>2019</v>
      </c>
      <c r="V204" s="349" t="s">
        <v>79</v>
      </c>
      <c r="W204" s="369"/>
      <c r="X204" s="369"/>
    </row>
    <row r="205" spans="1:50" s="53" customFormat="1" ht="12.75" hidden="1" customHeight="1">
      <c r="A205" s="1121"/>
      <c r="B205" s="347">
        <v>2019</v>
      </c>
      <c r="C205" s="1123" t="s">
        <v>30</v>
      </c>
      <c r="D205" s="1012">
        <v>8388</v>
      </c>
      <c r="E205" s="965"/>
      <c r="F205" s="965">
        <v>828</v>
      </c>
      <c r="G205" s="965"/>
      <c r="H205" s="965">
        <v>680</v>
      </c>
      <c r="I205" s="965"/>
      <c r="J205" s="965">
        <v>4</v>
      </c>
      <c r="K205" s="965"/>
      <c r="L205" s="965">
        <v>707</v>
      </c>
      <c r="M205" s="965"/>
      <c r="N205" s="965"/>
      <c r="O205" s="965">
        <f t="shared" si="10"/>
        <v>10607</v>
      </c>
      <c r="P205" s="1020"/>
      <c r="Q205" s="768"/>
      <c r="R205" s="768"/>
      <c r="S205" s="768"/>
      <c r="T205" s="768"/>
      <c r="U205" s="347">
        <v>2019</v>
      </c>
      <c r="V205" s="349" t="s">
        <v>80</v>
      </c>
      <c r="W205" s="369"/>
      <c r="X205" s="369"/>
    </row>
    <row r="206" spans="1:50" s="53" customFormat="1" ht="12.75" hidden="1" customHeight="1">
      <c r="A206" s="1121"/>
      <c r="B206" s="347">
        <v>2019</v>
      </c>
      <c r="C206" s="1123" t="s">
        <v>266</v>
      </c>
      <c r="D206" s="1012">
        <v>10192</v>
      </c>
      <c r="E206" s="965"/>
      <c r="F206" s="965">
        <v>846</v>
      </c>
      <c r="G206" s="965"/>
      <c r="H206" s="965">
        <v>852</v>
      </c>
      <c r="I206" s="965"/>
      <c r="J206" s="965">
        <v>20</v>
      </c>
      <c r="K206" s="965"/>
      <c r="L206" s="965">
        <v>702</v>
      </c>
      <c r="M206" s="965"/>
      <c r="N206" s="965"/>
      <c r="O206" s="965">
        <f t="shared" si="10"/>
        <v>12612</v>
      </c>
      <c r="P206" s="1020"/>
      <c r="Q206" s="768"/>
      <c r="R206" s="768"/>
      <c r="S206" s="768"/>
      <c r="T206" s="768"/>
      <c r="U206" s="347">
        <v>2019</v>
      </c>
      <c r="V206" s="349" t="s">
        <v>264</v>
      </c>
      <c r="W206" s="369"/>
      <c r="X206" s="369"/>
    </row>
    <row r="207" spans="1:50" s="53" customFormat="1" ht="12.75" hidden="1" customHeight="1">
      <c r="A207" s="1121"/>
      <c r="B207" s="347">
        <v>2019</v>
      </c>
      <c r="C207" s="1123" t="s">
        <v>37</v>
      </c>
      <c r="D207" s="1012">
        <v>9477</v>
      </c>
      <c r="E207" s="965"/>
      <c r="F207" s="965">
        <v>979</v>
      </c>
      <c r="G207" s="965"/>
      <c r="H207" s="965">
        <v>1004</v>
      </c>
      <c r="I207" s="965"/>
      <c r="J207" s="965">
        <v>16</v>
      </c>
      <c r="K207" s="965"/>
      <c r="L207" s="965">
        <v>799</v>
      </c>
      <c r="M207" s="965"/>
      <c r="N207" s="965"/>
      <c r="O207" s="965">
        <f t="shared" si="10"/>
        <v>12275</v>
      </c>
      <c r="P207" s="1020"/>
      <c r="Q207" s="768"/>
      <c r="R207" s="768"/>
      <c r="S207" s="768"/>
      <c r="T207" s="768"/>
      <c r="U207" s="347">
        <v>2019</v>
      </c>
      <c r="V207" s="349" t="s">
        <v>356</v>
      </c>
      <c r="W207" s="369"/>
      <c r="X207" s="369"/>
    </row>
    <row r="208" spans="1:50" s="53" customFormat="1" ht="12.75" hidden="1" customHeight="1">
      <c r="A208" s="1121"/>
      <c r="B208" s="347">
        <v>2019</v>
      </c>
      <c r="C208" s="1123" t="s">
        <v>31</v>
      </c>
      <c r="D208" s="1012">
        <v>9756</v>
      </c>
      <c r="E208" s="965"/>
      <c r="F208" s="965">
        <v>744</v>
      </c>
      <c r="G208" s="965"/>
      <c r="H208" s="965">
        <v>536</v>
      </c>
      <c r="I208" s="965"/>
      <c r="J208" s="965">
        <v>5</v>
      </c>
      <c r="K208" s="965"/>
      <c r="L208" s="965">
        <v>659</v>
      </c>
      <c r="M208" s="965"/>
      <c r="N208" s="965"/>
      <c r="O208" s="965">
        <f t="shared" si="10"/>
        <v>11700</v>
      </c>
      <c r="P208" s="1020"/>
      <c r="Q208" s="768"/>
      <c r="R208" s="768"/>
      <c r="S208" s="768"/>
      <c r="T208" s="768"/>
      <c r="U208" s="347">
        <v>2019</v>
      </c>
      <c r="V208" s="349" t="s">
        <v>31</v>
      </c>
      <c r="W208" s="369"/>
      <c r="X208" s="369"/>
    </row>
    <row r="209" spans="1:51" s="53" customFormat="1" ht="12.75" hidden="1" customHeight="1">
      <c r="A209" s="1121"/>
      <c r="B209" s="347">
        <v>2019</v>
      </c>
      <c r="C209" s="1123" t="s">
        <v>50</v>
      </c>
      <c r="D209" s="1012">
        <v>8761</v>
      </c>
      <c r="E209" s="965"/>
      <c r="F209" s="965">
        <v>667</v>
      </c>
      <c r="G209" s="965"/>
      <c r="H209" s="965">
        <v>677</v>
      </c>
      <c r="I209" s="965"/>
      <c r="J209" s="965">
        <v>82</v>
      </c>
      <c r="K209" s="965"/>
      <c r="L209" s="965">
        <v>693</v>
      </c>
      <c r="M209" s="965"/>
      <c r="N209" s="965"/>
      <c r="O209" s="965">
        <f t="shared" si="10"/>
        <v>10880</v>
      </c>
      <c r="P209" s="1020"/>
      <c r="Q209" s="768"/>
      <c r="R209" s="768"/>
      <c r="S209" s="768"/>
      <c r="T209" s="768"/>
      <c r="U209" s="347">
        <v>2019</v>
      </c>
      <c r="V209" s="349" t="s">
        <v>38</v>
      </c>
      <c r="W209" s="369"/>
      <c r="X209" s="369"/>
    </row>
    <row r="210" spans="1:51" s="53" customFormat="1" ht="12.75" hidden="1" customHeight="1">
      <c r="A210" s="1121"/>
      <c r="B210" s="347">
        <v>2019</v>
      </c>
      <c r="C210" s="1123" t="s">
        <v>348</v>
      </c>
      <c r="D210" s="1012">
        <v>7588</v>
      </c>
      <c r="E210" s="965"/>
      <c r="F210" s="965">
        <v>467</v>
      </c>
      <c r="G210" s="965"/>
      <c r="H210" s="965">
        <v>832</v>
      </c>
      <c r="I210" s="965"/>
      <c r="J210" s="965">
        <v>210</v>
      </c>
      <c r="K210" s="965"/>
      <c r="L210" s="965">
        <v>763</v>
      </c>
      <c r="M210" s="965"/>
      <c r="N210" s="965"/>
      <c r="O210" s="965">
        <f t="shared" si="10"/>
        <v>9860</v>
      </c>
      <c r="P210" s="1020"/>
      <c r="Q210" s="768"/>
      <c r="R210" s="768"/>
      <c r="S210" s="768"/>
      <c r="T210" s="768"/>
      <c r="U210" s="347">
        <v>2019</v>
      </c>
      <c r="V210" s="349" t="s">
        <v>39</v>
      </c>
      <c r="W210" s="369"/>
      <c r="X210" s="369"/>
    </row>
    <row r="211" spans="1:51" s="53" customFormat="1" ht="12.75" hidden="1" customHeight="1">
      <c r="A211" s="1121"/>
      <c r="B211" s="347">
        <v>2019</v>
      </c>
      <c r="C211" s="1123" t="s">
        <v>349</v>
      </c>
      <c r="D211" s="1012">
        <v>10411</v>
      </c>
      <c r="E211" s="965"/>
      <c r="F211" s="965">
        <v>1032</v>
      </c>
      <c r="G211" s="965"/>
      <c r="H211" s="965">
        <v>467</v>
      </c>
      <c r="I211" s="965"/>
      <c r="J211" s="965">
        <v>151</v>
      </c>
      <c r="K211" s="965"/>
      <c r="L211" s="965">
        <v>420</v>
      </c>
      <c r="M211" s="965"/>
      <c r="N211" s="965"/>
      <c r="O211" s="965">
        <f t="shared" si="10"/>
        <v>12481</v>
      </c>
      <c r="P211" s="1020"/>
      <c r="Q211" s="768"/>
      <c r="R211" s="768"/>
      <c r="S211" s="768"/>
      <c r="T211" s="768"/>
      <c r="U211" s="347">
        <v>2019</v>
      </c>
      <c r="V211" s="349" t="s">
        <v>362</v>
      </c>
      <c r="W211" s="369"/>
      <c r="X211" s="369"/>
    </row>
    <row r="212" spans="1:51" s="53" customFormat="1" ht="12.75" hidden="1" customHeight="1">
      <c r="A212" s="1121"/>
      <c r="B212" s="347">
        <v>2020</v>
      </c>
      <c r="C212" s="1123" t="s">
        <v>260</v>
      </c>
      <c r="D212" s="1012">
        <v>9837</v>
      </c>
      <c r="E212" s="965"/>
      <c r="F212" s="965">
        <v>676</v>
      </c>
      <c r="G212" s="965"/>
      <c r="H212" s="965">
        <v>316</v>
      </c>
      <c r="I212" s="965"/>
      <c r="J212" s="965">
        <v>270</v>
      </c>
      <c r="K212" s="965"/>
      <c r="L212" s="965">
        <v>834</v>
      </c>
      <c r="M212" s="965"/>
      <c r="N212" s="965"/>
      <c r="O212" s="965">
        <f t="shared" si="10"/>
        <v>11933</v>
      </c>
      <c r="P212" s="1020"/>
      <c r="Q212" s="768"/>
      <c r="R212" s="768"/>
      <c r="S212" s="768"/>
      <c r="T212" s="768"/>
      <c r="U212" s="347">
        <v>2020</v>
      </c>
      <c r="V212" s="349" t="s">
        <v>260</v>
      </c>
      <c r="W212" s="369"/>
      <c r="X212" s="369"/>
      <c r="Y212" s="12"/>
      <c r="AX212" s="603"/>
      <c r="AY212" s="603"/>
    </row>
    <row r="213" spans="1:51" s="53" customFormat="1" ht="12.75" hidden="1" customHeight="1">
      <c r="A213" s="1121"/>
      <c r="B213" s="347">
        <v>2020</v>
      </c>
      <c r="C213" s="1123" t="s">
        <v>350</v>
      </c>
      <c r="D213" s="923">
        <v>4691</v>
      </c>
      <c r="E213" s="908"/>
      <c r="F213" s="908">
        <v>470</v>
      </c>
      <c r="G213" s="908"/>
      <c r="H213" s="908">
        <v>545</v>
      </c>
      <c r="I213" s="908"/>
      <c r="J213" s="908">
        <v>134</v>
      </c>
      <c r="K213" s="908"/>
      <c r="L213" s="908">
        <v>754</v>
      </c>
      <c r="M213" s="919"/>
      <c r="N213" s="919"/>
      <c r="O213" s="908">
        <f t="shared" si="10"/>
        <v>6594</v>
      </c>
      <c r="P213" s="1020"/>
      <c r="Q213" s="922"/>
      <c r="R213" s="922"/>
      <c r="S213" s="922"/>
      <c r="T213" s="922"/>
      <c r="U213" s="347">
        <v>2020</v>
      </c>
      <c r="V213" s="349" t="s">
        <v>77</v>
      </c>
      <c r="W213" s="369"/>
      <c r="X213" s="369"/>
      <c r="Y213" s="12"/>
      <c r="AX213" s="603"/>
      <c r="AY213" s="603"/>
    </row>
    <row r="214" spans="1:51" s="53" customFormat="1" ht="12.75" hidden="1" customHeight="1">
      <c r="A214" s="1121"/>
      <c r="B214" s="347">
        <v>2020</v>
      </c>
      <c r="C214" s="1123" t="s">
        <v>29</v>
      </c>
      <c r="D214" s="923">
        <v>2638</v>
      </c>
      <c r="E214" s="908"/>
      <c r="F214" s="908">
        <v>299</v>
      </c>
      <c r="G214" s="908"/>
      <c r="H214" s="908">
        <v>224</v>
      </c>
      <c r="I214" s="908"/>
      <c r="J214" s="908">
        <v>44</v>
      </c>
      <c r="K214" s="908"/>
      <c r="L214" s="908">
        <v>233</v>
      </c>
      <c r="M214" s="908"/>
      <c r="N214" s="908"/>
      <c r="O214" s="908">
        <f t="shared" si="10"/>
        <v>3438</v>
      </c>
      <c r="P214" s="1020"/>
      <c r="Q214" s="768"/>
      <c r="R214" s="768"/>
      <c r="S214" s="768"/>
      <c r="T214" s="768"/>
      <c r="U214" s="347">
        <v>2020</v>
      </c>
      <c r="V214" s="349" t="s">
        <v>65</v>
      </c>
      <c r="W214" s="369"/>
      <c r="X214" s="369"/>
      <c r="Y214" s="12"/>
      <c r="AX214" s="603"/>
      <c r="AY214" s="603"/>
    </row>
    <row r="215" spans="1:51" s="53" customFormat="1" ht="12.75" hidden="1" customHeight="1">
      <c r="A215" s="1121"/>
      <c r="B215" s="347">
        <v>2020</v>
      </c>
      <c r="C215" s="1123" t="s">
        <v>351</v>
      </c>
      <c r="D215" s="923">
        <v>0</v>
      </c>
      <c r="E215" s="908"/>
      <c r="F215" s="908">
        <v>0</v>
      </c>
      <c r="G215" s="908"/>
      <c r="H215" s="908">
        <v>0</v>
      </c>
      <c r="I215" s="908"/>
      <c r="J215" s="908">
        <v>0</v>
      </c>
      <c r="K215" s="908"/>
      <c r="L215" s="965">
        <v>0</v>
      </c>
      <c r="M215" s="908"/>
      <c r="N215" s="908"/>
      <c r="O215" s="908">
        <f t="shared" si="10"/>
        <v>0</v>
      </c>
      <c r="P215" s="1020"/>
      <c r="Q215" s="768"/>
      <c r="R215" s="768"/>
      <c r="S215" s="768"/>
      <c r="T215" s="768"/>
      <c r="U215" s="347">
        <v>2020</v>
      </c>
      <c r="V215" s="349" t="s">
        <v>353</v>
      </c>
      <c r="W215" s="369"/>
      <c r="X215" s="369"/>
      <c r="Y215" s="12"/>
      <c r="AX215" s="603"/>
      <c r="AY215" s="603"/>
    </row>
    <row r="216" spans="1:51" s="53" customFormat="1" ht="12.75" hidden="1" customHeight="1">
      <c r="A216" s="1121"/>
      <c r="B216" s="347">
        <v>2020</v>
      </c>
      <c r="C216" s="1123" t="s">
        <v>263</v>
      </c>
      <c r="D216" s="923">
        <v>0</v>
      </c>
      <c r="E216" s="908"/>
      <c r="F216" s="908">
        <v>0</v>
      </c>
      <c r="G216" s="908"/>
      <c r="H216" s="908">
        <v>0</v>
      </c>
      <c r="I216" s="908"/>
      <c r="J216" s="908">
        <v>0</v>
      </c>
      <c r="K216" s="908"/>
      <c r="L216" s="908">
        <v>0</v>
      </c>
      <c r="M216" s="919"/>
      <c r="N216" s="919"/>
      <c r="O216" s="908">
        <f t="shared" si="10"/>
        <v>0</v>
      </c>
      <c r="P216" s="1020"/>
      <c r="Q216" s="922"/>
      <c r="R216" s="922"/>
      <c r="S216" s="922"/>
      <c r="T216" s="922"/>
      <c r="U216" s="347">
        <v>2020</v>
      </c>
      <c r="V216" s="349" t="s">
        <v>354</v>
      </c>
      <c r="W216" s="369"/>
      <c r="X216" s="369"/>
      <c r="Y216" s="12"/>
      <c r="AX216" s="603"/>
      <c r="AY216" s="603"/>
    </row>
    <row r="217" spans="1:51" s="53" customFormat="1" ht="12.75" hidden="1" customHeight="1">
      <c r="A217" s="1121"/>
      <c r="B217" s="347">
        <v>2020</v>
      </c>
      <c r="C217" s="1123" t="s">
        <v>352</v>
      </c>
      <c r="D217" s="923">
        <v>0</v>
      </c>
      <c r="E217" s="908"/>
      <c r="F217" s="908">
        <v>0</v>
      </c>
      <c r="G217" s="908"/>
      <c r="H217" s="908">
        <v>0</v>
      </c>
      <c r="I217" s="908"/>
      <c r="J217" s="908">
        <v>0</v>
      </c>
      <c r="K217" s="908"/>
      <c r="L217" s="908">
        <v>0</v>
      </c>
      <c r="M217" s="919"/>
      <c r="N217" s="919"/>
      <c r="O217" s="908">
        <v>0</v>
      </c>
      <c r="P217" s="1020"/>
      <c r="Q217" s="922"/>
      <c r="R217" s="922"/>
      <c r="S217" s="922"/>
      <c r="T217" s="922"/>
      <c r="U217" s="347">
        <v>2020</v>
      </c>
      <c r="V217" s="349" t="s">
        <v>355</v>
      </c>
      <c r="W217" s="369"/>
      <c r="X217" s="369"/>
      <c r="Y217" s="12"/>
      <c r="AX217" s="603"/>
      <c r="AY217" s="603"/>
    </row>
    <row r="218" spans="1:51" s="53" customFormat="1" ht="12.75" hidden="1" customHeight="1">
      <c r="A218" s="1121"/>
      <c r="B218" s="347">
        <v>2020</v>
      </c>
      <c r="C218" s="1123" t="s">
        <v>266</v>
      </c>
      <c r="D218" s="923">
        <v>0</v>
      </c>
      <c r="E218" s="908"/>
      <c r="F218" s="908">
        <v>0</v>
      </c>
      <c r="G218" s="908"/>
      <c r="H218" s="908">
        <v>0</v>
      </c>
      <c r="I218" s="908"/>
      <c r="J218" s="908">
        <v>0</v>
      </c>
      <c r="K218" s="908"/>
      <c r="L218" s="908">
        <v>0</v>
      </c>
      <c r="M218" s="908"/>
      <c r="N218" s="908"/>
      <c r="O218" s="908">
        <v>0</v>
      </c>
      <c r="P218" s="1020"/>
      <c r="Q218" s="768"/>
      <c r="R218" s="768"/>
      <c r="S218" s="768"/>
      <c r="T218" s="768"/>
      <c r="U218" s="347">
        <v>2020</v>
      </c>
      <c r="V218" s="349" t="s">
        <v>264</v>
      </c>
      <c r="W218" s="369"/>
      <c r="X218" s="369"/>
      <c r="Y218" s="12"/>
      <c r="AX218" s="603"/>
      <c r="AY218" s="603"/>
    </row>
    <row r="219" spans="1:51" s="53" customFormat="1" ht="12.75" hidden="1" customHeight="1">
      <c r="A219" s="1121"/>
      <c r="B219" s="347">
        <v>2020</v>
      </c>
      <c r="C219" s="1123" t="s">
        <v>271</v>
      </c>
      <c r="D219" s="923">
        <v>0</v>
      </c>
      <c r="E219" s="908"/>
      <c r="F219" s="908">
        <v>0</v>
      </c>
      <c r="G219" s="908"/>
      <c r="H219" s="908">
        <v>0</v>
      </c>
      <c r="I219" s="908"/>
      <c r="J219" s="908">
        <v>0</v>
      </c>
      <c r="K219" s="908"/>
      <c r="L219" s="908">
        <v>0</v>
      </c>
      <c r="M219" s="908"/>
      <c r="N219" s="908"/>
      <c r="O219" s="908">
        <f>SUM(D219:L219)</f>
        <v>0</v>
      </c>
      <c r="P219" s="1020"/>
      <c r="Q219" s="768"/>
      <c r="R219" s="768"/>
      <c r="S219" s="768"/>
      <c r="T219" s="768"/>
      <c r="U219" s="347">
        <v>2020</v>
      </c>
      <c r="V219" s="349" t="s">
        <v>356</v>
      </c>
      <c r="W219" s="369"/>
      <c r="X219" s="369"/>
      <c r="Y219" s="12"/>
      <c r="AX219" s="603"/>
      <c r="AY219" s="603"/>
    </row>
    <row r="220" spans="1:51" s="53" customFormat="1" ht="12.75" hidden="1" customHeight="1">
      <c r="A220" s="1121"/>
      <c r="B220" s="347">
        <v>2020</v>
      </c>
      <c r="C220" s="1123" t="s">
        <v>347</v>
      </c>
      <c r="D220" s="923">
        <v>0</v>
      </c>
      <c r="E220" s="908"/>
      <c r="F220" s="908">
        <v>0</v>
      </c>
      <c r="G220" s="908"/>
      <c r="H220" s="908">
        <v>0</v>
      </c>
      <c r="I220" s="908"/>
      <c r="J220" s="908">
        <v>0</v>
      </c>
      <c r="K220" s="908"/>
      <c r="L220" s="908">
        <v>0</v>
      </c>
      <c r="M220" s="908"/>
      <c r="N220" s="908"/>
      <c r="O220" s="908">
        <f>SUM(D220:L220)</f>
        <v>0</v>
      </c>
      <c r="P220" s="1020"/>
      <c r="Q220" s="768"/>
      <c r="R220" s="768"/>
      <c r="S220" s="768"/>
      <c r="T220" s="768"/>
      <c r="U220" s="347">
        <v>2020</v>
      </c>
      <c r="V220" s="349" t="s">
        <v>347</v>
      </c>
      <c r="W220" s="369"/>
      <c r="X220" s="369"/>
      <c r="Y220" s="12"/>
      <c r="AX220" s="603"/>
      <c r="AY220" s="603"/>
    </row>
    <row r="221" spans="1:51" s="53" customFormat="1" ht="12.75" hidden="1" customHeight="1">
      <c r="A221" s="1121"/>
      <c r="B221" s="347">
        <v>2020</v>
      </c>
      <c r="C221" s="1123" t="s">
        <v>50</v>
      </c>
      <c r="D221" s="923">
        <v>0</v>
      </c>
      <c r="E221" s="908"/>
      <c r="F221" s="908">
        <v>0</v>
      </c>
      <c r="G221" s="908"/>
      <c r="H221" s="908">
        <v>0</v>
      </c>
      <c r="I221" s="908"/>
      <c r="J221" s="908">
        <v>0</v>
      </c>
      <c r="K221" s="908"/>
      <c r="L221" s="908">
        <v>0</v>
      </c>
      <c r="M221" s="919"/>
      <c r="N221" s="919"/>
      <c r="O221" s="908">
        <v>0</v>
      </c>
      <c r="P221" s="1020"/>
      <c r="Q221" s="922"/>
      <c r="R221" s="922"/>
      <c r="S221" s="922"/>
      <c r="T221" s="922"/>
      <c r="U221" s="347">
        <v>2020</v>
      </c>
      <c r="V221" s="349" t="s">
        <v>50</v>
      </c>
      <c r="W221" s="369"/>
      <c r="X221" s="369"/>
      <c r="Y221" s="12"/>
      <c r="AX221" s="603"/>
      <c r="AY221" s="603"/>
    </row>
    <row r="222" spans="1:51" s="53" customFormat="1" ht="12.75" hidden="1" customHeight="1">
      <c r="A222" s="1121"/>
      <c r="B222" s="347">
        <v>2020</v>
      </c>
      <c r="C222" s="1123" t="s">
        <v>348</v>
      </c>
      <c r="D222" s="923">
        <v>0</v>
      </c>
      <c r="E222" s="908"/>
      <c r="F222" s="908">
        <v>0</v>
      </c>
      <c r="G222" s="908"/>
      <c r="H222" s="908">
        <v>0</v>
      </c>
      <c r="I222" s="908"/>
      <c r="J222" s="908">
        <v>0</v>
      </c>
      <c r="K222" s="908"/>
      <c r="L222" s="908">
        <v>0</v>
      </c>
      <c r="M222" s="908"/>
      <c r="N222" s="908"/>
      <c r="O222" s="908">
        <v>0</v>
      </c>
      <c r="P222" s="1020"/>
      <c r="Q222" s="768"/>
      <c r="R222" s="768"/>
      <c r="S222" s="768"/>
      <c r="T222" s="768"/>
      <c r="U222" s="347">
        <v>2020</v>
      </c>
      <c r="V222" s="349" t="s">
        <v>348</v>
      </c>
      <c r="W222" s="369"/>
      <c r="X222" s="369"/>
      <c r="Y222" s="12"/>
      <c r="AX222" s="603"/>
      <c r="AY222" s="603"/>
    </row>
    <row r="223" spans="1:51" s="53" customFormat="1" ht="12.75" hidden="1" customHeight="1">
      <c r="A223" s="1121"/>
      <c r="B223" s="347">
        <v>2020</v>
      </c>
      <c r="C223" s="1123" t="s">
        <v>349</v>
      </c>
      <c r="D223" s="923">
        <v>0</v>
      </c>
      <c r="E223" s="908"/>
      <c r="F223" s="908">
        <v>0</v>
      </c>
      <c r="G223" s="908"/>
      <c r="H223" s="908">
        <v>0</v>
      </c>
      <c r="I223" s="908"/>
      <c r="J223" s="908">
        <v>0</v>
      </c>
      <c r="K223" s="908"/>
      <c r="L223" s="908">
        <v>0</v>
      </c>
      <c r="M223" s="919"/>
      <c r="N223" s="919"/>
      <c r="O223" s="908">
        <v>0</v>
      </c>
      <c r="P223" s="1020"/>
      <c r="Q223" s="922"/>
      <c r="R223" s="922"/>
      <c r="S223" s="922"/>
      <c r="T223" s="922"/>
      <c r="U223" s="347">
        <v>2020</v>
      </c>
      <c r="V223" s="349" t="s">
        <v>362</v>
      </c>
      <c r="W223" s="369"/>
      <c r="X223" s="369"/>
      <c r="Y223" s="12"/>
      <c r="AX223" s="603"/>
      <c r="AY223" s="603"/>
    </row>
    <row r="224" spans="1:51" s="53" customFormat="1" ht="12.75" hidden="1" customHeight="1">
      <c r="A224" s="1121"/>
      <c r="B224" s="347">
        <v>2021</v>
      </c>
      <c r="C224" s="1123" t="s">
        <v>260</v>
      </c>
      <c r="D224" s="923">
        <v>0</v>
      </c>
      <c r="E224" s="908"/>
      <c r="F224" s="908">
        <v>0</v>
      </c>
      <c r="G224" s="908"/>
      <c r="H224" s="908">
        <v>0</v>
      </c>
      <c r="I224" s="908"/>
      <c r="J224" s="908">
        <v>0</v>
      </c>
      <c r="K224" s="908"/>
      <c r="L224" s="908">
        <v>0</v>
      </c>
      <c r="M224" s="919"/>
      <c r="N224" s="919"/>
      <c r="O224" s="908">
        <v>0</v>
      </c>
      <c r="P224" s="1020"/>
      <c r="Q224" s="922"/>
      <c r="R224" s="922"/>
      <c r="S224" s="922"/>
      <c r="T224" s="922"/>
      <c r="U224" s="347">
        <v>2021</v>
      </c>
      <c r="V224" s="349" t="s">
        <v>260</v>
      </c>
      <c r="W224" s="369"/>
      <c r="X224" s="369"/>
      <c r="Y224" s="12"/>
      <c r="AX224" s="603"/>
      <c r="AY224" s="603"/>
    </row>
    <row r="225" spans="1:51" s="53" customFormat="1" ht="12.75" hidden="1" customHeight="1">
      <c r="A225" s="1121"/>
      <c r="B225" s="347">
        <v>2021</v>
      </c>
      <c r="C225" s="1123" t="s">
        <v>34</v>
      </c>
      <c r="D225" s="923">
        <v>0</v>
      </c>
      <c r="E225" s="908"/>
      <c r="F225" s="908">
        <v>0</v>
      </c>
      <c r="G225" s="908"/>
      <c r="H225" s="908">
        <v>0</v>
      </c>
      <c r="I225" s="908"/>
      <c r="J225" s="908">
        <v>0</v>
      </c>
      <c r="K225" s="908"/>
      <c r="L225" s="908">
        <v>0</v>
      </c>
      <c r="M225" s="919"/>
      <c r="N225" s="919"/>
      <c r="O225" s="908">
        <v>0</v>
      </c>
      <c r="P225" s="1020"/>
      <c r="Q225" s="922"/>
      <c r="R225" s="922"/>
      <c r="S225" s="922"/>
      <c r="T225" s="922"/>
      <c r="U225" s="347">
        <v>2021</v>
      </c>
      <c r="V225" s="349" t="s">
        <v>34</v>
      </c>
      <c r="W225" s="369"/>
      <c r="X225" s="369"/>
      <c r="Y225" s="12"/>
      <c r="AX225" s="603"/>
      <c r="AY225" s="603"/>
    </row>
    <row r="226" spans="1:51" s="53" customFormat="1" ht="12.75" hidden="1" customHeight="1">
      <c r="A226" s="1121"/>
      <c r="B226" s="347">
        <v>2021</v>
      </c>
      <c r="C226" s="1123" t="s">
        <v>29</v>
      </c>
      <c r="D226" s="923">
        <v>0</v>
      </c>
      <c r="E226" s="908"/>
      <c r="F226" s="908">
        <v>0</v>
      </c>
      <c r="G226" s="908"/>
      <c r="H226" s="908">
        <v>0</v>
      </c>
      <c r="I226" s="908"/>
      <c r="J226" s="908">
        <v>0</v>
      </c>
      <c r="K226" s="908"/>
      <c r="L226" s="908">
        <v>0</v>
      </c>
      <c r="M226" s="919"/>
      <c r="N226" s="919"/>
      <c r="O226" s="908">
        <f t="shared" ref="O226:O245" si="11">SUM(D226:L226)</f>
        <v>0</v>
      </c>
      <c r="P226" s="1020"/>
      <c r="Q226" s="922"/>
      <c r="R226" s="922"/>
      <c r="S226" s="922"/>
      <c r="T226" s="922"/>
      <c r="U226" s="347">
        <v>2021</v>
      </c>
      <c r="V226" s="349" t="s">
        <v>65</v>
      </c>
      <c r="W226" s="369"/>
      <c r="X226" s="369"/>
      <c r="Y226" s="12"/>
      <c r="AX226" s="603"/>
      <c r="AY226" s="603"/>
    </row>
    <row r="227" spans="1:51" s="53" customFormat="1" ht="12.75" hidden="1" customHeight="1">
      <c r="A227" s="1121"/>
      <c r="B227" s="347">
        <v>2021</v>
      </c>
      <c r="C227" s="1123" t="s">
        <v>351</v>
      </c>
      <c r="D227" s="923">
        <v>0</v>
      </c>
      <c r="E227" s="908"/>
      <c r="F227" s="908">
        <v>0</v>
      </c>
      <c r="G227" s="908"/>
      <c r="H227" s="908">
        <v>0</v>
      </c>
      <c r="I227" s="908"/>
      <c r="J227" s="908">
        <v>0</v>
      </c>
      <c r="K227" s="908"/>
      <c r="L227" s="908">
        <v>0</v>
      </c>
      <c r="M227" s="919"/>
      <c r="N227" s="919"/>
      <c r="O227" s="908">
        <f t="shared" si="11"/>
        <v>0</v>
      </c>
      <c r="P227" s="1020"/>
      <c r="Q227" s="922"/>
      <c r="R227" s="922"/>
      <c r="S227" s="922"/>
      <c r="T227" s="922"/>
      <c r="U227" s="347">
        <v>2021</v>
      </c>
      <c r="V227" s="349" t="s">
        <v>353</v>
      </c>
      <c r="W227" s="369"/>
      <c r="X227" s="369"/>
      <c r="Y227" s="12"/>
      <c r="AX227" s="603"/>
      <c r="AY227" s="603"/>
    </row>
    <row r="228" spans="1:51" s="53" customFormat="1" ht="12.75" hidden="1" customHeight="1">
      <c r="A228" s="1121"/>
      <c r="B228" s="347">
        <v>2021</v>
      </c>
      <c r="C228" s="1123" t="s">
        <v>263</v>
      </c>
      <c r="D228" s="923">
        <v>0</v>
      </c>
      <c r="E228" s="908"/>
      <c r="F228" s="908">
        <v>0</v>
      </c>
      <c r="G228" s="908"/>
      <c r="H228" s="908">
        <v>0</v>
      </c>
      <c r="I228" s="908"/>
      <c r="J228" s="908">
        <v>0</v>
      </c>
      <c r="K228" s="908"/>
      <c r="L228" s="908">
        <v>0</v>
      </c>
      <c r="M228" s="919"/>
      <c r="N228" s="919"/>
      <c r="O228" s="908">
        <f t="shared" si="11"/>
        <v>0</v>
      </c>
      <c r="P228" s="1020"/>
      <c r="Q228" s="922"/>
      <c r="R228" s="922"/>
      <c r="S228" s="922"/>
      <c r="T228" s="922"/>
      <c r="U228" s="347">
        <v>2021</v>
      </c>
      <c r="V228" s="349" t="s">
        <v>354</v>
      </c>
      <c r="W228" s="369"/>
      <c r="X228" s="369"/>
      <c r="Y228" s="12"/>
      <c r="AX228" s="603"/>
      <c r="AY228" s="603"/>
    </row>
    <row r="229" spans="1:51" s="53" customFormat="1" ht="12.75" hidden="1" customHeight="1">
      <c r="A229" s="1121"/>
      <c r="B229" s="347">
        <v>2021</v>
      </c>
      <c r="C229" s="1123" t="s">
        <v>352</v>
      </c>
      <c r="D229" s="923">
        <v>0</v>
      </c>
      <c r="E229" s="908"/>
      <c r="F229" s="908">
        <v>0</v>
      </c>
      <c r="G229" s="908"/>
      <c r="H229" s="908">
        <v>0</v>
      </c>
      <c r="I229" s="908"/>
      <c r="J229" s="908">
        <v>0</v>
      </c>
      <c r="K229" s="908"/>
      <c r="L229" s="908">
        <v>0</v>
      </c>
      <c r="M229" s="919"/>
      <c r="N229" s="919"/>
      <c r="O229" s="908">
        <f t="shared" si="11"/>
        <v>0</v>
      </c>
      <c r="P229" s="1020"/>
      <c r="Q229" s="922"/>
      <c r="R229" s="922"/>
      <c r="S229" s="922"/>
      <c r="T229" s="922"/>
      <c r="U229" s="347">
        <v>2021</v>
      </c>
      <c r="V229" s="349" t="s">
        <v>355</v>
      </c>
      <c r="W229" s="369"/>
      <c r="X229" s="369"/>
      <c r="Y229" s="12"/>
      <c r="AX229" s="603"/>
      <c r="AY229" s="603"/>
    </row>
    <row r="230" spans="1:51" s="53" customFormat="1" ht="12.75" hidden="1" customHeight="1">
      <c r="A230" s="1121"/>
      <c r="B230" s="347">
        <v>2021</v>
      </c>
      <c r="C230" s="1123" t="s">
        <v>36</v>
      </c>
      <c r="D230" s="923">
        <v>0</v>
      </c>
      <c r="E230" s="908"/>
      <c r="F230" s="908">
        <v>0</v>
      </c>
      <c r="G230" s="908"/>
      <c r="H230" s="908">
        <v>0</v>
      </c>
      <c r="I230" s="908"/>
      <c r="J230" s="908">
        <v>0</v>
      </c>
      <c r="K230" s="908"/>
      <c r="L230" s="908">
        <v>0</v>
      </c>
      <c r="M230" s="919"/>
      <c r="N230" s="919"/>
      <c r="O230" s="908">
        <f t="shared" si="11"/>
        <v>0</v>
      </c>
      <c r="P230" s="1020"/>
      <c r="Q230" s="922"/>
      <c r="R230" s="922"/>
      <c r="S230" s="922"/>
      <c r="T230" s="922"/>
      <c r="U230" s="347">
        <v>2021</v>
      </c>
      <c r="V230" s="349" t="s">
        <v>264</v>
      </c>
      <c r="W230" s="369"/>
      <c r="X230" s="369"/>
      <c r="Y230" s="12"/>
      <c r="AX230" s="603"/>
      <c r="AY230" s="603"/>
    </row>
    <row r="231" spans="1:51" s="53" customFormat="1" ht="12.75" hidden="1" customHeight="1">
      <c r="A231" s="1121"/>
      <c r="B231" s="347">
        <v>2021</v>
      </c>
      <c r="C231" s="1123" t="s">
        <v>37</v>
      </c>
      <c r="D231" s="923">
        <v>0</v>
      </c>
      <c r="E231" s="908"/>
      <c r="F231" s="908">
        <v>0</v>
      </c>
      <c r="G231" s="908"/>
      <c r="H231" s="908">
        <v>0</v>
      </c>
      <c r="I231" s="908"/>
      <c r="J231" s="908">
        <v>0</v>
      </c>
      <c r="K231" s="908"/>
      <c r="L231" s="908">
        <v>0</v>
      </c>
      <c r="M231" s="919"/>
      <c r="N231" s="919"/>
      <c r="O231" s="908">
        <f t="shared" si="11"/>
        <v>0</v>
      </c>
      <c r="P231" s="1020"/>
      <c r="Q231" s="922"/>
      <c r="R231" s="922"/>
      <c r="S231" s="922"/>
      <c r="T231" s="922"/>
      <c r="U231" s="347">
        <v>2021</v>
      </c>
      <c r="V231" s="349" t="s">
        <v>356</v>
      </c>
      <c r="W231" s="369"/>
      <c r="X231" s="369"/>
      <c r="Y231" s="12"/>
      <c r="AX231" s="603"/>
      <c r="AY231" s="603"/>
    </row>
    <row r="232" spans="1:51" s="53" customFormat="1" ht="12.75" hidden="1" customHeight="1">
      <c r="A232" s="1121"/>
      <c r="B232" s="347">
        <v>2021</v>
      </c>
      <c r="C232" s="1123" t="s">
        <v>347</v>
      </c>
      <c r="D232" s="923">
        <v>0</v>
      </c>
      <c r="E232" s="908"/>
      <c r="F232" s="908">
        <v>0</v>
      </c>
      <c r="G232" s="908"/>
      <c r="H232" s="908">
        <v>0</v>
      </c>
      <c r="I232" s="908"/>
      <c r="J232" s="908">
        <v>0</v>
      </c>
      <c r="K232" s="908"/>
      <c r="L232" s="908">
        <v>0</v>
      </c>
      <c r="M232" s="908"/>
      <c r="N232" s="908"/>
      <c r="O232" s="908">
        <f t="shared" si="11"/>
        <v>0</v>
      </c>
      <c r="P232" s="1020"/>
      <c r="Q232" s="768"/>
      <c r="R232" s="768"/>
      <c r="S232" s="768"/>
      <c r="T232" s="768"/>
      <c r="U232" s="347">
        <v>2021</v>
      </c>
      <c r="V232" s="349" t="s">
        <v>347</v>
      </c>
      <c r="W232" s="369"/>
      <c r="X232" s="369"/>
      <c r="Y232" s="12"/>
      <c r="AX232" s="603"/>
      <c r="AY232" s="603"/>
    </row>
    <row r="233" spans="1:51" s="53" customFormat="1" ht="12.75" hidden="1" customHeight="1">
      <c r="A233" s="1121"/>
      <c r="B233" s="347">
        <v>2021</v>
      </c>
      <c r="C233" s="998" t="s">
        <v>50</v>
      </c>
      <c r="D233" s="923">
        <v>0</v>
      </c>
      <c r="E233" s="908"/>
      <c r="F233" s="908">
        <v>0</v>
      </c>
      <c r="G233" s="908"/>
      <c r="H233" s="908">
        <v>0</v>
      </c>
      <c r="I233" s="908"/>
      <c r="J233" s="908">
        <v>0</v>
      </c>
      <c r="K233" s="908"/>
      <c r="L233" s="908">
        <v>0</v>
      </c>
      <c r="M233" s="908"/>
      <c r="N233" s="908"/>
      <c r="O233" s="908">
        <f t="shared" si="11"/>
        <v>0</v>
      </c>
      <c r="P233" s="1020"/>
      <c r="Q233" s="768"/>
      <c r="R233" s="768"/>
      <c r="S233" s="768"/>
      <c r="T233" s="768"/>
      <c r="U233" s="347">
        <v>2021</v>
      </c>
      <c r="V233" s="349" t="s">
        <v>50</v>
      </c>
      <c r="W233" s="369"/>
      <c r="X233" s="369"/>
      <c r="Y233" s="12"/>
      <c r="AX233" s="603"/>
      <c r="AY233" s="603"/>
    </row>
    <row r="234" spans="1:51" s="53" customFormat="1" ht="12.75" hidden="1" customHeight="1">
      <c r="A234" s="1121"/>
      <c r="B234" s="347">
        <v>2021</v>
      </c>
      <c r="C234" s="1123" t="s">
        <v>348</v>
      </c>
      <c r="D234" s="923">
        <v>0</v>
      </c>
      <c r="E234" s="908"/>
      <c r="F234" s="908">
        <v>0</v>
      </c>
      <c r="G234" s="908"/>
      <c r="H234" s="908">
        <v>0</v>
      </c>
      <c r="I234" s="908"/>
      <c r="J234" s="908">
        <v>0</v>
      </c>
      <c r="K234" s="908"/>
      <c r="L234" s="908">
        <v>0</v>
      </c>
      <c r="M234" s="908"/>
      <c r="N234" s="908"/>
      <c r="O234" s="908">
        <f t="shared" si="11"/>
        <v>0</v>
      </c>
      <c r="P234" s="1015"/>
      <c r="Q234" s="768"/>
      <c r="R234" s="768"/>
      <c r="S234" s="768"/>
      <c r="T234" s="768"/>
      <c r="U234" s="347">
        <v>2021</v>
      </c>
      <c r="V234" s="349" t="s">
        <v>348</v>
      </c>
      <c r="W234" s="369"/>
      <c r="X234" s="369"/>
      <c r="Y234" s="12"/>
      <c r="AX234" s="603"/>
      <c r="AY234" s="603"/>
    </row>
    <row r="235" spans="1:51" s="53" customFormat="1" ht="12.75" hidden="1" customHeight="1">
      <c r="A235" s="1121"/>
      <c r="B235" s="347">
        <v>2021</v>
      </c>
      <c r="C235" s="1123" t="s">
        <v>349</v>
      </c>
      <c r="D235" s="923">
        <v>0</v>
      </c>
      <c r="E235" s="908"/>
      <c r="F235" s="908">
        <v>0</v>
      </c>
      <c r="G235" s="908"/>
      <c r="H235" s="908">
        <v>0</v>
      </c>
      <c r="I235" s="908"/>
      <c r="J235" s="908">
        <v>0</v>
      </c>
      <c r="K235" s="908"/>
      <c r="L235" s="908">
        <v>0</v>
      </c>
      <c r="M235" s="908"/>
      <c r="N235" s="908"/>
      <c r="O235" s="908">
        <f t="shared" si="11"/>
        <v>0</v>
      </c>
      <c r="P235" s="1015"/>
      <c r="Q235" s="768"/>
      <c r="R235" s="768"/>
      <c r="S235" s="768"/>
      <c r="T235" s="768"/>
      <c r="U235" s="347">
        <v>2021</v>
      </c>
      <c r="V235" s="349" t="s">
        <v>362</v>
      </c>
      <c r="W235" s="369"/>
      <c r="X235" s="369"/>
      <c r="Y235" s="12"/>
      <c r="AX235" s="603"/>
      <c r="AY235" s="603"/>
    </row>
    <row r="236" spans="1:51" s="53" customFormat="1" ht="12.75" hidden="1" customHeight="1">
      <c r="A236" s="1121"/>
      <c r="B236" s="347">
        <v>2022</v>
      </c>
      <c r="C236" s="998" t="s">
        <v>260</v>
      </c>
      <c r="D236" s="908">
        <v>0</v>
      </c>
      <c r="E236" s="908"/>
      <c r="F236" s="908">
        <v>0</v>
      </c>
      <c r="G236" s="908"/>
      <c r="H236" s="908">
        <v>0</v>
      </c>
      <c r="I236" s="908"/>
      <c r="J236" s="908">
        <v>0</v>
      </c>
      <c r="K236" s="908"/>
      <c r="L236" s="908">
        <v>0</v>
      </c>
      <c r="M236" s="908"/>
      <c r="N236" s="908"/>
      <c r="O236" s="908">
        <f t="shared" si="11"/>
        <v>0</v>
      </c>
      <c r="P236" s="1020"/>
      <c r="Q236" s="768"/>
      <c r="R236" s="768"/>
      <c r="S236" s="768"/>
      <c r="T236" s="768"/>
      <c r="U236" s="347">
        <v>2022</v>
      </c>
      <c r="V236" s="349" t="s">
        <v>363</v>
      </c>
      <c r="W236" s="369"/>
      <c r="X236" s="369"/>
      <c r="Y236" s="12"/>
      <c r="AX236" s="603"/>
      <c r="AY236" s="603"/>
    </row>
    <row r="237" spans="1:51" s="53" customFormat="1" ht="12.75" hidden="1" customHeight="1">
      <c r="A237" s="1121"/>
      <c r="B237" s="347">
        <v>2022</v>
      </c>
      <c r="C237" s="1123" t="s">
        <v>350</v>
      </c>
      <c r="D237" s="923">
        <v>0</v>
      </c>
      <c r="E237" s="908"/>
      <c r="F237" s="908">
        <v>0</v>
      </c>
      <c r="G237" s="908"/>
      <c r="H237" s="908">
        <v>0</v>
      </c>
      <c r="I237" s="908"/>
      <c r="J237" s="908">
        <v>0</v>
      </c>
      <c r="K237" s="908"/>
      <c r="L237" s="908">
        <v>0</v>
      </c>
      <c r="M237" s="908"/>
      <c r="N237" s="908"/>
      <c r="O237" s="908">
        <f t="shared" si="11"/>
        <v>0</v>
      </c>
      <c r="P237" s="1015"/>
      <c r="Q237" s="768"/>
      <c r="R237" s="768"/>
      <c r="S237" s="768"/>
      <c r="T237" s="768"/>
      <c r="U237" s="347">
        <v>2022</v>
      </c>
      <c r="V237" s="349" t="s">
        <v>357</v>
      </c>
      <c r="W237" s="369"/>
      <c r="X237" s="369"/>
      <c r="Y237" s="12"/>
      <c r="AX237" s="603"/>
      <c r="AY237" s="603"/>
    </row>
    <row r="238" spans="1:51" s="53" customFormat="1" ht="12.75" hidden="1" customHeight="1">
      <c r="A238" s="1121"/>
      <c r="B238" s="347">
        <v>2022</v>
      </c>
      <c r="C238" s="1123" t="s">
        <v>29</v>
      </c>
      <c r="D238" s="923">
        <v>0</v>
      </c>
      <c r="E238" s="908"/>
      <c r="F238" s="908">
        <v>0</v>
      </c>
      <c r="G238" s="908"/>
      <c r="H238" s="908">
        <v>0</v>
      </c>
      <c r="I238" s="908"/>
      <c r="J238" s="908">
        <v>0</v>
      </c>
      <c r="K238" s="908"/>
      <c r="L238" s="908">
        <v>0</v>
      </c>
      <c r="M238" s="908"/>
      <c r="N238" s="908"/>
      <c r="O238" s="908">
        <f t="shared" si="11"/>
        <v>0</v>
      </c>
      <c r="P238" s="1015"/>
      <c r="Q238" s="768"/>
      <c r="R238" s="768"/>
      <c r="S238" s="768"/>
      <c r="T238" s="768"/>
      <c r="U238" s="347">
        <v>2022</v>
      </c>
      <c r="V238" s="349" t="s">
        <v>29</v>
      </c>
      <c r="W238" s="369"/>
      <c r="X238" s="369"/>
      <c r="Y238" s="12"/>
      <c r="AX238" s="603"/>
      <c r="AY238" s="603"/>
    </row>
    <row r="239" spans="1:51" s="53" customFormat="1" ht="12.75" customHeight="1">
      <c r="A239" s="1121"/>
      <c r="B239" s="347">
        <v>2022</v>
      </c>
      <c r="C239" s="1123" t="s">
        <v>35</v>
      </c>
      <c r="D239" s="923">
        <v>0</v>
      </c>
      <c r="E239" s="908"/>
      <c r="F239" s="908">
        <v>0</v>
      </c>
      <c r="G239" s="908"/>
      <c r="H239" s="908">
        <v>0</v>
      </c>
      <c r="I239" s="908"/>
      <c r="J239" s="908">
        <v>0</v>
      </c>
      <c r="K239" s="908"/>
      <c r="L239" s="908">
        <v>0</v>
      </c>
      <c r="M239" s="908"/>
      <c r="N239" s="908"/>
      <c r="O239" s="908">
        <f t="shared" si="11"/>
        <v>0</v>
      </c>
      <c r="P239" s="1015"/>
      <c r="Q239" s="768"/>
      <c r="R239" s="768"/>
      <c r="S239" s="768"/>
      <c r="T239" s="768"/>
      <c r="U239" s="347">
        <v>2022</v>
      </c>
      <c r="V239" s="349" t="s">
        <v>353</v>
      </c>
      <c r="W239" s="369"/>
      <c r="X239" s="369"/>
      <c r="Y239" s="12"/>
      <c r="AX239" s="603"/>
      <c r="AY239" s="603"/>
    </row>
    <row r="240" spans="1:51" s="53" customFormat="1" ht="12.75" hidden="1" customHeight="1">
      <c r="A240" s="1121"/>
      <c r="B240" s="347">
        <v>2022</v>
      </c>
      <c r="C240" s="1123" t="s">
        <v>4</v>
      </c>
      <c r="D240" s="923">
        <v>0</v>
      </c>
      <c r="E240" s="908"/>
      <c r="F240" s="908">
        <v>0</v>
      </c>
      <c r="G240" s="908"/>
      <c r="H240" s="908">
        <v>0</v>
      </c>
      <c r="I240" s="908"/>
      <c r="J240" s="908">
        <v>0</v>
      </c>
      <c r="K240" s="908"/>
      <c r="L240" s="908">
        <v>0</v>
      </c>
      <c r="M240" s="908"/>
      <c r="N240" s="908"/>
      <c r="O240" s="908">
        <f t="shared" si="11"/>
        <v>0</v>
      </c>
      <c r="P240" s="1015"/>
      <c r="Q240" s="768"/>
      <c r="R240" s="768"/>
      <c r="S240" s="768"/>
      <c r="T240" s="768"/>
      <c r="U240" s="347">
        <v>2022</v>
      </c>
      <c r="V240" s="349" t="s">
        <v>79</v>
      </c>
      <c r="W240" s="369"/>
      <c r="X240" s="369"/>
      <c r="Y240" s="12"/>
      <c r="AX240" s="603"/>
      <c r="AY240" s="603"/>
    </row>
    <row r="241" spans="1:51" s="53" customFormat="1" ht="12.75" hidden="1" customHeight="1">
      <c r="A241" s="1121"/>
      <c r="B241" s="347">
        <v>2022</v>
      </c>
      <c r="C241" s="1123" t="s">
        <v>30</v>
      </c>
      <c r="D241" s="923">
        <v>0</v>
      </c>
      <c r="E241" s="908"/>
      <c r="F241" s="908">
        <v>0</v>
      </c>
      <c r="G241" s="908"/>
      <c r="H241" s="908">
        <v>0</v>
      </c>
      <c r="I241" s="908"/>
      <c r="J241" s="908">
        <v>0</v>
      </c>
      <c r="K241" s="908"/>
      <c r="L241" s="908">
        <v>0</v>
      </c>
      <c r="M241" s="908"/>
      <c r="N241" s="908"/>
      <c r="O241" s="908">
        <f t="shared" si="11"/>
        <v>0</v>
      </c>
      <c r="P241" s="1015"/>
      <c r="Q241" s="768"/>
      <c r="R241" s="768"/>
      <c r="S241" s="768"/>
      <c r="T241" s="768"/>
      <c r="U241" s="347">
        <v>2022</v>
      </c>
      <c r="V241" s="349" t="s">
        <v>80</v>
      </c>
      <c r="W241" s="369"/>
      <c r="X241" s="369"/>
      <c r="Y241" s="12"/>
      <c r="AX241" s="603"/>
      <c r="AY241" s="603"/>
    </row>
    <row r="242" spans="1:51" s="53" customFormat="1" ht="12.75" hidden="1" customHeight="1">
      <c r="A242" s="1121"/>
      <c r="B242" s="347">
        <v>2022</v>
      </c>
      <c r="C242" s="998" t="s">
        <v>36</v>
      </c>
      <c r="D242" s="908">
        <v>2852</v>
      </c>
      <c r="E242" s="908"/>
      <c r="F242" s="908">
        <v>367</v>
      </c>
      <c r="G242" s="908"/>
      <c r="H242" s="908">
        <v>156</v>
      </c>
      <c r="I242" s="908"/>
      <c r="J242" s="908">
        <v>42</v>
      </c>
      <c r="K242" s="908"/>
      <c r="L242" s="908">
        <v>121</v>
      </c>
      <c r="M242" s="908"/>
      <c r="N242" s="908"/>
      <c r="O242" s="908">
        <f t="shared" si="11"/>
        <v>3538</v>
      </c>
      <c r="P242" s="1020"/>
      <c r="Q242" s="768"/>
      <c r="R242" s="768"/>
      <c r="S242" s="768"/>
      <c r="T242" s="768"/>
      <c r="U242" s="347">
        <v>2022</v>
      </c>
      <c r="V242" s="349" t="s">
        <v>264</v>
      </c>
      <c r="W242" s="369"/>
      <c r="X242" s="369"/>
      <c r="Y242" s="12"/>
      <c r="AX242" s="603"/>
      <c r="AY242" s="603"/>
    </row>
    <row r="243" spans="1:51" s="53" customFormat="1" ht="12.75" hidden="1" customHeight="1">
      <c r="A243" s="1121"/>
      <c r="B243" s="347">
        <v>2022</v>
      </c>
      <c r="C243" s="998" t="s">
        <v>37</v>
      </c>
      <c r="D243" s="908">
        <v>3765</v>
      </c>
      <c r="E243" s="908"/>
      <c r="F243" s="908">
        <v>369</v>
      </c>
      <c r="G243" s="908"/>
      <c r="H243" s="908">
        <v>171</v>
      </c>
      <c r="I243" s="908"/>
      <c r="J243" s="908">
        <v>58</v>
      </c>
      <c r="K243" s="908"/>
      <c r="L243" s="908">
        <v>212</v>
      </c>
      <c r="M243" s="908"/>
      <c r="N243" s="908"/>
      <c r="O243" s="908">
        <f t="shared" si="11"/>
        <v>4575</v>
      </c>
      <c r="P243" s="1020"/>
      <c r="Q243" s="768"/>
      <c r="R243" s="768"/>
      <c r="S243" s="768"/>
      <c r="T243" s="768"/>
      <c r="U243" s="347">
        <v>2022</v>
      </c>
      <c r="V243" s="348" t="s">
        <v>356</v>
      </c>
      <c r="W243" s="369"/>
      <c r="X243" s="369"/>
      <c r="Y243" s="12"/>
      <c r="AX243" s="603"/>
      <c r="AY243" s="603"/>
    </row>
    <row r="244" spans="1:51" s="53" customFormat="1" ht="12.75" hidden="1" customHeight="1">
      <c r="A244" s="1121"/>
      <c r="B244" s="347">
        <v>2022</v>
      </c>
      <c r="C244" s="1123" t="s">
        <v>31</v>
      </c>
      <c r="D244" s="923">
        <v>4315</v>
      </c>
      <c r="E244" s="908"/>
      <c r="F244" s="908">
        <v>548</v>
      </c>
      <c r="G244" s="908"/>
      <c r="H244" s="908">
        <v>352</v>
      </c>
      <c r="I244" s="908"/>
      <c r="J244" s="908">
        <v>11</v>
      </c>
      <c r="K244" s="908"/>
      <c r="L244" s="908">
        <v>410</v>
      </c>
      <c r="M244" s="908"/>
      <c r="N244" s="908"/>
      <c r="O244" s="908">
        <f t="shared" si="11"/>
        <v>5636</v>
      </c>
      <c r="P244" s="1015"/>
      <c r="Q244" s="768"/>
      <c r="R244" s="768"/>
      <c r="S244" s="768"/>
      <c r="T244" s="768"/>
      <c r="U244" s="347">
        <v>2022</v>
      </c>
      <c r="V244" s="369" t="s">
        <v>31</v>
      </c>
      <c r="W244" s="826"/>
      <c r="X244" s="369"/>
      <c r="Y244" s="12"/>
      <c r="AX244" s="603"/>
      <c r="AY244" s="603"/>
    </row>
    <row r="245" spans="1:51" s="53" customFormat="1" ht="12.75" hidden="1" customHeight="1">
      <c r="A245" s="1121"/>
      <c r="B245" s="347">
        <v>2022</v>
      </c>
      <c r="C245" s="998" t="s">
        <v>50</v>
      </c>
      <c r="D245" s="1124">
        <v>3391</v>
      </c>
      <c r="E245" s="1124"/>
      <c r="F245" s="1124">
        <v>394</v>
      </c>
      <c r="G245" s="1124"/>
      <c r="H245" s="1124">
        <v>189</v>
      </c>
      <c r="I245" s="1124"/>
      <c r="J245" s="1124">
        <v>9</v>
      </c>
      <c r="K245" s="1124"/>
      <c r="L245" s="1124">
        <v>121</v>
      </c>
      <c r="M245" s="1124"/>
      <c r="N245" s="1124"/>
      <c r="O245" s="908">
        <f t="shared" si="11"/>
        <v>4104</v>
      </c>
      <c r="P245" s="1015"/>
      <c r="Q245" s="768"/>
      <c r="R245" s="768"/>
      <c r="S245" s="768"/>
      <c r="T245" s="768"/>
      <c r="U245" s="347">
        <v>2022</v>
      </c>
      <c r="V245" s="892" t="s">
        <v>50</v>
      </c>
      <c r="W245" s="369"/>
      <c r="X245" s="369"/>
      <c r="Y245" s="12"/>
      <c r="AX245" s="603"/>
      <c r="AY245" s="603"/>
    </row>
    <row r="246" spans="1:51" s="53" customFormat="1" ht="12.75" hidden="1" customHeight="1">
      <c r="A246" s="1121"/>
      <c r="B246" s="347">
        <v>2022</v>
      </c>
      <c r="C246" s="998" t="s">
        <v>348</v>
      </c>
      <c r="D246" s="1124">
        <v>3501</v>
      </c>
      <c r="E246" s="1124"/>
      <c r="F246" s="1124">
        <v>494</v>
      </c>
      <c r="G246" s="1124"/>
      <c r="H246" s="1124">
        <v>656</v>
      </c>
      <c r="I246" s="1124"/>
      <c r="J246" s="1124">
        <v>39</v>
      </c>
      <c r="K246" s="1124"/>
      <c r="L246" s="1124">
        <v>309</v>
      </c>
      <c r="M246" s="1124"/>
      <c r="N246" s="1124"/>
      <c r="O246" s="1124">
        <v>4999</v>
      </c>
      <c r="P246" s="1015"/>
      <c r="Q246" s="768"/>
      <c r="R246" s="768"/>
      <c r="S246" s="768"/>
      <c r="T246" s="768"/>
      <c r="U246" s="347">
        <v>2022</v>
      </c>
      <c r="V246" s="349" t="s">
        <v>348</v>
      </c>
      <c r="W246" s="369"/>
      <c r="X246" s="369"/>
      <c r="Y246" s="12"/>
      <c r="AX246" s="603"/>
      <c r="AY246" s="603"/>
    </row>
    <row r="247" spans="1:51" s="53" customFormat="1" ht="12.75" hidden="1" customHeight="1">
      <c r="A247" s="1121"/>
      <c r="B247" s="347">
        <v>2022</v>
      </c>
      <c r="C247" s="996" t="s">
        <v>349</v>
      </c>
      <c r="D247" s="1124">
        <v>6035</v>
      </c>
      <c r="E247" s="1124"/>
      <c r="F247" s="1124">
        <v>1030</v>
      </c>
      <c r="G247" s="1124"/>
      <c r="H247" s="1124">
        <v>233</v>
      </c>
      <c r="I247" s="1124"/>
      <c r="J247" s="1124">
        <v>45</v>
      </c>
      <c r="K247" s="1124"/>
      <c r="L247" s="1124">
        <v>179</v>
      </c>
      <c r="M247" s="1124"/>
      <c r="N247" s="1124"/>
      <c r="O247" s="1124">
        <v>7522</v>
      </c>
      <c r="P247" s="1015"/>
      <c r="Q247" s="768"/>
      <c r="R247" s="768"/>
      <c r="S247" s="768"/>
      <c r="T247" s="768"/>
      <c r="U247" s="347">
        <v>2022</v>
      </c>
      <c r="V247" s="348" t="s">
        <v>362</v>
      </c>
      <c r="W247" s="369"/>
      <c r="X247" s="369"/>
      <c r="Y247" s="12"/>
      <c r="AX247" s="603"/>
      <c r="AY247" s="603"/>
    </row>
    <row r="248" spans="1:51" s="53" customFormat="1" ht="12.75" hidden="1" customHeight="1">
      <c r="A248" s="1121"/>
      <c r="B248" s="347">
        <v>2023</v>
      </c>
      <c r="C248" s="996" t="s">
        <v>260</v>
      </c>
      <c r="D248" s="923">
        <v>5919</v>
      </c>
      <c r="E248" s="908"/>
      <c r="F248" s="908">
        <v>349</v>
      </c>
      <c r="G248" s="908"/>
      <c r="H248" s="908">
        <v>95</v>
      </c>
      <c r="I248" s="908"/>
      <c r="J248" s="908">
        <v>91</v>
      </c>
      <c r="K248" s="908"/>
      <c r="L248" s="908">
        <v>144</v>
      </c>
      <c r="M248" s="908"/>
      <c r="N248" s="908"/>
      <c r="O248" s="908">
        <f t="shared" ref="O248:O284" si="12">SUM(D248:L248)</f>
        <v>6598</v>
      </c>
      <c r="P248" s="1015"/>
      <c r="Q248" s="768"/>
      <c r="R248" s="768"/>
      <c r="S248" s="768"/>
      <c r="T248" s="768"/>
      <c r="U248" s="347">
        <v>2023</v>
      </c>
      <c r="V248" s="348" t="s">
        <v>33</v>
      </c>
      <c r="W248" s="369"/>
      <c r="X248" s="369"/>
      <c r="Y248" s="12"/>
      <c r="AX248" s="603"/>
      <c r="AY248" s="603"/>
    </row>
    <row r="249" spans="1:51" s="53" customFormat="1" ht="12.75" hidden="1" customHeight="1">
      <c r="A249" s="1121"/>
      <c r="B249" s="347">
        <v>2023</v>
      </c>
      <c r="C249" s="1125" t="s">
        <v>34</v>
      </c>
      <c r="D249" s="923">
        <v>2576</v>
      </c>
      <c r="E249" s="908" t="s">
        <v>41</v>
      </c>
      <c r="F249" s="908">
        <v>214</v>
      </c>
      <c r="G249" s="908" t="s">
        <v>41</v>
      </c>
      <c r="H249" s="908">
        <v>163</v>
      </c>
      <c r="I249" s="908" t="s">
        <v>41</v>
      </c>
      <c r="J249" s="908">
        <v>64</v>
      </c>
      <c r="K249" s="908"/>
      <c r="L249" s="908">
        <v>222</v>
      </c>
      <c r="M249" s="908"/>
      <c r="N249" s="908"/>
      <c r="O249" s="908">
        <f t="shared" si="12"/>
        <v>3239</v>
      </c>
      <c r="P249" s="908" t="s">
        <v>41</v>
      </c>
      <c r="Q249" s="768"/>
      <c r="R249" s="768"/>
      <c r="S249" s="768"/>
      <c r="T249" s="768"/>
      <c r="U249" s="347">
        <v>2023</v>
      </c>
      <c r="V249" s="348" t="s">
        <v>77</v>
      </c>
      <c r="W249" s="369"/>
      <c r="X249" s="369"/>
      <c r="Y249" s="12"/>
      <c r="AX249" s="603"/>
      <c r="AY249" s="603"/>
    </row>
    <row r="250" spans="1:51" s="53" customFormat="1" ht="12.75" hidden="1" customHeight="1">
      <c r="A250" s="1121"/>
      <c r="B250" s="347">
        <v>2023</v>
      </c>
      <c r="C250" s="996" t="s">
        <v>29</v>
      </c>
      <c r="D250" s="908">
        <v>352</v>
      </c>
      <c r="E250" s="908"/>
      <c r="F250" s="908">
        <v>51</v>
      </c>
      <c r="G250" s="908"/>
      <c r="H250" s="908">
        <v>79</v>
      </c>
      <c r="I250" s="908"/>
      <c r="J250" s="965">
        <v>0</v>
      </c>
      <c r="K250" s="908"/>
      <c r="L250" s="908">
        <v>69</v>
      </c>
      <c r="M250" s="908"/>
      <c r="N250" s="908"/>
      <c r="O250" s="908">
        <f t="shared" si="12"/>
        <v>551</v>
      </c>
      <c r="P250" s="1020"/>
      <c r="Q250" s="768"/>
      <c r="R250" s="768"/>
      <c r="S250" s="768"/>
      <c r="T250" s="768"/>
      <c r="U250" s="347">
        <v>2023</v>
      </c>
      <c r="V250" s="348" t="s">
        <v>29</v>
      </c>
      <c r="W250" s="369"/>
      <c r="X250" s="369"/>
      <c r="Y250" s="12"/>
      <c r="AX250" s="603"/>
      <c r="AY250" s="603"/>
    </row>
    <row r="251" spans="1:51" s="53" customFormat="1" ht="12.75" customHeight="1">
      <c r="A251" s="1121"/>
      <c r="B251" s="347">
        <v>2023</v>
      </c>
      <c r="C251" s="996" t="s">
        <v>35</v>
      </c>
      <c r="D251" s="908">
        <v>6128</v>
      </c>
      <c r="E251" s="908"/>
      <c r="F251" s="908">
        <v>310</v>
      </c>
      <c r="G251" s="908"/>
      <c r="H251" s="908">
        <v>89</v>
      </c>
      <c r="I251" s="908"/>
      <c r="J251" s="908">
        <v>29</v>
      </c>
      <c r="K251" s="908"/>
      <c r="L251" s="908">
        <v>342</v>
      </c>
      <c r="M251" s="908"/>
      <c r="N251" s="908"/>
      <c r="O251" s="908">
        <f t="shared" si="12"/>
        <v>6898</v>
      </c>
      <c r="P251" s="1020"/>
      <c r="Q251" s="768"/>
      <c r="R251" s="768"/>
      <c r="S251" s="768"/>
      <c r="T251" s="768"/>
      <c r="U251" s="347">
        <v>2023</v>
      </c>
      <c r="V251" s="349" t="s">
        <v>78</v>
      </c>
      <c r="W251" s="369"/>
      <c r="X251" s="369"/>
      <c r="Y251" s="12"/>
      <c r="AX251" s="603"/>
      <c r="AY251" s="603"/>
    </row>
    <row r="252" spans="1:51" s="53" customFormat="1" ht="12.75" hidden="1" customHeight="1">
      <c r="A252" s="1121"/>
      <c r="B252" s="347">
        <v>2023</v>
      </c>
      <c r="C252" s="996" t="s">
        <v>4</v>
      </c>
      <c r="D252" s="908">
        <v>5178</v>
      </c>
      <c r="E252" s="908"/>
      <c r="F252" s="908">
        <v>207</v>
      </c>
      <c r="G252" s="908"/>
      <c r="H252" s="908">
        <v>355</v>
      </c>
      <c r="I252" s="908"/>
      <c r="J252" s="908">
        <v>17</v>
      </c>
      <c r="K252" s="908"/>
      <c r="L252" s="908">
        <v>235</v>
      </c>
      <c r="M252" s="908"/>
      <c r="N252" s="908"/>
      <c r="O252" s="908">
        <f t="shared" si="12"/>
        <v>5992</v>
      </c>
      <c r="P252" s="1020"/>
      <c r="Q252" s="768"/>
      <c r="R252" s="768"/>
      <c r="S252" s="768"/>
      <c r="T252" s="768"/>
      <c r="U252" s="347">
        <v>2023</v>
      </c>
      <c r="V252" s="349" t="s">
        <v>79</v>
      </c>
      <c r="W252" s="369"/>
      <c r="X252" s="369"/>
      <c r="Y252" s="12"/>
      <c r="AX252" s="603"/>
      <c r="AY252" s="603"/>
    </row>
    <row r="253" spans="1:51" s="53" customFormat="1" ht="12.75" hidden="1" customHeight="1">
      <c r="A253" s="1121"/>
      <c r="B253" s="347">
        <v>2023</v>
      </c>
      <c r="C253" s="996" t="s">
        <v>30</v>
      </c>
      <c r="D253" s="908">
        <v>7720</v>
      </c>
      <c r="E253" s="908"/>
      <c r="F253" s="908">
        <v>357</v>
      </c>
      <c r="G253" s="908"/>
      <c r="H253" s="908">
        <v>265</v>
      </c>
      <c r="I253" s="908"/>
      <c r="J253" s="908">
        <v>68</v>
      </c>
      <c r="K253" s="908"/>
      <c r="L253" s="908">
        <v>242</v>
      </c>
      <c r="M253" s="908"/>
      <c r="N253" s="908"/>
      <c r="O253" s="908">
        <f t="shared" si="12"/>
        <v>8652</v>
      </c>
      <c r="P253" s="1020"/>
      <c r="Q253" s="768"/>
      <c r="R253" s="768"/>
      <c r="S253" s="768"/>
      <c r="T253" s="768"/>
      <c r="U253" s="347">
        <v>2023</v>
      </c>
      <c r="V253" s="349" t="s">
        <v>80</v>
      </c>
      <c r="W253" s="369"/>
      <c r="X253" s="369"/>
      <c r="Y253" s="12"/>
      <c r="AX253" s="603"/>
      <c r="AY253" s="603"/>
    </row>
    <row r="254" spans="1:51" s="53" customFormat="1" ht="12.75" hidden="1" customHeight="1">
      <c r="A254" s="1121"/>
      <c r="B254" s="347">
        <v>2023</v>
      </c>
      <c r="C254" s="996" t="s">
        <v>36</v>
      </c>
      <c r="D254" s="908">
        <v>8534</v>
      </c>
      <c r="E254" s="908"/>
      <c r="F254" s="908">
        <v>375</v>
      </c>
      <c r="G254" s="908"/>
      <c r="H254" s="908">
        <v>247</v>
      </c>
      <c r="I254" s="908"/>
      <c r="J254" s="908">
        <v>74</v>
      </c>
      <c r="K254" s="908"/>
      <c r="L254" s="908">
        <v>468</v>
      </c>
      <c r="M254" s="908"/>
      <c r="N254" s="908"/>
      <c r="O254" s="908">
        <f t="shared" si="12"/>
        <v>9698</v>
      </c>
      <c r="P254" s="1020"/>
      <c r="Q254" s="768"/>
      <c r="R254" s="768"/>
      <c r="S254" s="768"/>
      <c r="T254" s="768"/>
      <c r="U254" s="347">
        <v>2023</v>
      </c>
      <c r="V254" s="349" t="s">
        <v>81</v>
      </c>
      <c r="W254" s="369"/>
      <c r="X254" s="369"/>
      <c r="Y254" s="12"/>
      <c r="AX254" s="603"/>
      <c r="AY254" s="603"/>
    </row>
    <row r="255" spans="1:51" s="53" customFormat="1" ht="12.75" hidden="1" customHeight="1">
      <c r="A255" s="1121"/>
      <c r="B255" s="347">
        <v>2023</v>
      </c>
      <c r="C255" s="996" t="s">
        <v>37</v>
      </c>
      <c r="D255" s="908">
        <v>7085</v>
      </c>
      <c r="E255" s="908"/>
      <c r="F255" s="908">
        <v>308</v>
      </c>
      <c r="G255" s="908"/>
      <c r="H255" s="908">
        <v>390</v>
      </c>
      <c r="I255" s="908"/>
      <c r="J255" s="908">
        <v>93</v>
      </c>
      <c r="K255" s="908"/>
      <c r="L255" s="908">
        <v>390</v>
      </c>
      <c r="M255" s="908"/>
      <c r="N255" s="908"/>
      <c r="O255" s="908">
        <f t="shared" si="12"/>
        <v>8266</v>
      </c>
      <c r="P255" s="1020"/>
      <c r="Q255" s="768"/>
      <c r="R255" s="768"/>
      <c r="S255" s="768"/>
      <c r="T255" s="768"/>
      <c r="U255" s="347">
        <v>2023</v>
      </c>
      <c r="V255" s="349" t="s">
        <v>82</v>
      </c>
      <c r="W255" s="369"/>
      <c r="X255" s="369"/>
      <c r="Y255" s="12"/>
      <c r="AX255" s="603"/>
      <c r="AY255" s="603"/>
    </row>
    <row r="256" spans="1:51" s="53" customFormat="1" ht="12.75" hidden="1" customHeight="1">
      <c r="A256" s="1121"/>
      <c r="B256" s="347">
        <v>2023</v>
      </c>
      <c r="C256" s="996" t="s">
        <v>31</v>
      </c>
      <c r="D256" s="908">
        <v>6750</v>
      </c>
      <c r="E256" s="908"/>
      <c r="F256" s="908">
        <v>332</v>
      </c>
      <c r="G256" s="908"/>
      <c r="H256" s="908">
        <v>303</v>
      </c>
      <c r="I256" s="908"/>
      <c r="J256" s="908">
        <v>73</v>
      </c>
      <c r="K256" s="908"/>
      <c r="L256" s="908">
        <v>236</v>
      </c>
      <c r="M256" s="908"/>
      <c r="N256" s="908"/>
      <c r="O256" s="908">
        <f t="shared" si="12"/>
        <v>7694</v>
      </c>
      <c r="P256" s="1015"/>
      <c r="Q256" s="768"/>
      <c r="R256" s="768"/>
      <c r="S256" s="768"/>
      <c r="T256" s="768"/>
      <c r="U256" s="347">
        <v>2023</v>
      </c>
      <c r="V256" s="349" t="s">
        <v>31</v>
      </c>
      <c r="W256" s="826"/>
      <c r="X256" s="369"/>
      <c r="Y256" s="12"/>
      <c r="AX256" s="603"/>
      <c r="AY256" s="603"/>
    </row>
    <row r="257" spans="1:51" s="53" customFormat="1" ht="12.75" hidden="1" customHeight="1">
      <c r="A257" s="1121"/>
      <c r="B257" s="347">
        <v>2023</v>
      </c>
      <c r="C257" s="996" t="s">
        <v>38</v>
      </c>
      <c r="D257" s="908">
        <v>6148</v>
      </c>
      <c r="E257" s="908"/>
      <c r="F257" s="908">
        <v>355</v>
      </c>
      <c r="G257" s="908"/>
      <c r="H257" s="908">
        <v>300</v>
      </c>
      <c r="I257" s="908"/>
      <c r="J257" s="908">
        <v>94</v>
      </c>
      <c r="K257" s="908"/>
      <c r="L257" s="908">
        <v>302</v>
      </c>
      <c r="M257" s="908"/>
      <c r="N257" s="908"/>
      <c r="O257" s="908">
        <f t="shared" si="12"/>
        <v>7199</v>
      </c>
      <c r="P257" s="1020"/>
      <c r="Q257" s="768"/>
      <c r="R257" s="768"/>
      <c r="S257" s="768"/>
      <c r="T257" s="768"/>
      <c r="U257" s="347">
        <v>2023</v>
      </c>
      <c r="V257" s="349" t="s">
        <v>38</v>
      </c>
      <c r="W257" s="369"/>
      <c r="X257" s="369"/>
      <c r="Y257" s="12"/>
      <c r="AX257" s="603"/>
      <c r="AY257" s="603"/>
    </row>
    <row r="258" spans="1:51" s="53" customFormat="1" ht="12.75" hidden="1" customHeight="1">
      <c r="A258" s="1121"/>
      <c r="B258" s="347">
        <v>2023</v>
      </c>
      <c r="C258" s="996" t="s">
        <v>39</v>
      </c>
      <c r="D258" s="908">
        <v>4431</v>
      </c>
      <c r="E258" s="908"/>
      <c r="F258" s="908">
        <v>360</v>
      </c>
      <c r="G258" s="908"/>
      <c r="H258" s="908">
        <v>264</v>
      </c>
      <c r="I258" s="908"/>
      <c r="J258" s="908">
        <v>57</v>
      </c>
      <c r="K258" s="908"/>
      <c r="L258" s="908">
        <v>332</v>
      </c>
      <c r="M258" s="908"/>
      <c r="N258" s="908"/>
      <c r="O258" s="908">
        <f t="shared" si="12"/>
        <v>5444</v>
      </c>
      <c r="P258" s="1020"/>
      <c r="Q258" s="768"/>
      <c r="R258" s="768"/>
      <c r="S258" s="768"/>
      <c r="T258" s="768"/>
      <c r="U258" s="347">
        <v>2023</v>
      </c>
      <c r="V258" s="349" t="s">
        <v>39</v>
      </c>
      <c r="W258" s="369"/>
      <c r="X258" s="369"/>
      <c r="Y258" s="12"/>
      <c r="AX258" s="603"/>
      <c r="AY258" s="603"/>
    </row>
    <row r="259" spans="1:51" s="53" customFormat="1" ht="12.75" hidden="1" customHeight="1">
      <c r="A259" s="1121"/>
      <c r="B259" s="347">
        <v>2023</v>
      </c>
      <c r="C259" s="996" t="s">
        <v>32</v>
      </c>
      <c r="D259" s="908">
        <v>5657</v>
      </c>
      <c r="E259" s="908"/>
      <c r="F259" s="908">
        <v>652</v>
      </c>
      <c r="G259" s="908"/>
      <c r="H259" s="908">
        <v>155</v>
      </c>
      <c r="I259" s="908"/>
      <c r="J259" s="908">
        <v>82</v>
      </c>
      <c r="K259" s="908"/>
      <c r="L259" s="908">
        <v>222</v>
      </c>
      <c r="M259" s="908"/>
      <c r="N259" s="908"/>
      <c r="O259" s="908">
        <f t="shared" si="12"/>
        <v>6768</v>
      </c>
      <c r="P259" s="1020"/>
      <c r="Q259" s="768"/>
      <c r="R259" s="768"/>
      <c r="S259" s="768"/>
      <c r="T259" s="768"/>
      <c r="U259" s="347">
        <v>2023</v>
      </c>
      <c r="V259" s="349" t="s">
        <v>83</v>
      </c>
      <c r="W259" s="369"/>
      <c r="X259" s="369"/>
      <c r="Y259" s="12"/>
      <c r="Z259" s="96"/>
      <c r="AX259" s="603"/>
      <c r="AY259" s="603"/>
    </row>
    <row r="260" spans="1:51" s="53" customFormat="1" ht="12.75" hidden="1" customHeight="1">
      <c r="A260" s="1121"/>
      <c r="B260" s="347">
        <v>2024</v>
      </c>
      <c r="C260" s="996" t="s">
        <v>33</v>
      </c>
      <c r="D260" s="908">
        <v>4759</v>
      </c>
      <c r="E260" s="908"/>
      <c r="F260" s="908">
        <v>631</v>
      </c>
      <c r="G260" s="908"/>
      <c r="H260" s="908">
        <v>96</v>
      </c>
      <c r="I260" s="908"/>
      <c r="J260" s="908">
        <v>24</v>
      </c>
      <c r="K260" s="908"/>
      <c r="L260" s="908">
        <v>746</v>
      </c>
      <c r="M260" s="908"/>
      <c r="N260" s="908"/>
      <c r="O260" s="908">
        <f t="shared" si="12"/>
        <v>6256</v>
      </c>
      <c r="P260" s="1020"/>
      <c r="Q260" s="768"/>
      <c r="R260" s="768"/>
      <c r="S260" s="768"/>
      <c r="T260" s="768"/>
      <c r="U260" s="347">
        <v>2024</v>
      </c>
      <c r="V260" s="349" t="s">
        <v>33</v>
      </c>
      <c r="W260" s="369"/>
      <c r="X260" s="369"/>
      <c r="Y260" s="12"/>
      <c r="AX260" s="603"/>
      <c r="AY260" s="603"/>
    </row>
    <row r="261" spans="1:51" s="53" customFormat="1" ht="12.75" hidden="1" customHeight="1">
      <c r="A261" s="1121"/>
      <c r="B261" s="347">
        <v>2024</v>
      </c>
      <c r="C261" s="996" t="s">
        <v>34</v>
      </c>
      <c r="D261" s="908">
        <v>1959</v>
      </c>
      <c r="E261" s="908"/>
      <c r="F261" s="908">
        <v>204</v>
      </c>
      <c r="G261" s="908"/>
      <c r="H261" s="908">
        <v>202</v>
      </c>
      <c r="I261" s="908"/>
      <c r="J261" s="908">
        <v>3</v>
      </c>
      <c r="K261" s="908"/>
      <c r="L261" s="908">
        <v>386</v>
      </c>
      <c r="M261" s="908"/>
      <c r="N261" s="908"/>
      <c r="O261" s="908">
        <f t="shared" si="12"/>
        <v>2754</v>
      </c>
      <c r="P261" s="1020"/>
      <c r="Q261" s="768"/>
      <c r="R261" s="768"/>
      <c r="S261" s="768"/>
      <c r="T261" s="768"/>
      <c r="U261" s="347">
        <v>2024</v>
      </c>
      <c r="V261" s="349" t="s">
        <v>77</v>
      </c>
      <c r="W261" s="369"/>
      <c r="X261" s="369"/>
      <c r="Y261" s="12"/>
      <c r="AX261" s="603"/>
      <c r="AY261" s="603"/>
    </row>
    <row r="262" spans="1:51" s="53" customFormat="1" ht="12.75" hidden="1" customHeight="1">
      <c r="A262" s="1121"/>
      <c r="B262" s="347">
        <v>2024</v>
      </c>
      <c r="C262" s="996" t="s">
        <v>29</v>
      </c>
      <c r="D262" s="908">
        <v>3300</v>
      </c>
      <c r="E262" s="908"/>
      <c r="F262" s="908">
        <v>243</v>
      </c>
      <c r="G262" s="908"/>
      <c r="H262" s="908">
        <v>276</v>
      </c>
      <c r="I262" s="908"/>
      <c r="J262" s="908">
        <v>62</v>
      </c>
      <c r="K262" s="908"/>
      <c r="L262" s="908">
        <v>380</v>
      </c>
      <c r="M262" s="908"/>
      <c r="N262" s="908"/>
      <c r="O262" s="908">
        <f t="shared" si="12"/>
        <v>4261</v>
      </c>
      <c r="P262" s="1020"/>
      <c r="Q262" s="768"/>
      <c r="R262" s="768"/>
      <c r="S262" s="768"/>
      <c r="T262" s="768"/>
      <c r="U262" s="347">
        <v>2024</v>
      </c>
      <c r="V262" s="349" t="s">
        <v>29</v>
      </c>
      <c r="W262" s="369"/>
      <c r="X262" s="369"/>
      <c r="Y262" s="12"/>
      <c r="AX262" s="603"/>
      <c r="AY262" s="603"/>
    </row>
    <row r="263" spans="1:51" s="53" customFormat="1" ht="12.75" customHeight="1">
      <c r="A263" s="1121"/>
      <c r="B263" s="347">
        <v>2024</v>
      </c>
      <c r="C263" s="996" t="s">
        <v>35</v>
      </c>
      <c r="D263" s="908">
        <v>3874</v>
      </c>
      <c r="E263" s="908"/>
      <c r="F263" s="908">
        <v>276</v>
      </c>
      <c r="G263" s="908"/>
      <c r="H263" s="908">
        <v>393</v>
      </c>
      <c r="I263" s="908"/>
      <c r="J263" s="908">
        <v>16</v>
      </c>
      <c r="K263" s="908"/>
      <c r="L263" s="908">
        <v>569</v>
      </c>
      <c r="M263" s="908"/>
      <c r="N263" s="908"/>
      <c r="O263" s="908">
        <f t="shared" si="12"/>
        <v>5128</v>
      </c>
      <c r="P263" s="1020"/>
      <c r="Q263" s="768"/>
      <c r="R263" s="768"/>
      <c r="S263" s="768"/>
      <c r="T263" s="768"/>
      <c r="U263" s="347">
        <v>2024</v>
      </c>
      <c r="V263" s="349" t="s">
        <v>78</v>
      </c>
      <c r="W263" s="369"/>
      <c r="X263" s="369"/>
      <c r="Y263" s="12"/>
      <c r="AX263" s="603"/>
      <c r="AY263" s="603"/>
    </row>
    <row r="264" spans="1:51" s="53" customFormat="1" ht="12.75" hidden="1" customHeight="1">
      <c r="A264" s="1121"/>
      <c r="B264" s="347">
        <v>2024</v>
      </c>
      <c r="C264" s="996" t="s">
        <v>4</v>
      </c>
      <c r="D264" s="908">
        <v>1940</v>
      </c>
      <c r="E264" s="908"/>
      <c r="F264" s="908">
        <v>190</v>
      </c>
      <c r="G264" s="908"/>
      <c r="H264" s="908">
        <v>281</v>
      </c>
      <c r="I264" s="908"/>
      <c r="J264" s="908">
        <v>3</v>
      </c>
      <c r="K264" s="908"/>
      <c r="L264" s="908">
        <v>308</v>
      </c>
      <c r="M264" s="908"/>
      <c r="N264" s="908"/>
      <c r="O264" s="908">
        <f t="shared" si="12"/>
        <v>2722</v>
      </c>
      <c r="P264" s="1020"/>
      <c r="Q264" s="768"/>
      <c r="R264" s="768"/>
      <c r="S264" s="768"/>
      <c r="T264" s="768"/>
      <c r="U264" s="768">
        <v>2024</v>
      </c>
      <c r="V264" s="349" t="s">
        <v>79</v>
      </c>
      <c r="W264" s="369"/>
      <c r="X264" s="369"/>
      <c r="Y264" s="12"/>
      <c r="AX264" s="603"/>
      <c r="AY264" s="603"/>
    </row>
    <row r="265" spans="1:51" s="53" customFormat="1" ht="12.75" hidden="1" customHeight="1">
      <c r="A265" s="1121"/>
      <c r="B265" s="347">
        <v>2024</v>
      </c>
      <c r="C265" s="996" t="s">
        <v>30</v>
      </c>
      <c r="D265" s="908">
        <v>1368</v>
      </c>
      <c r="E265" s="908"/>
      <c r="F265" s="908">
        <v>133</v>
      </c>
      <c r="G265" s="908"/>
      <c r="H265" s="908">
        <v>220</v>
      </c>
      <c r="I265" s="908"/>
      <c r="J265" s="908">
        <v>5</v>
      </c>
      <c r="K265" s="908"/>
      <c r="L265" s="908">
        <v>237</v>
      </c>
      <c r="M265" s="908"/>
      <c r="N265" s="908"/>
      <c r="O265" s="908">
        <f t="shared" si="12"/>
        <v>1963</v>
      </c>
      <c r="P265" s="1020"/>
      <c r="Q265" s="768"/>
      <c r="R265" s="768"/>
      <c r="S265" s="768"/>
      <c r="T265" s="768"/>
      <c r="U265" s="768">
        <v>2024</v>
      </c>
      <c r="V265" s="349" t="s">
        <v>80</v>
      </c>
      <c r="W265" s="369"/>
      <c r="X265" s="369"/>
      <c r="Y265" s="12"/>
      <c r="AX265" s="603"/>
      <c r="AY265" s="603"/>
    </row>
    <row r="266" spans="1:51" s="53" customFormat="1" ht="12.75" hidden="1" customHeight="1">
      <c r="A266" s="1121"/>
      <c r="B266" s="347">
        <v>2024</v>
      </c>
      <c r="C266" s="996" t="s">
        <v>36</v>
      </c>
      <c r="D266" s="908">
        <v>3321</v>
      </c>
      <c r="E266" s="908"/>
      <c r="F266" s="908">
        <v>354</v>
      </c>
      <c r="G266" s="908"/>
      <c r="H266" s="908">
        <v>232</v>
      </c>
      <c r="I266" s="908"/>
      <c r="J266" s="908">
        <v>13</v>
      </c>
      <c r="K266" s="908"/>
      <c r="L266" s="908">
        <v>371</v>
      </c>
      <c r="M266" s="908"/>
      <c r="N266" s="908"/>
      <c r="O266" s="908">
        <f t="shared" si="12"/>
        <v>4291</v>
      </c>
      <c r="P266" s="1020"/>
      <c r="Q266" s="768"/>
      <c r="R266" s="768"/>
      <c r="S266" s="768"/>
      <c r="T266" s="768"/>
      <c r="U266" s="768">
        <v>2024</v>
      </c>
      <c r="V266" s="349" t="s">
        <v>81</v>
      </c>
      <c r="W266" s="369"/>
      <c r="X266" s="369"/>
      <c r="Y266" s="12"/>
      <c r="AX266" s="603"/>
      <c r="AY266" s="603"/>
    </row>
    <row r="267" spans="1:51" s="53" customFormat="1" ht="12.75" hidden="1" customHeight="1">
      <c r="A267" s="1121"/>
      <c r="B267" s="347">
        <v>2024</v>
      </c>
      <c r="C267" s="996" t="s">
        <v>37</v>
      </c>
      <c r="D267" s="908">
        <v>3697</v>
      </c>
      <c r="E267" s="908"/>
      <c r="F267" s="908">
        <v>455</v>
      </c>
      <c r="G267" s="908"/>
      <c r="H267" s="908">
        <v>481</v>
      </c>
      <c r="I267" s="908"/>
      <c r="J267" s="908">
        <v>20</v>
      </c>
      <c r="K267" s="908"/>
      <c r="L267" s="908">
        <v>629</v>
      </c>
      <c r="M267" s="908"/>
      <c r="N267" s="908"/>
      <c r="O267" s="908">
        <f t="shared" si="12"/>
        <v>5282</v>
      </c>
      <c r="P267" s="1020"/>
      <c r="Q267" s="768"/>
      <c r="R267" s="768"/>
      <c r="S267" s="768"/>
      <c r="T267" s="768"/>
      <c r="U267" s="768">
        <v>2024</v>
      </c>
      <c r="V267" s="349" t="s">
        <v>82</v>
      </c>
      <c r="W267" s="369"/>
      <c r="X267" s="369"/>
      <c r="Y267" s="12"/>
      <c r="AX267" s="603"/>
      <c r="AY267" s="603"/>
    </row>
    <row r="268" spans="1:51" s="53" customFormat="1" ht="12.75" hidden="1" customHeight="1">
      <c r="A268" s="1121"/>
      <c r="B268" s="347">
        <v>2024</v>
      </c>
      <c r="C268" s="996" t="s">
        <v>31</v>
      </c>
      <c r="D268" s="908">
        <v>5387</v>
      </c>
      <c r="E268" s="908"/>
      <c r="F268" s="908">
        <v>510</v>
      </c>
      <c r="G268" s="908"/>
      <c r="H268" s="908">
        <v>600</v>
      </c>
      <c r="I268" s="908"/>
      <c r="J268" s="908">
        <v>27</v>
      </c>
      <c r="K268" s="908"/>
      <c r="L268" s="908">
        <v>428</v>
      </c>
      <c r="M268" s="908"/>
      <c r="N268" s="908"/>
      <c r="O268" s="908">
        <f t="shared" si="12"/>
        <v>6952</v>
      </c>
      <c r="P268" s="1020"/>
      <c r="Q268" s="768"/>
      <c r="R268" s="768"/>
      <c r="S268" s="768"/>
      <c r="T268" s="768"/>
      <c r="U268" s="768">
        <v>2024</v>
      </c>
      <c r="V268" s="349" t="s">
        <v>31</v>
      </c>
      <c r="W268" s="369"/>
      <c r="X268" s="369"/>
      <c r="Y268" s="12"/>
      <c r="AX268" s="603"/>
      <c r="AY268" s="603"/>
    </row>
    <row r="269" spans="1:51" s="53" customFormat="1" ht="12.75" hidden="1" customHeight="1">
      <c r="A269" s="1121"/>
      <c r="B269" s="347">
        <v>2024</v>
      </c>
      <c r="C269" s="996" t="s">
        <v>38</v>
      </c>
      <c r="D269" s="908">
        <v>4985</v>
      </c>
      <c r="E269" s="908"/>
      <c r="F269" s="908">
        <v>548</v>
      </c>
      <c r="G269" s="908"/>
      <c r="H269" s="908">
        <v>461</v>
      </c>
      <c r="I269" s="908"/>
      <c r="J269" s="908">
        <v>48</v>
      </c>
      <c r="K269" s="908"/>
      <c r="L269" s="908">
        <v>643</v>
      </c>
      <c r="M269" s="908"/>
      <c r="N269" s="908"/>
      <c r="O269" s="908">
        <f t="shared" si="12"/>
        <v>6685</v>
      </c>
      <c r="P269" s="1020"/>
      <c r="Q269" s="768"/>
      <c r="R269" s="768"/>
      <c r="S269" s="768"/>
      <c r="T269" s="768"/>
      <c r="U269" s="768">
        <v>2024</v>
      </c>
      <c r="V269" s="349" t="s">
        <v>38</v>
      </c>
      <c r="W269" s="369"/>
      <c r="X269" s="369"/>
      <c r="Y269" s="12"/>
      <c r="AX269" s="603"/>
      <c r="AY269" s="603"/>
    </row>
    <row r="270" spans="1:51" s="53" customFormat="1" ht="12.75" hidden="1" customHeight="1">
      <c r="A270" s="1121"/>
      <c r="B270" s="347">
        <v>2024</v>
      </c>
      <c r="C270" s="996" t="s">
        <v>39</v>
      </c>
      <c r="D270" s="908">
        <v>4475</v>
      </c>
      <c r="E270" s="908"/>
      <c r="F270" s="908">
        <v>600</v>
      </c>
      <c r="G270" s="908"/>
      <c r="H270" s="908">
        <v>581</v>
      </c>
      <c r="I270" s="908"/>
      <c r="J270" s="908">
        <v>90</v>
      </c>
      <c r="K270" s="908"/>
      <c r="L270" s="908">
        <v>694</v>
      </c>
      <c r="M270" s="908"/>
      <c r="N270" s="908"/>
      <c r="O270" s="908">
        <f t="shared" si="12"/>
        <v>6440</v>
      </c>
      <c r="P270" s="1020"/>
      <c r="Q270" s="768"/>
      <c r="R270" s="768"/>
      <c r="S270" s="768"/>
      <c r="T270" s="768"/>
      <c r="U270" s="768">
        <v>2024</v>
      </c>
      <c r="V270" s="349" t="s">
        <v>39</v>
      </c>
      <c r="W270" s="369"/>
      <c r="X270" s="369"/>
      <c r="Y270" s="12"/>
      <c r="AX270" s="603"/>
      <c r="AY270" s="603"/>
    </row>
    <row r="271" spans="1:51" s="53" customFormat="1" ht="12.75" hidden="1" customHeight="1">
      <c r="A271" s="1121"/>
      <c r="B271" s="347">
        <v>2024</v>
      </c>
      <c r="C271" s="996" t="s">
        <v>32</v>
      </c>
      <c r="D271" s="908">
        <v>4366</v>
      </c>
      <c r="E271" s="908"/>
      <c r="F271" s="908">
        <v>647</v>
      </c>
      <c r="G271" s="908"/>
      <c r="H271" s="908">
        <v>357</v>
      </c>
      <c r="I271" s="908"/>
      <c r="J271" s="908">
        <v>189</v>
      </c>
      <c r="K271" s="908"/>
      <c r="L271" s="908">
        <v>785</v>
      </c>
      <c r="M271" s="908"/>
      <c r="N271" s="908"/>
      <c r="O271" s="908">
        <f t="shared" si="12"/>
        <v>6344</v>
      </c>
      <c r="P271" s="1020"/>
      <c r="Q271" s="768"/>
      <c r="R271" s="768"/>
      <c r="S271" s="768"/>
      <c r="T271" s="768"/>
      <c r="U271" s="768">
        <v>2024</v>
      </c>
      <c r="V271" s="349" t="s">
        <v>83</v>
      </c>
      <c r="W271" s="369"/>
      <c r="X271" s="369"/>
      <c r="Y271" s="12"/>
      <c r="AX271" s="603"/>
      <c r="AY271" s="603"/>
    </row>
    <row r="272" spans="1:51" s="53" customFormat="1" ht="12.75" hidden="1" customHeight="1">
      <c r="A272" s="1121"/>
      <c r="B272" s="347">
        <v>2025</v>
      </c>
      <c r="C272" s="996" t="s">
        <v>33</v>
      </c>
      <c r="D272" s="908">
        <v>4981</v>
      </c>
      <c r="E272" s="908"/>
      <c r="F272" s="908">
        <v>627</v>
      </c>
      <c r="G272" s="908"/>
      <c r="H272" s="908">
        <v>172</v>
      </c>
      <c r="I272" s="908"/>
      <c r="J272" s="908">
        <v>94</v>
      </c>
      <c r="K272" s="908"/>
      <c r="L272" s="908">
        <v>851</v>
      </c>
      <c r="M272" s="908"/>
      <c r="N272" s="908"/>
      <c r="O272" s="908">
        <f t="shared" si="12"/>
        <v>6725</v>
      </c>
      <c r="P272" s="1020"/>
      <c r="Q272" s="768"/>
      <c r="R272" s="768"/>
      <c r="S272" s="768"/>
      <c r="T272" s="768"/>
      <c r="U272" s="768">
        <v>2025</v>
      </c>
      <c r="V272" s="349" t="s">
        <v>33</v>
      </c>
      <c r="W272" s="369"/>
      <c r="X272" s="369"/>
      <c r="Y272" s="12"/>
      <c r="AX272" s="603"/>
      <c r="AY272" s="603"/>
    </row>
    <row r="273" spans="1:51" s="53" customFormat="1" ht="12.75" hidden="1" customHeight="1">
      <c r="A273" s="1121"/>
      <c r="B273" s="347">
        <v>2025</v>
      </c>
      <c r="C273" s="996" t="s">
        <v>34</v>
      </c>
      <c r="D273" s="908">
        <v>2711</v>
      </c>
      <c r="E273" s="908"/>
      <c r="F273" s="908">
        <v>348</v>
      </c>
      <c r="G273" s="908"/>
      <c r="H273" s="908">
        <v>270</v>
      </c>
      <c r="I273" s="908"/>
      <c r="J273" s="908">
        <v>122</v>
      </c>
      <c r="K273" s="908"/>
      <c r="L273" s="908">
        <v>914</v>
      </c>
      <c r="M273" s="908"/>
      <c r="N273" s="908"/>
      <c r="O273" s="908">
        <f t="shared" si="12"/>
        <v>4365</v>
      </c>
      <c r="P273" s="1020"/>
      <c r="Q273" s="768"/>
      <c r="R273" s="768"/>
      <c r="S273" s="768"/>
      <c r="T273" s="768"/>
      <c r="U273" s="768">
        <v>2025</v>
      </c>
      <c r="V273" s="349" t="s">
        <v>77</v>
      </c>
      <c r="W273" s="369"/>
      <c r="X273" s="369"/>
      <c r="Y273" s="12"/>
      <c r="AX273" s="603"/>
      <c r="AY273" s="603"/>
    </row>
    <row r="274" spans="1:51" s="53" customFormat="1" ht="12.75" hidden="1" customHeight="1">
      <c r="A274" s="1121"/>
      <c r="B274" s="347">
        <v>2025</v>
      </c>
      <c r="C274" s="996" t="s">
        <v>29</v>
      </c>
      <c r="D274" s="908">
        <v>3646</v>
      </c>
      <c r="E274" s="908"/>
      <c r="F274" s="908">
        <v>426</v>
      </c>
      <c r="G274" s="908"/>
      <c r="H274" s="908">
        <v>485</v>
      </c>
      <c r="I274" s="908"/>
      <c r="J274" s="908">
        <v>97</v>
      </c>
      <c r="K274" s="908"/>
      <c r="L274" s="908">
        <v>610</v>
      </c>
      <c r="M274" s="908"/>
      <c r="N274" s="908"/>
      <c r="O274" s="908">
        <f t="shared" si="12"/>
        <v>5264</v>
      </c>
      <c r="P274" s="1020"/>
      <c r="Q274" s="768"/>
      <c r="R274" s="768"/>
      <c r="S274" s="768"/>
      <c r="T274" s="768"/>
      <c r="U274" s="768">
        <v>2025</v>
      </c>
      <c r="V274" s="349" t="s">
        <v>29</v>
      </c>
      <c r="W274" s="369"/>
      <c r="X274" s="369"/>
      <c r="Y274" s="12"/>
      <c r="AX274" s="603"/>
      <c r="AY274" s="603"/>
    </row>
    <row r="275" spans="1:51" s="53" customFormat="1" ht="12.75" customHeight="1">
      <c r="A275" s="1121"/>
      <c r="B275" s="347">
        <v>2025</v>
      </c>
      <c r="C275" s="996" t="s">
        <v>35</v>
      </c>
      <c r="D275" s="908">
        <v>6307</v>
      </c>
      <c r="E275" s="908"/>
      <c r="F275" s="908">
        <v>500</v>
      </c>
      <c r="G275" s="908"/>
      <c r="H275" s="908">
        <v>301</v>
      </c>
      <c r="I275" s="908"/>
      <c r="J275" s="908">
        <v>48</v>
      </c>
      <c r="K275" s="908"/>
      <c r="L275" s="908">
        <v>853</v>
      </c>
      <c r="M275" s="908"/>
      <c r="N275" s="908"/>
      <c r="O275" s="908">
        <f t="shared" si="12"/>
        <v>8009</v>
      </c>
      <c r="P275" s="1020"/>
      <c r="Q275" s="768"/>
      <c r="R275" s="768"/>
      <c r="S275" s="768"/>
      <c r="T275" s="768"/>
      <c r="U275" s="768">
        <v>2025</v>
      </c>
      <c r="V275" s="349" t="s">
        <v>78</v>
      </c>
      <c r="W275" s="369"/>
      <c r="X275" s="369"/>
      <c r="Y275" s="12"/>
      <c r="AX275" s="603"/>
      <c r="AY275" s="603"/>
    </row>
    <row r="276" spans="1:51" s="53" customFormat="1" ht="12.75" customHeight="1">
      <c r="A276" s="1121"/>
      <c r="B276" s="347"/>
      <c r="C276" s="996" t="s">
        <v>4</v>
      </c>
      <c r="D276" s="908">
        <v>5592</v>
      </c>
      <c r="E276" s="908"/>
      <c r="F276" s="908">
        <v>416</v>
      </c>
      <c r="G276" s="908"/>
      <c r="H276" s="908">
        <f>268+153</f>
        <v>421</v>
      </c>
      <c r="I276" s="908"/>
      <c r="J276" s="908">
        <v>21</v>
      </c>
      <c r="K276" s="908"/>
      <c r="L276" s="908">
        <f>613+7+33</f>
        <v>653</v>
      </c>
      <c r="M276" s="908"/>
      <c r="N276" s="908"/>
      <c r="O276" s="908">
        <f t="shared" si="12"/>
        <v>7103</v>
      </c>
      <c r="P276" s="1020"/>
      <c r="Q276" s="768"/>
      <c r="R276" s="768"/>
      <c r="S276" s="768"/>
      <c r="T276" s="768"/>
      <c r="U276" s="768"/>
      <c r="V276" s="349" t="s">
        <v>79</v>
      </c>
      <c r="W276" s="369"/>
      <c r="X276" s="369"/>
      <c r="Y276" s="12"/>
      <c r="AX276" s="603"/>
      <c r="AY276" s="603"/>
    </row>
    <row r="277" spans="1:51" s="53" customFormat="1" ht="12.75" customHeight="1">
      <c r="A277" s="1121"/>
      <c r="B277" s="347"/>
      <c r="C277" s="996" t="s">
        <v>30</v>
      </c>
      <c r="D277" s="908">
        <v>6728</v>
      </c>
      <c r="E277" s="908"/>
      <c r="F277" s="908">
        <v>469</v>
      </c>
      <c r="G277" s="908"/>
      <c r="H277" s="908">
        <v>468</v>
      </c>
      <c r="I277" s="908"/>
      <c r="J277" s="908">
        <v>61</v>
      </c>
      <c r="K277" s="908"/>
      <c r="L277" s="908">
        <v>639</v>
      </c>
      <c r="M277" s="908"/>
      <c r="N277" s="908"/>
      <c r="O277" s="908">
        <f t="shared" si="12"/>
        <v>8365</v>
      </c>
      <c r="P277" s="1020"/>
      <c r="Q277" s="768"/>
      <c r="R277" s="768"/>
      <c r="S277" s="768"/>
      <c r="T277" s="768"/>
      <c r="U277" s="768"/>
      <c r="V277" s="349" t="s">
        <v>80</v>
      </c>
      <c r="W277" s="369"/>
      <c r="X277" s="369"/>
      <c r="Y277" s="12"/>
      <c r="AX277" s="603"/>
      <c r="AY277" s="603"/>
    </row>
    <row r="278" spans="1:51" s="53" customFormat="1" ht="12.75" customHeight="1">
      <c r="A278" s="1121"/>
      <c r="B278" s="347"/>
      <c r="C278" s="996" t="s">
        <v>36</v>
      </c>
      <c r="D278" s="908">
        <v>8579</v>
      </c>
      <c r="E278" s="908"/>
      <c r="F278" s="908">
        <v>557</v>
      </c>
      <c r="G278" s="908"/>
      <c r="H278" s="908">
        <v>552</v>
      </c>
      <c r="I278" s="908"/>
      <c r="J278" s="908">
        <v>50</v>
      </c>
      <c r="K278" s="908"/>
      <c r="L278" s="908">
        <v>644</v>
      </c>
      <c r="M278" s="908"/>
      <c r="N278" s="908"/>
      <c r="O278" s="908">
        <f t="shared" si="12"/>
        <v>10382</v>
      </c>
      <c r="P278" s="1020"/>
      <c r="Q278" s="768"/>
      <c r="R278" s="768"/>
      <c r="S278" s="768"/>
      <c r="T278" s="768"/>
      <c r="U278" s="768"/>
      <c r="V278" s="349" t="s">
        <v>81</v>
      </c>
      <c r="W278" s="369"/>
      <c r="X278" s="369"/>
      <c r="Y278" s="12"/>
      <c r="AX278" s="603"/>
      <c r="AY278" s="603"/>
    </row>
    <row r="279" spans="1:51" s="53" customFormat="1" ht="12.75" customHeight="1">
      <c r="A279" s="1121"/>
      <c r="B279" s="347"/>
      <c r="C279" s="1125" t="s">
        <v>37</v>
      </c>
      <c r="D279" s="923">
        <v>7190</v>
      </c>
      <c r="E279" s="908"/>
      <c r="F279" s="908">
        <v>581</v>
      </c>
      <c r="G279" s="908"/>
      <c r="H279" s="908">
        <v>592</v>
      </c>
      <c r="I279" s="908"/>
      <c r="J279" s="908">
        <v>52</v>
      </c>
      <c r="K279" s="908"/>
      <c r="L279" s="908">
        <v>816</v>
      </c>
      <c r="M279" s="908"/>
      <c r="N279" s="908"/>
      <c r="O279" s="908">
        <f t="shared" si="12"/>
        <v>9231</v>
      </c>
      <c r="P279" s="1015"/>
      <c r="Q279" s="768"/>
      <c r="R279" s="768"/>
      <c r="S279" s="768"/>
      <c r="T279" s="768"/>
      <c r="U279" s="347"/>
      <c r="V279" s="892" t="s">
        <v>356</v>
      </c>
      <c r="W279" s="369"/>
      <c r="X279" s="369"/>
      <c r="Y279" s="12"/>
      <c r="AX279" s="603"/>
      <c r="AY279" s="603"/>
    </row>
    <row r="280" spans="1:51" s="53" customFormat="1" ht="12.75" customHeight="1">
      <c r="A280" s="1121"/>
      <c r="B280" s="347"/>
      <c r="C280" s="996" t="s">
        <v>31</v>
      </c>
      <c r="D280" s="908">
        <v>8051</v>
      </c>
      <c r="E280" s="908"/>
      <c r="F280" s="908">
        <v>533</v>
      </c>
      <c r="G280" s="908"/>
      <c r="H280" s="908">
        <v>445</v>
      </c>
      <c r="I280" s="908"/>
      <c r="J280" s="908">
        <v>84</v>
      </c>
      <c r="K280" s="908"/>
      <c r="L280" s="908">
        <v>809</v>
      </c>
      <c r="M280" s="908"/>
      <c r="N280" s="908"/>
      <c r="O280" s="908">
        <f t="shared" si="12"/>
        <v>9922</v>
      </c>
      <c r="P280" s="1020"/>
      <c r="Q280" s="768"/>
      <c r="R280" s="768"/>
      <c r="S280" s="768"/>
      <c r="T280" s="768"/>
      <c r="U280" s="768"/>
      <c r="V280" s="892" t="s">
        <v>31</v>
      </c>
      <c r="W280" s="369"/>
      <c r="X280" s="369"/>
      <c r="Y280" s="12"/>
      <c r="AX280" s="603"/>
      <c r="AY280" s="603"/>
    </row>
    <row r="281" spans="1:51" s="53" customFormat="1" ht="12.75" customHeight="1">
      <c r="A281" s="1121"/>
      <c r="B281" s="347"/>
      <c r="C281" s="996" t="s">
        <v>38</v>
      </c>
      <c r="D281" s="908">
        <v>7572</v>
      </c>
      <c r="E281" s="908"/>
      <c r="F281" s="908">
        <v>525</v>
      </c>
      <c r="G281" s="908"/>
      <c r="H281" s="908">
        <v>601</v>
      </c>
      <c r="I281" s="908"/>
      <c r="J281" s="908">
        <v>83</v>
      </c>
      <c r="K281" s="908"/>
      <c r="L281" s="908">
        <v>968</v>
      </c>
      <c r="M281" s="908"/>
      <c r="N281" s="908"/>
      <c r="O281" s="908">
        <f t="shared" si="12"/>
        <v>9749</v>
      </c>
      <c r="P281" s="1020"/>
      <c r="Q281" s="768"/>
      <c r="R281" s="768"/>
      <c r="S281" s="768"/>
      <c r="T281" s="768"/>
      <c r="U281" s="768"/>
      <c r="V281" s="892" t="s">
        <v>38</v>
      </c>
      <c r="W281" s="369"/>
      <c r="X281" s="369"/>
      <c r="Y281" s="12"/>
      <c r="AX281" s="603"/>
      <c r="AY281" s="603"/>
    </row>
    <row r="282" spans="1:51" s="53" customFormat="1" ht="12.75" customHeight="1">
      <c r="A282" s="1121"/>
      <c r="B282" s="347"/>
      <c r="C282" s="996" t="s">
        <v>39</v>
      </c>
      <c r="D282" s="908">
        <v>6219</v>
      </c>
      <c r="E282" s="908"/>
      <c r="F282" s="908">
        <v>511</v>
      </c>
      <c r="G282" s="908"/>
      <c r="H282" s="908">
        <v>536</v>
      </c>
      <c r="I282" s="908"/>
      <c r="J282" s="908">
        <v>23</v>
      </c>
      <c r="K282" s="908"/>
      <c r="L282" s="908">
        <v>1217</v>
      </c>
      <c r="M282" s="908"/>
      <c r="N282" s="908"/>
      <c r="O282" s="908">
        <f t="shared" si="12"/>
        <v>8506</v>
      </c>
      <c r="P282" s="1020"/>
      <c r="Q282" s="768"/>
      <c r="R282" s="768"/>
      <c r="S282" s="768"/>
      <c r="T282" s="768"/>
      <c r="U282" s="768"/>
      <c r="V282" s="892" t="s">
        <v>39</v>
      </c>
      <c r="W282" s="369"/>
      <c r="X282" s="369"/>
      <c r="Y282" s="12"/>
      <c r="AX282" s="603"/>
      <c r="AY282" s="603"/>
    </row>
    <row r="283" spans="1:51" s="53" customFormat="1" ht="12.75" customHeight="1">
      <c r="A283" s="1121"/>
      <c r="B283" s="347"/>
      <c r="C283" s="996" t="s">
        <v>32</v>
      </c>
      <c r="D283" s="908">
        <v>7055</v>
      </c>
      <c r="E283" s="908"/>
      <c r="F283" s="908">
        <v>601</v>
      </c>
      <c r="G283" s="908"/>
      <c r="H283" s="908">
        <v>55</v>
      </c>
      <c r="I283" s="908"/>
      <c r="J283" s="908">
        <v>73</v>
      </c>
      <c r="K283" s="908"/>
      <c r="L283" s="908">
        <v>514</v>
      </c>
      <c r="M283" s="908"/>
      <c r="N283" s="908"/>
      <c r="O283" s="908">
        <f t="shared" si="12"/>
        <v>8298</v>
      </c>
      <c r="P283" s="1020"/>
      <c r="Q283" s="768"/>
      <c r="R283" s="768"/>
      <c r="S283" s="768"/>
      <c r="T283" s="768"/>
      <c r="U283" s="768"/>
      <c r="V283" s="892" t="s">
        <v>83</v>
      </c>
      <c r="W283" s="369"/>
      <c r="X283" s="369"/>
      <c r="Y283" s="12"/>
      <c r="AX283" s="603"/>
      <c r="AY283" s="603"/>
    </row>
    <row r="284" spans="1:51" s="53" customFormat="1" ht="12.75" customHeight="1">
      <c r="A284" s="1121"/>
      <c r="B284" s="347">
        <v>2026</v>
      </c>
      <c r="C284" s="996" t="s">
        <v>33</v>
      </c>
      <c r="D284" s="908">
        <v>7470</v>
      </c>
      <c r="E284" s="908"/>
      <c r="F284" s="908">
        <v>605</v>
      </c>
      <c r="G284" s="908"/>
      <c r="H284" s="908">
        <v>297</v>
      </c>
      <c r="I284" s="908"/>
      <c r="J284" s="908">
        <v>28</v>
      </c>
      <c r="K284" s="908"/>
      <c r="L284" s="908">
        <v>1257</v>
      </c>
      <c r="M284" s="908"/>
      <c r="N284" s="908"/>
      <c r="O284" s="908">
        <f t="shared" si="12"/>
        <v>9657</v>
      </c>
      <c r="P284" s="1020"/>
      <c r="Q284" s="768"/>
      <c r="R284" s="768"/>
      <c r="S284" s="768"/>
      <c r="T284" s="768"/>
      <c r="U284" s="768">
        <v>2026</v>
      </c>
      <c r="V284" s="892" t="s">
        <v>33</v>
      </c>
      <c r="W284" s="369"/>
      <c r="X284" s="369"/>
      <c r="Y284" s="12"/>
      <c r="AX284" s="603"/>
      <c r="AY284" s="603"/>
    </row>
    <row r="285" spans="1:51" s="53" customFormat="1" ht="12.75" customHeight="1">
      <c r="A285" s="1121"/>
      <c r="B285" s="347"/>
      <c r="C285" s="1125" t="s">
        <v>34</v>
      </c>
      <c r="D285" s="923">
        <v>3290</v>
      </c>
      <c r="E285" s="908"/>
      <c r="F285" s="908">
        <v>338</v>
      </c>
      <c r="G285" s="908"/>
      <c r="H285" s="908">
        <v>404</v>
      </c>
      <c r="I285" s="908"/>
      <c r="J285" s="908">
        <v>26</v>
      </c>
      <c r="K285" s="908"/>
      <c r="L285" s="908">
        <v>1006</v>
      </c>
      <c r="M285" s="908"/>
      <c r="N285" s="908"/>
      <c r="O285" s="908">
        <f>SUM(D285:L285)</f>
        <v>5064</v>
      </c>
      <c r="P285" s="1015"/>
      <c r="Q285" s="768"/>
      <c r="R285" s="768"/>
      <c r="S285" s="768"/>
      <c r="T285" s="768"/>
      <c r="U285" s="347"/>
      <c r="V285" s="892" t="s">
        <v>77</v>
      </c>
      <c r="W285" s="369"/>
      <c r="X285" s="369"/>
      <c r="Y285" s="12"/>
      <c r="AX285" s="603"/>
      <c r="AY285" s="603"/>
    </row>
    <row r="286" spans="1:51" s="53" customFormat="1" ht="12.75" customHeight="1">
      <c r="A286" s="1121"/>
      <c r="B286" s="347"/>
      <c r="C286" s="996" t="s">
        <v>29</v>
      </c>
      <c r="D286" s="908">
        <v>5075</v>
      </c>
      <c r="E286" s="908"/>
      <c r="F286" s="908">
        <v>409</v>
      </c>
      <c r="G286" s="908"/>
      <c r="H286" s="908">
        <v>507</v>
      </c>
      <c r="I286" s="908"/>
      <c r="J286" s="908">
        <v>22</v>
      </c>
      <c r="K286" s="908"/>
      <c r="L286" s="908">
        <v>1114</v>
      </c>
      <c r="M286" s="908"/>
      <c r="N286" s="908"/>
      <c r="O286" s="908">
        <f>SUM(D286:L286)</f>
        <v>7127</v>
      </c>
      <c r="P286" s="1020"/>
      <c r="Q286" s="768"/>
      <c r="R286" s="768"/>
      <c r="S286" s="768"/>
      <c r="T286" s="768"/>
      <c r="U286" s="768"/>
      <c r="V286" s="892" t="s">
        <v>29</v>
      </c>
      <c r="W286" s="369"/>
      <c r="X286" s="369"/>
      <c r="Y286" s="12"/>
      <c r="AX286" s="603"/>
      <c r="AY286" s="603"/>
    </row>
    <row r="287" spans="1:51" s="53" customFormat="1" ht="12.75" customHeight="1">
      <c r="A287" s="1121"/>
      <c r="B287" s="1000"/>
      <c r="C287" s="997" t="s">
        <v>601</v>
      </c>
      <c r="D287" s="919">
        <v>7926</v>
      </c>
      <c r="E287" s="919"/>
      <c r="F287" s="919">
        <v>573</v>
      </c>
      <c r="G287" s="919"/>
      <c r="H287" s="919">
        <v>395</v>
      </c>
      <c r="I287" s="919"/>
      <c r="J287" s="919">
        <v>39</v>
      </c>
      <c r="K287" s="919"/>
      <c r="L287" s="919">
        <v>1008</v>
      </c>
      <c r="M287" s="919"/>
      <c r="N287" s="919"/>
      <c r="O287" s="919">
        <f>SUM(D287:L287)</f>
        <v>9941</v>
      </c>
      <c r="P287" s="1199"/>
      <c r="Q287" s="922"/>
      <c r="R287" s="922"/>
      <c r="S287" s="922"/>
      <c r="T287" s="922"/>
      <c r="U287" s="922"/>
      <c r="V287" s="1074" t="s">
        <v>602</v>
      </c>
      <c r="W287" s="369"/>
      <c r="X287" s="369"/>
      <c r="Y287" s="12"/>
      <c r="AX287" s="603"/>
      <c r="AY287" s="603"/>
    </row>
    <row r="288" spans="1:51" ht="16.5" customHeight="1">
      <c r="A288" s="53"/>
      <c r="B288" s="83" t="s">
        <v>468</v>
      </c>
      <c r="C288" s="123"/>
      <c r="D288" s="47"/>
      <c r="E288" s="47"/>
      <c r="F288" s="2"/>
      <c r="G288" s="2"/>
      <c r="H288" s="50"/>
      <c r="I288" s="50"/>
      <c r="J288"/>
      <c r="K288"/>
      <c r="L288" s="313"/>
      <c r="M288" s="53"/>
      <c r="N288" s="53"/>
      <c r="O288" s="314"/>
      <c r="P288" s="314"/>
      <c r="Q288" s="1172"/>
      <c r="R288" s="53"/>
      <c r="S288" s="53"/>
      <c r="T288" s="53"/>
      <c r="U288" s="130"/>
      <c r="V288" s="53"/>
      <c r="W288" s="53"/>
      <c r="X288" s="53"/>
    </row>
    <row r="289" spans="2:24" ht="13.5" hidden="1">
      <c r="B289" s="115" t="s">
        <v>122</v>
      </c>
      <c r="C289" s="125" t="s">
        <v>148</v>
      </c>
      <c r="D289" s="95"/>
      <c r="E289" s="95"/>
      <c r="F289" s="95"/>
      <c r="G289" s="95"/>
      <c r="H289" s="95"/>
      <c r="I289" s="95"/>
      <c r="J289" s="95"/>
      <c r="K289" s="95"/>
      <c r="L289" s="246"/>
      <c r="M289" s="95"/>
      <c r="N289" s="95"/>
      <c r="O289" s="95"/>
      <c r="P289" s="95"/>
      <c r="Q289" s="84"/>
      <c r="U289" s="70"/>
    </row>
    <row r="290" spans="2:24">
      <c r="C290" s="1"/>
      <c r="E290" s="362"/>
      <c r="F290" s="761" t="s">
        <v>359</v>
      </c>
      <c r="G290" s="362"/>
      <c r="H290" s="362"/>
      <c r="I290" s="362"/>
      <c r="J290" s="362"/>
      <c r="K290" s="362"/>
      <c r="L290" s="362"/>
      <c r="M290" s="362"/>
      <c r="N290" s="362"/>
      <c r="O290" s="362"/>
    </row>
    <row r="291" spans="2:24">
      <c r="C291" s="51" t="s">
        <v>360</v>
      </c>
      <c r="E291" s="362"/>
      <c r="F291" s="761"/>
      <c r="G291" s="362"/>
      <c r="H291" s="362"/>
      <c r="I291" s="362"/>
      <c r="J291" s="362"/>
      <c r="K291" s="362"/>
      <c r="L291" s="362"/>
      <c r="M291" s="362"/>
      <c r="N291" s="362"/>
      <c r="O291" s="362"/>
    </row>
    <row r="292" spans="2:24">
      <c r="C292" s="51"/>
      <c r="E292" s="362"/>
      <c r="F292" s="761"/>
      <c r="G292" s="362"/>
      <c r="H292" s="362"/>
      <c r="I292" s="362"/>
      <c r="J292" s="362"/>
      <c r="K292" s="362"/>
      <c r="L292" s="362"/>
      <c r="M292" s="362"/>
      <c r="N292" s="362"/>
      <c r="O292" s="362"/>
    </row>
    <row r="293" spans="2:24">
      <c r="D293" s="559">
        <f>D287/D275-1</f>
        <v>0.25669890597748535</v>
      </c>
      <c r="E293" s="559" t="e">
        <f t="shared" ref="E293:O293" si="13">E287/E275-1</f>
        <v>#DIV/0!</v>
      </c>
      <c r="F293" s="559">
        <f t="shared" si="13"/>
        <v>0.14599999999999991</v>
      </c>
      <c r="G293" s="559" t="e">
        <f t="shared" si="13"/>
        <v>#DIV/0!</v>
      </c>
      <c r="H293" s="559">
        <f t="shared" si="13"/>
        <v>0.31229235880398676</v>
      </c>
      <c r="I293" s="559" t="e">
        <f t="shared" si="13"/>
        <v>#DIV/0!</v>
      </c>
      <c r="J293" s="559">
        <f t="shared" si="13"/>
        <v>-0.1875</v>
      </c>
      <c r="K293" s="559" t="e">
        <f t="shared" si="13"/>
        <v>#DIV/0!</v>
      </c>
      <c r="L293" s="559">
        <f t="shared" si="13"/>
        <v>0.18171160609613124</v>
      </c>
      <c r="M293" s="559" t="e">
        <f t="shared" si="13"/>
        <v>#DIV/0!</v>
      </c>
      <c r="N293" s="559" t="e">
        <f t="shared" si="13"/>
        <v>#DIV/0!</v>
      </c>
      <c r="O293" s="559">
        <f t="shared" si="13"/>
        <v>0.2412286178049694</v>
      </c>
      <c r="P293" s="989" t="s">
        <v>41</v>
      </c>
      <c r="Q293" s="560"/>
      <c r="R293" s="560"/>
      <c r="S293" s="560"/>
      <c r="T293" s="560"/>
      <c r="U293" s="469" t="s">
        <v>218</v>
      </c>
      <c r="V293" s="292"/>
      <c r="W293" s="292"/>
      <c r="X293" s="292"/>
    </row>
    <row r="294" spans="2:24">
      <c r="D294" s="561">
        <f>D287/D286-1</f>
        <v>0.56177339901477841</v>
      </c>
      <c r="E294" s="561" t="e">
        <f t="shared" ref="E294:O294" si="14">E287/E286-1</f>
        <v>#DIV/0!</v>
      </c>
      <c r="F294" s="561">
        <f t="shared" si="14"/>
        <v>0.40097799511002452</v>
      </c>
      <c r="G294" s="561" t="e">
        <f t="shared" si="14"/>
        <v>#DIV/0!</v>
      </c>
      <c r="H294" s="561">
        <f t="shared" si="14"/>
        <v>-0.22090729783037477</v>
      </c>
      <c r="I294" s="561" t="e">
        <f t="shared" si="14"/>
        <v>#DIV/0!</v>
      </c>
      <c r="J294" s="561">
        <f t="shared" si="14"/>
        <v>0.77272727272727271</v>
      </c>
      <c r="K294" s="561" t="e">
        <f t="shared" si="14"/>
        <v>#DIV/0!</v>
      </c>
      <c r="L294" s="561">
        <f t="shared" si="14"/>
        <v>-9.5152603231597799E-2</v>
      </c>
      <c r="M294" s="561" t="e">
        <f t="shared" si="14"/>
        <v>#DIV/0!</v>
      </c>
      <c r="N294" s="561" t="e">
        <f t="shared" si="14"/>
        <v>#DIV/0!</v>
      </c>
      <c r="O294" s="561">
        <f t="shared" si="14"/>
        <v>0.39483653711238942</v>
      </c>
      <c r="P294" s="562"/>
      <c r="Q294" s="562"/>
      <c r="R294" s="562"/>
      <c r="S294" s="562"/>
      <c r="T294" s="562"/>
      <c r="U294" s="473" t="s">
        <v>219</v>
      </c>
      <c r="V294" s="1"/>
      <c r="W294" s="1"/>
      <c r="X294" s="1"/>
    </row>
    <row r="295" spans="2:24">
      <c r="D295" s="1146">
        <f>D287/$O$287*100</f>
        <v>79.730409415551748</v>
      </c>
      <c r="E295" s="1146">
        <f t="shared" ref="E295:O295" si="15">E287/$O$287*100</f>
        <v>0</v>
      </c>
      <c r="F295" s="1146">
        <f t="shared" si="15"/>
        <v>5.7640076451061262</v>
      </c>
      <c r="G295" s="1146">
        <f t="shared" si="15"/>
        <v>0</v>
      </c>
      <c r="H295" s="1146">
        <f t="shared" si="15"/>
        <v>3.973443315561815</v>
      </c>
      <c r="I295" s="1146">
        <f t="shared" si="15"/>
        <v>0</v>
      </c>
      <c r="J295" s="1146">
        <f t="shared" si="15"/>
        <v>0.3923146564731918</v>
      </c>
      <c r="K295" s="1146">
        <f t="shared" si="15"/>
        <v>0</v>
      </c>
      <c r="L295" s="1146">
        <f t="shared" si="15"/>
        <v>10.139824967307112</v>
      </c>
      <c r="M295" s="1146">
        <f t="shared" si="15"/>
        <v>0</v>
      </c>
      <c r="N295" s="1146">
        <f t="shared" si="15"/>
        <v>0</v>
      </c>
      <c r="O295" s="1146">
        <f t="shared" si="15"/>
        <v>100</v>
      </c>
      <c r="P295" s="672"/>
      <c r="Q295" s="563"/>
      <c r="R295" s="563"/>
      <c r="S295" s="563"/>
      <c r="T295" s="563"/>
      <c r="U295" s="564" t="s">
        <v>229</v>
      </c>
      <c r="V295" s="293"/>
      <c r="W295" s="293"/>
      <c r="X295" s="293"/>
    </row>
    <row r="296" spans="2:24">
      <c r="D296" s="565">
        <f>D287-D275</f>
        <v>1619</v>
      </c>
      <c r="E296" s="565">
        <f t="shared" ref="E296:O296" si="16">E287-E275</f>
        <v>0</v>
      </c>
      <c r="F296" s="565">
        <f t="shared" si="16"/>
        <v>73</v>
      </c>
      <c r="G296" s="565">
        <f t="shared" si="16"/>
        <v>0</v>
      </c>
      <c r="H296" s="565">
        <f t="shared" si="16"/>
        <v>94</v>
      </c>
      <c r="I296" s="565">
        <f t="shared" si="16"/>
        <v>0</v>
      </c>
      <c r="J296" s="565">
        <f t="shared" si="16"/>
        <v>-9</v>
      </c>
      <c r="K296" s="565">
        <f t="shared" si="16"/>
        <v>0</v>
      </c>
      <c r="L296" s="565">
        <f t="shared" si="16"/>
        <v>155</v>
      </c>
      <c r="M296" s="565">
        <f t="shared" si="16"/>
        <v>0</v>
      </c>
      <c r="N296" s="565">
        <f t="shared" si="16"/>
        <v>0</v>
      </c>
      <c r="O296" s="565">
        <f t="shared" si="16"/>
        <v>1932</v>
      </c>
      <c r="P296" s="566"/>
      <c r="Q296" s="566"/>
      <c r="R296" s="566"/>
      <c r="S296" s="566"/>
      <c r="T296" s="566"/>
      <c r="U296" s="567" t="s">
        <v>200</v>
      </c>
      <c r="V296" s="1"/>
      <c r="W296" s="1"/>
      <c r="X296" s="1"/>
    </row>
    <row r="297" spans="2:24">
      <c r="D297" s="565">
        <f>D287-D286</f>
        <v>2851</v>
      </c>
      <c r="E297" s="565">
        <f t="shared" ref="E297:O297" si="17">E287-E286</f>
        <v>0</v>
      </c>
      <c r="F297" s="565">
        <f>F287-F286</f>
        <v>164</v>
      </c>
      <c r="G297" s="565">
        <f t="shared" si="17"/>
        <v>0</v>
      </c>
      <c r="H297" s="565">
        <f t="shared" si="17"/>
        <v>-112</v>
      </c>
      <c r="I297" s="565">
        <f t="shared" si="17"/>
        <v>0</v>
      </c>
      <c r="J297" s="565">
        <f t="shared" si="17"/>
        <v>17</v>
      </c>
      <c r="K297" s="565">
        <f t="shared" si="17"/>
        <v>0</v>
      </c>
      <c r="L297" s="565">
        <f t="shared" si="17"/>
        <v>-106</v>
      </c>
      <c r="M297" s="565">
        <f t="shared" si="17"/>
        <v>0</v>
      </c>
      <c r="N297" s="565">
        <f t="shared" si="17"/>
        <v>0</v>
      </c>
      <c r="O297" s="565">
        <f t="shared" si="17"/>
        <v>2814</v>
      </c>
      <c r="P297" s="566"/>
      <c r="Q297" s="566"/>
      <c r="R297" s="566"/>
      <c r="S297" s="566"/>
      <c r="T297" s="566"/>
      <c r="U297" s="567" t="s">
        <v>201</v>
      </c>
      <c r="V297" s="1"/>
      <c r="W297" s="1"/>
      <c r="X297" s="1"/>
    </row>
    <row r="301" spans="2:24" ht="13.5">
      <c r="I301" s="12"/>
    </row>
    <row r="303" spans="2:24" ht="13.5">
      <c r="C303" s="850"/>
      <c r="D303" s="851" t="s">
        <v>402</v>
      </c>
      <c r="E303" s="851"/>
      <c r="F303" s="851"/>
      <c r="G303" s="851"/>
      <c r="H303" s="851"/>
    </row>
    <row r="304" spans="2:24" ht="13.5">
      <c r="C304" s="851"/>
      <c r="D304" s="851"/>
      <c r="E304" s="851"/>
      <c r="F304" s="851"/>
      <c r="G304" s="851"/>
      <c r="H304" s="851" t="s">
        <v>398</v>
      </c>
    </row>
    <row r="305" spans="2:8" ht="13.5">
      <c r="C305" s="1247" t="s">
        <v>172</v>
      </c>
      <c r="D305" s="1247"/>
      <c r="E305" s="855"/>
      <c r="F305" s="846">
        <f>D287</f>
        <v>7926</v>
      </c>
      <c r="G305" s="851"/>
      <c r="H305" s="849">
        <f>F305/F310</f>
        <v>0.79730409415551751</v>
      </c>
    </row>
    <row r="306" spans="2:8" ht="13.5">
      <c r="C306" s="1247" t="s">
        <v>325</v>
      </c>
      <c r="D306" s="1247"/>
      <c r="E306" s="1247"/>
      <c r="F306" s="856">
        <f>F287</f>
        <v>573</v>
      </c>
      <c r="G306" s="851"/>
      <c r="H306" s="849">
        <f>F306/F310</f>
        <v>5.7640076451061263E-2</v>
      </c>
    </row>
    <row r="307" spans="2:8" ht="13.5">
      <c r="C307" s="1247" t="s">
        <v>403</v>
      </c>
      <c r="D307" s="1247"/>
      <c r="E307" s="1247"/>
      <c r="F307" s="846">
        <f>L287</f>
        <v>1008</v>
      </c>
      <c r="G307" s="851"/>
      <c r="H307" s="849">
        <f>F307/F310</f>
        <v>0.10139824967307112</v>
      </c>
    </row>
    <row r="308" spans="2:8" ht="13.5">
      <c r="C308" s="1247" t="s">
        <v>404</v>
      </c>
      <c r="D308" s="1247"/>
      <c r="E308" s="1247"/>
      <c r="F308" s="846">
        <f>H287</f>
        <v>395</v>
      </c>
      <c r="G308" s="851"/>
      <c r="H308" s="849">
        <f>F308/F310</f>
        <v>3.973443315561815E-2</v>
      </c>
    </row>
    <row r="309" spans="2:8" ht="13.5">
      <c r="B309" s="12"/>
      <c r="C309" s="1247" t="s">
        <v>405</v>
      </c>
      <c r="D309" s="1247"/>
      <c r="E309" s="855"/>
      <c r="F309" s="846">
        <f>J287</f>
        <v>39</v>
      </c>
      <c r="G309" s="851"/>
      <c r="H309" s="849">
        <f>F309/F310</f>
        <v>3.9231465647319181E-3</v>
      </c>
    </row>
    <row r="310" spans="2:8" ht="13.5">
      <c r="C310" s="1246" t="s">
        <v>19</v>
      </c>
      <c r="D310" s="1246"/>
      <c r="E310" s="853"/>
      <c r="F310" s="854">
        <f>SUM(F305:F309)</f>
        <v>9941</v>
      </c>
      <c r="G310" s="851"/>
      <c r="H310" s="851"/>
    </row>
  </sheetData>
  <autoFilter ref="B1:D310" xr:uid="{00000000-0001-0000-0200-000000000000}"/>
  <mergeCells count="22">
    <mergeCell ref="C310:D310"/>
    <mergeCell ref="C305:D305"/>
    <mergeCell ref="C306:E306"/>
    <mergeCell ref="C307:E307"/>
    <mergeCell ref="C308:E308"/>
    <mergeCell ref="C309:D309"/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3" type="noConversion"/>
  <conditionalFormatting sqref="D293:P293">
    <cfRule type="iconSet" priority="5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4Arrows">
        <cfvo type="percent" val="0"/>
        <cfvo type="percent" val="25"/>
        <cfvo type="percent" val="50"/>
        <cfvo type="percent" val="75"/>
      </iconSet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September 2021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FF00"/>
  </sheetPr>
  <dimension ref="A1:BC311"/>
  <sheetViews>
    <sheetView showGridLines="0" zoomScaleNormal="100" zoomScaleSheetLayoutView="75" workbookViewId="0">
      <pane ySplit="22" topLeftCell="A289" activePane="bottomLeft" state="frozen"/>
      <selection pane="bottomLeft" activeCell="N307" sqref="N307"/>
    </sheetView>
  </sheetViews>
  <sheetFormatPr defaultRowHeight="12.75"/>
  <cols>
    <col min="1" max="1" width="2.5703125" customWidth="1"/>
    <col min="2" max="2" width="6.140625" customWidth="1"/>
    <col min="3" max="3" width="9.28515625" style="1" customWidth="1"/>
    <col min="4" max="4" width="11.7109375" customWidth="1"/>
    <col min="5" max="5" width="2.28515625" customWidth="1"/>
    <col min="6" max="6" width="11.28515625" customWidth="1"/>
    <col min="7" max="7" width="2.28515625" customWidth="1"/>
    <col min="8" max="8" width="11.7109375" customWidth="1"/>
    <col min="9" max="9" width="2.28515625" customWidth="1"/>
    <col min="10" max="10" width="11.7109375" customWidth="1"/>
    <col min="11" max="11" width="2.28515625" customWidth="1"/>
    <col min="12" max="12" width="11.7109375" customWidth="1"/>
    <col min="13" max="13" width="2.28515625" customWidth="1"/>
    <col min="14" max="14" width="11.7109375" customWidth="1"/>
    <col min="15" max="15" width="2.28515625" customWidth="1"/>
    <col min="16" max="16" width="11.7109375" customWidth="1"/>
    <col min="17" max="17" width="2.28515625" customWidth="1"/>
    <col min="18" max="18" width="8.42578125" customWidth="1"/>
    <col min="19" max="19" width="2.28515625" customWidth="1"/>
    <col min="20" max="20" width="8.42578125" customWidth="1"/>
    <col min="21" max="21" width="2.28515625" customWidth="1"/>
    <col min="22" max="22" width="2.85546875" hidden="1" customWidth="1"/>
    <col min="23" max="23" width="14.42578125" customWidth="1"/>
    <col min="24" max="24" width="2.42578125" customWidth="1"/>
    <col min="25" max="25" width="7.85546875" style="131" customWidth="1"/>
    <col min="26" max="26" width="7.85546875" customWidth="1"/>
    <col min="28" max="28" width="18.5703125" bestFit="1" customWidth="1"/>
  </cols>
  <sheetData>
    <row r="1" spans="2:26" s="5" customFormat="1" ht="14.25" customHeight="1">
      <c r="B1" s="66" t="s">
        <v>222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29"/>
    </row>
    <row r="2" spans="2:26" s="5" customFormat="1" ht="14.25" customHeight="1">
      <c r="B2" s="66" t="s">
        <v>140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29"/>
    </row>
    <row r="3" spans="2:26" s="1" customFormat="1" ht="6" customHeight="1">
      <c r="Y3" s="70"/>
    </row>
    <row r="4" spans="2:26" s="12" customFormat="1" ht="17.25" customHeight="1">
      <c r="B4" s="156"/>
      <c r="C4" s="762"/>
      <c r="D4" s="1250" t="s">
        <v>20</v>
      </c>
      <c r="E4" s="683"/>
      <c r="F4" s="1252" t="s">
        <v>142</v>
      </c>
      <c r="G4" s="683"/>
      <c r="H4" s="1248" t="s">
        <v>143</v>
      </c>
      <c r="I4" s="683"/>
      <c r="J4" s="1254" t="s">
        <v>144</v>
      </c>
      <c r="K4" s="683"/>
      <c r="L4" s="683" t="s">
        <v>21</v>
      </c>
      <c r="M4" s="683"/>
      <c r="N4" s="1248" t="s">
        <v>145</v>
      </c>
      <c r="O4" s="683"/>
      <c r="P4" s="683" t="s">
        <v>22</v>
      </c>
      <c r="Q4" s="683"/>
      <c r="R4" s="683" t="s">
        <v>238</v>
      </c>
      <c r="S4" s="683"/>
      <c r="T4" s="1248" t="s">
        <v>146</v>
      </c>
      <c r="U4" s="683"/>
      <c r="V4" s="683"/>
      <c r="W4" s="683" t="s">
        <v>14</v>
      </c>
      <c r="X4" s="684"/>
      <c r="Y4" s="762"/>
      <c r="Z4" s="606"/>
    </row>
    <row r="5" spans="2:26" s="12" customFormat="1" ht="12" customHeight="1">
      <c r="B5" s="11"/>
      <c r="D5" s="1251"/>
      <c r="E5" s="682"/>
      <c r="F5" s="1253"/>
      <c r="G5" s="682"/>
      <c r="H5" s="1249"/>
      <c r="I5" s="682"/>
      <c r="J5" s="1255"/>
      <c r="K5" s="682"/>
      <c r="L5" s="682"/>
      <c r="M5" s="682"/>
      <c r="N5" s="1249"/>
      <c r="O5" s="682"/>
      <c r="P5" s="682"/>
      <c r="Q5" s="682"/>
      <c r="R5" s="682"/>
      <c r="S5" s="682"/>
      <c r="T5" s="1249"/>
      <c r="U5" s="682"/>
      <c r="V5" s="682"/>
      <c r="W5" s="682"/>
      <c r="X5" s="106"/>
      <c r="Y5" s="76"/>
      <c r="Z5" s="71"/>
    </row>
    <row r="6" spans="2:26" s="12" customFormat="1" ht="5.25" customHeight="1">
      <c r="B6" s="11"/>
      <c r="D6" s="77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106"/>
      <c r="Y6" s="76"/>
      <c r="Z6" s="71"/>
    </row>
    <row r="7" spans="2:26" s="12" customFormat="1" ht="14.25" customHeight="1">
      <c r="B7" s="68" t="s">
        <v>75</v>
      </c>
      <c r="C7" s="12" t="s">
        <v>120</v>
      </c>
      <c r="D7" s="772" t="s">
        <v>85</v>
      </c>
      <c r="E7" s="682"/>
      <c r="F7" s="682" t="s">
        <v>92</v>
      </c>
      <c r="G7" s="682"/>
      <c r="H7" s="682" t="s">
        <v>92</v>
      </c>
      <c r="I7" s="682"/>
      <c r="J7" s="682" t="s">
        <v>88</v>
      </c>
      <c r="K7" s="682"/>
      <c r="L7" s="682"/>
      <c r="M7" s="682"/>
      <c r="N7" s="682" t="s">
        <v>89</v>
      </c>
      <c r="O7" s="682"/>
      <c r="P7" s="682" t="s">
        <v>86</v>
      </c>
      <c r="Q7" s="682"/>
      <c r="R7" s="682" t="s">
        <v>239</v>
      </c>
      <c r="S7" s="682"/>
      <c r="T7" s="682" t="s">
        <v>93</v>
      </c>
      <c r="U7" s="682"/>
      <c r="V7" s="682"/>
      <c r="W7" s="76"/>
      <c r="X7" s="685"/>
      <c r="Y7" s="76" t="s">
        <v>76</v>
      </c>
      <c r="Z7" s="71" t="s">
        <v>121</v>
      </c>
    </row>
    <row r="8" spans="2:26" s="12" customFormat="1" ht="17.25" customHeight="1">
      <c r="B8" s="100"/>
      <c r="C8" s="103"/>
      <c r="D8" s="108"/>
      <c r="E8" s="682"/>
      <c r="F8" s="102" t="s">
        <v>91</v>
      </c>
      <c r="G8" s="682"/>
      <c r="H8" s="102" t="s">
        <v>87</v>
      </c>
      <c r="I8" s="682"/>
      <c r="J8" s="102" t="s">
        <v>106</v>
      </c>
      <c r="K8" s="682"/>
      <c r="L8" s="102"/>
      <c r="M8" s="682"/>
      <c r="N8" s="102" t="s">
        <v>90</v>
      </c>
      <c r="O8" s="682"/>
      <c r="P8" s="102"/>
      <c r="Q8" s="682"/>
      <c r="R8" s="102"/>
      <c r="S8" s="682"/>
      <c r="T8" s="102" t="s">
        <v>94</v>
      </c>
      <c r="U8" s="682"/>
      <c r="V8" s="101"/>
      <c r="W8" s="76"/>
      <c r="X8" s="110"/>
      <c r="Y8" s="105"/>
      <c r="Z8" s="7"/>
    </row>
    <row r="9" spans="2:26" s="12" customFormat="1" ht="12.75" hidden="1" customHeight="1">
      <c r="B9" s="68">
        <v>2005</v>
      </c>
      <c r="D9" s="656">
        <f>SUM(D31:D42)</f>
        <v>38190</v>
      </c>
      <c r="E9" s="1080">
        <f t="shared" ref="E9:W9" si="0">SUM(E31:E42)</f>
        <v>0</v>
      </c>
      <c r="F9" s="97">
        <f t="shared" si="0"/>
        <v>7700</v>
      </c>
      <c r="G9" s="1080">
        <f t="shared" si="0"/>
        <v>0</v>
      </c>
      <c r="H9" s="97">
        <f t="shared" si="0"/>
        <v>6817</v>
      </c>
      <c r="I9" s="1080">
        <f t="shared" si="0"/>
        <v>0</v>
      </c>
      <c r="J9" s="97">
        <f t="shared" si="0"/>
        <v>2735</v>
      </c>
      <c r="K9" s="1080">
        <f t="shared" si="0"/>
        <v>0</v>
      </c>
      <c r="L9" s="97">
        <f t="shared" si="0"/>
        <v>3516</v>
      </c>
      <c r="M9" s="1080">
        <f t="shared" si="0"/>
        <v>0</v>
      </c>
      <c r="N9" s="97">
        <f t="shared" si="0"/>
        <v>1637</v>
      </c>
      <c r="O9" s="1080">
        <f t="shared" si="0"/>
        <v>0</v>
      </c>
      <c r="P9" s="97">
        <f t="shared" si="0"/>
        <v>584</v>
      </c>
      <c r="Q9" s="1080">
        <f t="shared" si="0"/>
        <v>0</v>
      </c>
      <c r="R9" s="97">
        <f t="shared" si="0"/>
        <v>0</v>
      </c>
      <c r="S9" s="1080">
        <f t="shared" si="0"/>
        <v>0</v>
      </c>
      <c r="T9" s="97">
        <f t="shared" si="0"/>
        <v>1106</v>
      </c>
      <c r="U9" s="1080">
        <f t="shared" si="0"/>
        <v>0</v>
      </c>
      <c r="V9" s="97">
        <f t="shared" si="0"/>
        <v>0</v>
      </c>
      <c r="W9" s="1080">
        <f t="shared" si="0"/>
        <v>62285</v>
      </c>
      <c r="X9" s="685"/>
      <c r="Y9" s="76">
        <v>2005</v>
      </c>
      <c r="Z9" s="71"/>
    </row>
    <row r="10" spans="2:26" s="12" customFormat="1" ht="12.75" hidden="1" customHeight="1">
      <c r="B10" s="68">
        <v>2006</v>
      </c>
      <c r="D10" s="656">
        <f>SUM(D43:D54)</f>
        <v>40385</v>
      </c>
      <c r="E10" s="97">
        <f t="shared" ref="E10:W10" si="1">SUM(E43:E54)</f>
        <v>0</v>
      </c>
      <c r="F10" s="97">
        <f t="shared" si="1"/>
        <v>9821</v>
      </c>
      <c r="G10" s="97">
        <f t="shared" si="1"/>
        <v>0</v>
      </c>
      <c r="H10" s="97">
        <f t="shared" si="1"/>
        <v>7480</v>
      </c>
      <c r="I10" s="97">
        <f t="shared" si="1"/>
        <v>0</v>
      </c>
      <c r="J10" s="97">
        <f t="shared" si="1"/>
        <v>2681</v>
      </c>
      <c r="K10" s="97">
        <f t="shared" si="1"/>
        <v>0</v>
      </c>
      <c r="L10" s="97">
        <f t="shared" si="1"/>
        <v>4021</v>
      </c>
      <c r="M10" s="97">
        <f t="shared" si="1"/>
        <v>0</v>
      </c>
      <c r="N10" s="97">
        <f t="shared" si="1"/>
        <v>1896</v>
      </c>
      <c r="O10" s="97">
        <f t="shared" si="1"/>
        <v>0</v>
      </c>
      <c r="P10" s="97">
        <f t="shared" si="1"/>
        <v>656</v>
      </c>
      <c r="Q10" s="97">
        <f t="shared" si="1"/>
        <v>0</v>
      </c>
      <c r="R10" s="97">
        <f t="shared" si="1"/>
        <v>0</v>
      </c>
      <c r="S10" s="97">
        <f t="shared" si="1"/>
        <v>0</v>
      </c>
      <c r="T10" s="97">
        <f t="shared" si="1"/>
        <v>1239</v>
      </c>
      <c r="U10" s="97">
        <f t="shared" si="1"/>
        <v>0</v>
      </c>
      <c r="V10" s="97">
        <f t="shared" si="1"/>
        <v>0</v>
      </c>
      <c r="W10" s="97">
        <f t="shared" si="1"/>
        <v>68179</v>
      </c>
      <c r="X10" s="685"/>
      <c r="Y10" s="76">
        <v>2006</v>
      </c>
      <c r="Z10" s="71"/>
    </row>
    <row r="11" spans="2:26" s="12" customFormat="1" ht="12.75" hidden="1" customHeight="1">
      <c r="B11" s="68">
        <v>2007</v>
      </c>
      <c r="D11" s="656">
        <f>SUM(D55:D66)</f>
        <v>41951.783329511156</v>
      </c>
      <c r="E11" s="97">
        <f t="shared" ref="E11:W11" si="2">SUM(E55:E66)</f>
        <v>0</v>
      </c>
      <c r="F11" s="97">
        <f t="shared" si="2"/>
        <v>12438.46752724714</v>
      </c>
      <c r="G11" s="97">
        <f t="shared" si="2"/>
        <v>0</v>
      </c>
      <c r="H11" s="97">
        <f t="shared" si="2"/>
        <v>7140.0629815574484</v>
      </c>
      <c r="I11" s="97">
        <f t="shared" si="2"/>
        <v>0</v>
      </c>
      <c r="J11" s="97">
        <f t="shared" si="2"/>
        <v>2437.8227263990507</v>
      </c>
      <c r="K11" s="97">
        <f t="shared" si="2"/>
        <v>0</v>
      </c>
      <c r="L11" s="97">
        <f t="shared" si="2"/>
        <v>3459.3698253130156</v>
      </c>
      <c r="M11" s="97">
        <f t="shared" si="2"/>
        <v>0</v>
      </c>
      <c r="N11" s="97">
        <f t="shared" si="2"/>
        <v>2422.3057471304082</v>
      </c>
      <c r="O11" s="97">
        <f t="shared" si="2"/>
        <v>0</v>
      </c>
      <c r="P11" s="97">
        <f t="shared" si="2"/>
        <v>675.39974661996143</v>
      </c>
      <c r="Q11" s="97">
        <f t="shared" si="2"/>
        <v>0</v>
      </c>
      <c r="R11" s="1016">
        <f t="shared" si="2"/>
        <v>0</v>
      </c>
      <c r="S11" s="97">
        <f t="shared" si="2"/>
        <v>0</v>
      </c>
      <c r="T11" s="97">
        <f t="shared" si="2"/>
        <v>1581.7881162218252</v>
      </c>
      <c r="U11" s="97">
        <f t="shared" si="2"/>
        <v>0</v>
      </c>
      <c r="V11" s="97">
        <f t="shared" si="2"/>
        <v>0</v>
      </c>
      <c r="W11" s="97">
        <f t="shared" si="2"/>
        <v>72107</v>
      </c>
      <c r="X11" s="685"/>
      <c r="Y11" s="76">
        <v>2007</v>
      </c>
      <c r="Z11" s="71"/>
    </row>
    <row r="12" spans="2:26" s="12" customFormat="1" ht="12.75" hidden="1" customHeight="1">
      <c r="B12" s="68">
        <v>2008</v>
      </c>
      <c r="D12" s="656">
        <f>SUM(D67:D78)</f>
        <v>53250.717477059712</v>
      </c>
      <c r="E12" s="75"/>
      <c r="F12" s="75">
        <f>SUM(F67:F78)</f>
        <v>13915.821697867335</v>
      </c>
      <c r="G12" s="75"/>
      <c r="H12" s="75">
        <f>SUM(H67:H78)</f>
        <v>9647.9864000906728</v>
      </c>
      <c r="I12" s="75"/>
      <c r="J12" s="75">
        <f>SUM(J67:J78)</f>
        <v>3758.901659484306</v>
      </c>
      <c r="K12" s="75"/>
      <c r="L12" s="75">
        <f>SUM(L67:L78)</f>
        <v>4887.1340336803196</v>
      </c>
      <c r="M12" s="75"/>
      <c r="N12" s="75">
        <f>SUM(N67:N78)</f>
        <v>2578.4763188962197</v>
      </c>
      <c r="O12" s="75"/>
      <c r="P12" s="75">
        <f>SUM(P67:P78)</f>
        <v>590.24076051521649</v>
      </c>
      <c r="Q12" s="75"/>
      <c r="R12" s="1016">
        <f>SUM(R67:R78)</f>
        <v>0</v>
      </c>
      <c r="S12" s="75"/>
      <c r="T12" s="75">
        <f>SUM(T67:T78)</f>
        <v>2027.7216524062137</v>
      </c>
      <c r="U12" s="75">
        <f>SUM(U67:U78)</f>
        <v>0</v>
      </c>
      <c r="V12" s="75"/>
      <c r="W12" s="75">
        <f>SUM(W67:W78)</f>
        <v>90657</v>
      </c>
      <c r="X12" s="686"/>
      <c r="Y12" s="76">
        <v>2008</v>
      </c>
      <c r="Z12" s="71"/>
    </row>
    <row r="13" spans="2:26" s="12" customFormat="1" ht="12.75" hidden="1" customHeight="1">
      <c r="B13" s="68">
        <v>2009</v>
      </c>
      <c r="D13" s="656">
        <f>SUM(D79:D90)</f>
        <v>64908.576755196256</v>
      </c>
      <c r="E13" s="249"/>
      <c r="F13" s="249">
        <f>SUM(F79:F90)</f>
        <v>12606.533010203324</v>
      </c>
      <c r="G13" s="249"/>
      <c r="H13" s="249">
        <f>SUM(H79:H90)</f>
        <v>9155.1666369713403</v>
      </c>
      <c r="I13" s="249"/>
      <c r="J13" s="249">
        <f>SUM(J79:J90)</f>
        <v>3707.7811936841449</v>
      </c>
      <c r="K13" s="249"/>
      <c r="L13" s="249">
        <f>SUM(L79:L90)</f>
        <v>4889.5757045068585</v>
      </c>
      <c r="M13" s="249"/>
      <c r="N13" s="249">
        <f>SUM(N79:N90)</f>
        <v>2549.2552698542158</v>
      </c>
      <c r="O13" s="249"/>
      <c r="P13" s="249">
        <f>SUM(P79:P90)</f>
        <v>642.28423260053557</v>
      </c>
      <c r="Q13" s="249"/>
      <c r="R13" s="249">
        <v>573</v>
      </c>
      <c r="S13" s="249"/>
      <c r="T13" s="295">
        <v>1642.8271969833227</v>
      </c>
      <c r="U13" s="249">
        <f>SUM(U79:U90)</f>
        <v>0</v>
      </c>
      <c r="V13" s="249"/>
      <c r="W13" s="249">
        <f>SUM(W79:W90)</f>
        <v>100675</v>
      </c>
      <c r="X13" s="686"/>
      <c r="Y13" s="76">
        <v>2009</v>
      </c>
      <c r="Z13" s="71"/>
    </row>
    <row r="14" spans="2:26" s="12" customFormat="1" ht="12.75" hidden="1" customHeight="1">
      <c r="B14" s="68">
        <v>2010</v>
      </c>
      <c r="D14" s="656">
        <f>SUM(D91:D102)</f>
        <v>58760.113183859808</v>
      </c>
      <c r="E14" s="249"/>
      <c r="F14" s="249">
        <f>SUM(F91:F102)</f>
        <v>11927.074268788152</v>
      </c>
      <c r="G14" s="249"/>
      <c r="H14" s="249">
        <f>SUM(H91:H102)</f>
        <v>11410.124824869576</v>
      </c>
      <c r="I14" s="249"/>
      <c r="J14" s="249">
        <f>SUM(J91:J102)</f>
        <v>4719.2826622365374</v>
      </c>
      <c r="K14" s="249"/>
      <c r="L14" s="249">
        <f>SUM(L91:L102)</f>
        <v>4887.6703662643358</v>
      </c>
      <c r="M14" s="249"/>
      <c r="N14" s="249">
        <f>SUM(N91:N102)</f>
        <v>2394.559486696849</v>
      </c>
      <c r="O14" s="249"/>
      <c r="P14" s="249">
        <f>SUM(P91:P102)</f>
        <v>517.19330715560181</v>
      </c>
      <c r="Q14" s="249"/>
      <c r="R14" s="249">
        <v>693</v>
      </c>
      <c r="S14" s="249"/>
      <c r="T14" s="295">
        <v>1870.9819001291407</v>
      </c>
      <c r="U14" s="249">
        <f>SUM(U91:U102)</f>
        <v>0</v>
      </c>
      <c r="V14" s="249"/>
      <c r="W14" s="249">
        <f>SUM(W91:W102)</f>
        <v>97180</v>
      </c>
      <c r="X14" s="686"/>
      <c r="Y14" s="76">
        <v>2010</v>
      </c>
      <c r="Z14" s="71"/>
    </row>
    <row r="15" spans="2:26" s="12" customFormat="1" ht="12.75" hidden="1" customHeight="1">
      <c r="B15" s="68">
        <v>2011</v>
      </c>
      <c r="D15" s="656">
        <f>SUM(D103:D114)</f>
        <v>57843</v>
      </c>
      <c r="E15" s="249"/>
      <c r="F15" s="249">
        <f>SUM(F103:F114)</f>
        <v>11399</v>
      </c>
      <c r="G15" s="249"/>
      <c r="H15" s="249">
        <f>SUM(H103:H114)</f>
        <v>11376</v>
      </c>
      <c r="I15" s="249"/>
      <c r="J15" s="249">
        <f>SUM(J103:J114)</f>
        <v>3397</v>
      </c>
      <c r="K15" s="249"/>
      <c r="L15" s="249">
        <f>SUM(L103:L114)</f>
        <v>5265</v>
      </c>
      <c r="M15" s="249"/>
      <c r="N15" s="249">
        <f>SUM(N103:N114)</f>
        <v>1922</v>
      </c>
      <c r="O15" s="249"/>
      <c r="P15" s="249">
        <f>SUM(P103:P114)</f>
        <v>630</v>
      </c>
      <c r="Q15" s="249"/>
      <c r="R15" s="249">
        <v>581</v>
      </c>
      <c r="S15" s="249"/>
      <c r="T15" s="295">
        <v>1547</v>
      </c>
      <c r="U15" s="249">
        <f>SUM(U103:U114)</f>
        <v>0</v>
      </c>
      <c r="V15" s="249"/>
      <c r="W15" s="249">
        <f>SUM(W103:W114)</f>
        <v>93960</v>
      </c>
      <c r="X15" s="686"/>
      <c r="Y15" s="76">
        <v>2011</v>
      </c>
      <c r="Z15" s="71"/>
    </row>
    <row r="16" spans="2:26" s="12" customFormat="1" ht="12.75" hidden="1" customHeight="1">
      <c r="B16" s="68">
        <v>2012</v>
      </c>
      <c r="D16" s="656">
        <f>SUM(D115:D126)</f>
        <v>65405</v>
      </c>
      <c r="E16" s="249"/>
      <c r="F16" s="249">
        <f>SUM(F115:F126)</f>
        <v>14430</v>
      </c>
      <c r="G16" s="249"/>
      <c r="H16" s="249">
        <f>SUM(H115:H126)</f>
        <v>13138</v>
      </c>
      <c r="I16" s="249"/>
      <c r="J16" s="249">
        <f>SUM(J115:J126)</f>
        <v>4313</v>
      </c>
      <c r="K16" s="249"/>
      <c r="L16" s="249">
        <f>SUM(L115:L126)</f>
        <v>5491</v>
      </c>
      <c r="M16" s="249"/>
      <c r="N16" s="249">
        <f>SUM(N115:N126)</f>
        <v>2094</v>
      </c>
      <c r="O16" s="249"/>
      <c r="P16" s="249">
        <f>SUM(P115:P126)</f>
        <v>705</v>
      </c>
      <c r="Q16" s="249"/>
      <c r="R16" s="249">
        <v>623</v>
      </c>
      <c r="S16" s="249"/>
      <c r="T16" s="295">
        <v>1962</v>
      </c>
      <c r="U16" s="249">
        <f>SUM(U115:U126)</f>
        <v>0</v>
      </c>
      <c r="V16" s="249"/>
      <c r="W16" s="249">
        <f>SUM(D16:T16)</f>
        <v>108161</v>
      </c>
      <c r="X16" s="686"/>
      <c r="Y16" s="76">
        <v>2012</v>
      </c>
      <c r="Z16" s="71"/>
    </row>
    <row r="17" spans="2:26" s="12" customFormat="1" ht="12.75" hidden="1" customHeight="1">
      <c r="B17" s="68">
        <v>2013</v>
      </c>
      <c r="D17" s="656">
        <f>SUM(D127:D138)</f>
        <v>65776</v>
      </c>
      <c r="E17" s="249"/>
      <c r="F17" s="249">
        <f>SUM(F127:F138)</f>
        <v>15068</v>
      </c>
      <c r="G17" s="249"/>
      <c r="H17" s="249">
        <f>SUM(H127:H138)</f>
        <v>12515</v>
      </c>
      <c r="I17" s="249"/>
      <c r="J17" s="249">
        <f>SUM(J127:J138)</f>
        <v>4874</v>
      </c>
      <c r="K17" s="249"/>
      <c r="L17" s="249">
        <f>SUM(L127:L138)</f>
        <v>5544</v>
      </c>
      <c r="M17" s="249"/>
      <c r="N17" s="249">
        <f>SUM(N127:N138)</f>
        <v>2614</v>
      </c>
      <c r="O17" s="249"/>
      <c r="P17" s="249">
        <f>SUM(P127:P138)</f>
        <v>659</v>
      </c>
      <c r="Q17" s="249"/>
      <c r="R17" s="249">
        <v>1062</v>
      </c>
      <c r="S17" s="249"/>
      <c r="T17" s="295">
        <v>1997</v>
      </c>
      <c r="U17" s="249">
        <f>SUM(U127:U138)</f>
        <v>0</v>
      </c>
      <c r="V17" s="249"/>
      <c r="W17" s="249">
        <f>SUM(D17:T17)</f>
        <v>110109</v>
      </c>
      <c r="X17" s="686"/>
      <c r="Y17" s="76">
        <v>2013</v>
      </c>
      <c r="Z17" s="71"/>
    </row>
    <row r="18" spans="2:26" s="12" customFormat="1" ht="12.75" hidden="1" customHeight="1">
      <c r="B18" s="68">
        <v>2014</v>
      </c>
      <c r="D18" s="656">
        <f>SUM(D139:D150)</f>
        <v>60808</v>
      </c>
      <c r="E18" s="249"/>
      <c r="F18" s="249">
        <f>SUM(F139:F150)</f>
        <v>16293</v>
      </c>
      <c r="G18" s="249"/>
      <c r="H18" s="249">
        <f>SUM(H139:H150)</f>
        <v>12756</v>
      </c>
      <c r="I18" s="249"/>
      <c r="J18" s="249">
        <f>SUM(J139:J150)</f>
        <v>6630</v>
      </c>
      <c r="K18" s="249"/>
      <c r="L18" s="249">
        <f>SUM(L139:L150)</f>
        <v>5591</v>
      </c>
      <c r="M18" s="249">
        <f>SUM(M139:M150)</f>
        <v>0</v>
      </c>
      <c r="N18" s="249">
        <f>SUM(N139:N150)</f>
        <v>2373</v>
      </c>
      <c r="O18" s="249"/>
      <c r="P18" s="249">
        <f>SUM(P139:P150)</f>
        <v>763</v>
      </c>
      <c r="Q18" s="249">
        <f>SUM(Q139:Q150)</f>
        <v>0</v>
      </c>
      <c r="R18" s="249">
        <v>1563</v>
      </c>
      <c r="S18" s="249"/>
      <c r="T18" s="295">
        <v>2031</v>
      </c>
      <c r="U18" s="249">
        <f>SUM(U139:U150)</f>
        <v>0</v>
      </c>
      <c r="V18" s="249"/>
      <c r="W18" s="249">
        <f>SUM(D18:T18)</f>
        <v>108808</v>
      </c>
      <c r="X18" s="686"/>
      <c r="Y18" s="76">
        <v>2014</v>
      </c>
      <c r="Z18" s="71"/>
    </row>
    <row r="19" spans="2:26" s="12" customFormat="1" ht="12.75" hidden="1" customHeight="1">
      <c r="B19" s="68">
        <v>2015</v>
      </c>
      <c r="C19" s="71"/>
      <c r="D19" s="656">
        <f>SUM(D151:D162)</f>
        <v>46098</v>
      </c>
      <c r="E19" s="249"/>
      <c r="F19" s="249">
        <f>SUM(F151:F162)</f>
        <v>13422</v>
      </c>
      <c r="G19" s="249"/>
      <c r="H19" s="249">
        <f>SUM(H151:H162)</f>
        <v>10567</v>
      </c>
      <c r="I19" s="249"/>
      <c r="J19" s="249">
        <f>SUM(J151:J162)</f>
        <v>5953</v>
      </c>
      <c r="K19" s="249"/>
      <c r="L19" s="249">
        <f>SUM(L151:L162)</f>
        <v>5839</v>
      </c>
      <c r="M19" s="249"/>
      <c r="N19" s="249">
        <f>SUM(N151:N162)</f>
        <v>2962</v>
      </c>
      <c r="O19" s="249"/>
      <c r="P19" s="249">
        <f>SUM(P151:P162)</f>
        <v>633</v>
      </c>
      <c r="Q19" s="249"/>
      <c r="R19" s="249">
        <f>SUM(R151:R162)</f>
        <v>2186</v>
      </c>
      <c r="S19" s="249"/>
      <c r="T19" s="249">
        <f>SUM(T151:T162)</f>
        <v>2292</v>
      </c>
      <c r="U19" s="249"/>
      <c r="V19" s="249"/>
      <c r="W19" s="249">
        <f>SUM(D19:T19)</f>
        <v>89952</v>
      </c>
      <c r="X19" s="686"/>
      <c r="Y19" s="76">
        <v>2015</v>
      </c>
      <c r="Z19" s="71"/>
    </row>
    <row r="20" spans="2:26" s="12" customFormat="1" ht="12.75" hidden="1" customHeight="1">
      <c r="B20" s="68">
        <v>2016</v>
      </c>
      <c r="C20" s="71"/>
      <c r="D20" s="656">
        <f>SUM(D163:D174)</f>
        <v>49752</v>
      </c>
      <c r="E20" s="249"/>
      <c r="F20" s="249">
        <f>SUM(F163:F174)</f>
        <v>10931</v>
      </c>
      <c r="G20" s="249"/>
      <c r="H20" s="249">
        <f>SUM(H163:H174)</f>
        <v>9681</v>
      </c>
      <c r="I20" s="249"/>
      <c r="J20" s="249">
        <f>SUM(J163:J174)</f>
        <v>5705</v>
      </c>
      <c r="K20" s="249"/>
      <c r="L20" s="249">
        <f>SUM(L163:L174)</f>
        <v>10067</v>
      </c>
      <c r="M20" s="249"/>
      <c r="N20" s="249">
        <f>SUM(N163:N174)</f>
        <v>2893</v>
      </c>
      <c r="O20" s="249"/>
      <c r="P20" s="249">
        <f>SUM(P163:P174)</f>
        <v>903</v>
      </c>
      <c r="Q20" s="249"/>
      <c r="R20" s="249">
        <f>SUM(R163:R174)</f>
        <v>2736</v>
      </c>
      <c r="S20" s="249"/>
      <c r="T20" s="249">
        <f>SUM(T163:T174)</f>
        <v>2449</v>
      </c>
      <c r="U20" s="249"/>
      <c r="V20" s="249"/>
      <c r="W20" s="249">
        <f>SUM(D20:T20)</f>
        <v>95117</v>
      </c>
      <c r="X20" s="686"/>
      <c r="Y20" s="76">
        <v>2016</v>
      </c>
      <c r="Z20" s="71"/>
    </row>
    <row r="21" spans="2:26" s="12" customFormat="1" ht="12.75" hidden="1" customHeight="1">
      <c r="B21" s="68">
        <v>2017</v>
      </c>
      <c r="C21" s="71"/>
      <c r="D21" s="656">
        <f>SUM(D175:D186)</f>
        <v>57387</v>
      </c>
      <c r="E21" s="249"/>
      <c r="F21" s="249">
        <f>SUM(F175:F186)</f>
        <v>11554</v>
      </c>
      <c r="G21" s="249"/>
      <c r="H21" s="249">
        <f>SUM(H175:H186)</f>
        <v>15880</v>
      </c>
      <c r="I21" s="249"/>
      <c r="J21" s="249">
        <f>SUM(J175:J186)</f>
        <v>7147</v>
      </c>
      <c r="K21" s="249"/>
      <c r="L21" s="249">
        <f>SUM(L175:L186)</f>
        <v>6806</v>
      </c>
      <c r="M21" s="249"/>
      <c r="N21" s="249">
        <f>SUM(N175:N186)</f>
        <v>3016</v>
      </c>
      <c r="O21" s="249"/>
      <c r="P21" s="249">
        <f>SUM(P175:P186)</f>
        <v>1076</v>
      </c>
      <c r="Q21" s="249"/>
      <c r="R21" s="249">
        <f>SUM(R175:R186)</f>
        <v>3612</v>
      </c>
      <c r="S21" s="249"/>
      <c r="T21" s="249">
        <f>SUM(T175:T186)</f>
        <v>2692</v>
      </c>
      <c r="U21" s="249"/>
      <c r="V21" s="249"/>
      <c r="W21" s="249">
        <f>SUM(W175:W186)</f>
        <v>109170</v>
      </c>
      <c r="X21" s="686"/>
      <c r="Y21" s="76">
        <v>2017</v>
      </c>
      <c r="Z21" s="71"/>
    </row>
    <row r="22" spans="2:26" s="12" customFormat="1" ht="12.75" hidden="1" customHeight="1">
      <c r="B22" s="68">
        <v>2018</v>
      </c>
      <c r="C22" s="71"/>
      <c r="D22" s="656">
        <f>SUM(D187:D198)</f>
        <v>60616</v>
      </c>
      <c r="E22" s="249">
        <f>SUM(E187:E198)</f>
        <v>0</v>
      </c>
      <c r="F22" s="249">
        <f>SUM(F187:F198)</f>
        <v>13432</v>
      </c>
      <c r="G22" s="249">
        <f>SUM(G187:G198)</f>
        <v>0</v>
      </c>
      <c r="H22" s="249">
        <f>SUM(H187:H198)</f>
        <v>15105</v>
      </c>
      <c r="I22" s="249"/>
      <c r="J22" s="249">
        <f t="shared" ref="J22:R22" si="3">SUM(J187:J198)</f>
        <v>6545</v>
      </c>
      <c r="K22" s="249">
        <f t="shared" si="3"/>
        <v>0</v>
      </c>
      <c r="L22" s="249">
        <f t="shared" si="3"/>
        <v>8023</v>
      </c>
      <c r="M22" s="249">
        <f t="shared" si="3"/>
        <v>0</v>
      </c>
      <c r="N22" s="249">
        <f t="shared" si="3"/>
        <v>3347</v>
      </c>
      <c r="O22" s="249">
        <f t="shared" si="3"/>
        <v>0</v>
      </c>
      <c r="P22" s="249">
        <f t="shared" si="3"/>
        <v>963</v>
      </c>
      <c r="Q22" s="249">
        <f t="shared" si="3"/>
        <v>0</v>
      </c>
      <c r="R22" s="249">
        <f t="shared" si="3"/>
        <v>4007</v>
      </c>
      <c r="S22" s="249"/>
      <c r="T22" s="249">
        <f>SUM(T187:T198)</f>
        <v>3596</v>
      </c>
      <c r="U22" s="249"/>
      <c r="V22" s="249"/>
      <c r="W22" s="249">
        <f>SUM(W187:W198)</f>
        <v>115634</v>
      </c>
      <c r="X22" s="686"/>
      <c r="Y22" s="76">
        <v>2018</v>
      </c>
      <c r="Z22" s="71"/>
    </row>
    <row r="23" spans="2:26" s="12" customFormat="1" ht="12.75" hidden="1" customHeight="1">
      <c r="B23" s="68">
        <v>2019</v>
      </c>
      <c r="D23" s="1129">
        <f>SUM(D199:D210)</f>
        <v>63122</v>
      </c>
      <c r="E23" s="764">
        <f>SUM(E199:E210)</f>
        <v>0</v>
      </c>
      <c r="F23" s="764">
        <f>SUM(F199:F210)</f>
        <v>15085</v>
      </c>
      <c r="G23" s="764">
        <f>SUM(G199:G210)</f>
        <v>0</v>
      </c>
      <c r="H23" s="764">
        <f>SUM(H199:H210)</f>
        <v>14738</v>
      </c>
      <c r="I23" s="764"/>
      <c r="J23" s="764">
        <f t="shared" ref="J23:R23" si="4">SUM(J199:J210)</f>
        <v>6560</v>
      </c>
      <c r="K23" s="764">
        <f t="shared" si="4"/>
        <v>0</v>
      </c>
      <c r="L23" s="764">
        <f t="shared" si="4"/>
        <v>8992</v>
      </c>
      <c r="M23" s="764">
        <f t="shared" si="4"/>
        <v>0</v>
      </c>
      <c r="N23" s="764">
        <f t="shared" si="4"/>
        <v>3120</v>
      </c>
      <c r="O23" s="764">
        <f t="shared" si="4"/>
        <v>0</v>
      </c>
      <c r="P23" s="764">
        <f t="shared" si="4"/>
        <v>1107</v>
      </c>
      <c r="Q23" s="764">
        <f t="shared" si="4"/>
        <v>0</v>
      </c>
      <c r="R23" s="764">
        <f t="shared" si="4"/>
        <v>4671</v>
      </c>
      <c r="S23" s="764"/>
      <c r="T23" s="764">
        <f>SUM(T199:T210)</f>
        <v>3233</v>
      </c>
      <c r="U23" s="764"/>
      <c r="V23" s="769">
        <f>SUM(V199:V210)</f>
        <v>0</v>
      </c>
      <c r="W23" s="764">
        <f>SUM(W199:W210)</f>
        <v>120628</v>
      </c>
      <c r="X23" s="686"/>
      <c r="Y23" s="76">
        <v>2019</v>
      </c>
      <c r="Z23" s="71"/>
    </row>
    <row r="24" spans="2:26" s="12" customFormat="1" ht="12.75" hidden="1" customHeight="1">
      <c r="B24" s="68">
        <v>2020</v>
      </c>
      <c r="D24" s="656">
        <f>SUM(D211:D222)</f>
        <v>11248</v>
      </c>
      <c r="E24" s="249">
        <f>SUM(E211:E222)</f>
        <v>0</v>
      </c>
      <c r="F24" s="249">
        <f>SUM(F211:F222)</f>
        <v>1819</v>
      </c>
      <c r="G24" s="249">
        <f>SUM(G211:G222)</f>
        <v>0</v>
      </c>
      <c r="H24" s="249">
        <f>SUM(H211:H222)</f>
        <v>3778</v>
      </c>
      <c r="I24" s="249"/>
      <c r="J24" s="249">
        <f t="shared" ref="J24:R24" si="5">SUM(J211:J222)</f>
        <v>1241</v>
      </c>
      <c r="K24" s="249">
        <f t="shared" si="5"/>
        <v>0</v>
      </c>
      <c r="L24" s="249">
        <f t="shared" si="5"/>
        <v>1728</v>
      </c>
      <c r="M24" s="249">
        <f t="shared" si="5"/>
        <v>0</v>
      </c>
      <c r="N24" s="249">
        <f t="shared" si="5"/>
        <v>692</v>
      </c>
      <c r="O24" s="249">
        <f t="shared" si="5"/>
        <v>0</v>
      </c>
      <c r="P24" s="249">
        <f t="shared" si="5"/>
        <v>171</v>
      </c>
      <c r="Q24" s="249">
        <f t="shared" si="5"/>
        <v>0</v>
      </c>
      <c r="R24" s="249">
        <f t="shared" si="5"/>
        <v>680</v>
      </c>
      <c r="S24" s="249"/>
      <c r="T24" s="249">
        <f>SUM(T211:T222)</f>
        <v>608</v>
      </c>
      <c r="U24" s="249"/>
      <c r="V24" s="249">
        <f>SUM(V211:V222)</f>
        <v>0</v>
      </c>
      <c r="W24" s="249">
        <f>SUM(W211:W222)</f>
        <v>21965</v>
      </c>
      <c r="X24" s="686"/>
      <c r="Y24" s="76">
        <v>2020</v>
      </c>
      <c r="Z24" s="71"/>
    </row>
    <row r="25" spans="2:26" s="12" customFormat="1" ht="12.75" customHeight="1">
      <c r="B25" s="68">
        <v>2021</v>
      </c>
      <c r="D25" s="656">
        <f>SUM(D223:D234)</f>
        <v>0</v>
      </c>
      <c r="E25" s="249"/>
      <c r="F25" s="249">
        <f>SUM(F223:F234)</f>
        <v>0</v>
      </c>
      <c r="G25" s="249"/>
      <c r="H25" s="249">
        <f>SUM(H223:H234)</f>
        <v>0</v>
      </c>
      <c r="I25" s="249"/>
      <c r="J25" s="249">
        <f>SUM(J223:J234)</f>
        <v>0</v>
      </c>
      <c r="K25" s="249"/>
      <c r="L25" s="249">
        <f>SUM(L223:L234)</f>
        <v>0</v>
      </c>
      <c r="M25" s="249"/>
      <c r="N25" s="249">
        <f>SUM(N223:N234)</f>
        <v>0</v>
      </c>
      <c r="O25" s="249"/>
      <c r="P25" s="249">
        <f>SUM(P223:P234)</f>
        <v>0</v>
      </c>
      <c r="Q25" s="249"/>
      <c r="R25" s="72">
        <f>SUM(R223:R234)</f>
        <v>0</v>
      </c>
      <c r="S25" s="249"/>
      <c r="T25" s="249">
        <f>SUM(T223:T234)</f>
        <v>0</v>
      </c>
      <c r="U25" s="249"/>
      <c r="V25" s="249">
        <f>SUM(V223:V234)</f>
        <v>0</v>
      </c>
      <c r="W25" s="249">
        <f>SUM(W223:W234)</f>
        <v>0</v>
      </c>
      <c r="X25" s="686"/>
      <c r="Y25" s="76">
        <v>2021</v>
      </c>
      <c r="Z25" s="71"/>
    </row>
    <row r="26" spans="2:26" s="12" customFormat="1" ht="12.75" customHeight="1">
      <c r="B26" s="68">
        <v>2022</v>
      </c>
      <c r="D26" s="656">
        <f t="shared" ref="D26:W26" si="6">SUM(D235:D246)</f>
        <v>17460</v>
      </c>
      <c r="E26" s="249">
        <f t="shared" si="6"/>
        <v>0</v>
      </c>
      <c r="F26" s="249">
        <f t="shared" si="6"/>
        <v>4124</v>
      </c>
      <c r="G26" s="249">
        <f t="shared" si="6"/>
        <v>0</v>
      </c>
      <c r="H26" s="249">
        <f t="shared" si="6"/>
        <v>3224</v>
      </c>
      <c r="I26" s="249">
        <f t="shared" si="6"/>
        <v>0</v>
      </c>
      <c r="J26" s="249">
        <f t="shared" si="6"/>
        <v>1613</v>
      </c>
      <c r="K26" s="249">
        <f t="shared" si="6"/>
        <v>0</v>
      </c>
      <c r="L26" s="249">
        <f t="shared" si="6"/>
        <v>1981</v>
      </c>
      <c r="M26" s="249">
        <f t="shared" si="6"/>
        <v>0</v>
      </c>
      <c r="N26" s="249">
        <f t="shared" si="6"/>
        <v>761</v>
      </c>
      <c r="O26" s="249">
        <f t="shared" si="6"/>
        <v>0</v>
      </c>
      <c r="P26" s="249">
        <f t="shared" si="6"/>
        <v>118</v>
      </c>
      <c r="Q26" s="249">
        <f t="shared" si="6"/>
        <v>0</v>
      </c>
      <c r="R26" s="249">
        <f t="shared" si="6"/>
        <v>406</v>
      </c>
      <c r="S26" s="249">
        <f t="shared" si="6"/>
        <v>0</v>
      </c>
      <c r="T26" s="249">
        <f t="shared" si="6"/>
        <v>686</v>
      </c>
      <c r="U26" s="249">
        <f t="shared" si="6"/>
        <v>0</v>
      </c>
      <c r="V26" s="249">
        <f t="shared" si="6"/>
        <v>3680</v>
      </c>
      <c r="W26" s="249">
        <f t="shared" si="6"/>
        <v>30373</v>
      </c>
      <c r="X26" s="686"/>
      <c r="Y26" s="76">
        <v>2022</v>
      </c>
      <c r="Z26" s="71"/>
    </row>
    <row r="27" spans="2:26" s="12" customFormat="1" ht="12.75" customHeight="1">
      <c r="B27" s="68">
        <v>2023</v>
      </c>
      <c r="D27" s="656">
        <f t="shared" ref="D27:W27" si="7">SUM(D247:D258)</f>
        <v>45232</v>
      </c>
      <c r="E27" s="249">
        <f t="shared" si="7"/>
        <v>0</v>
      </c>
      <c r="F27" s="249">
        <f t="shared" si="7"/>
        <v>8536</v>
      </c>
      <c r="G27" s="249">
        <f t="shared" si="7"/>
        <v>0</v>
      </c>
      <c r="H27" s="249">
        <f t="shared" si="7"/>
        <v>6347</v>
      </c>
      <c r="I27" s="249">
        <f t="shared" si="7"/>
        <v>0</v>
      </c>
      <c r="J27" s="249">
        <f t="shared" si="7"/>
        <v>3177</v>
      </c>
      <c r="K27" s="249">
        <f t="shared" si="7"/>
        <v>0</v>
      </c>
      <c r="L27" s="249">
        <f t="shared" si="7"/>
        <v>7399</v>
      </c>
      <c r="M27" s="249">
        <f t="shared" si="7"/>
        <v>0</v>
      </c>
      <c r="N27" s="249">
        <f t="shared" si="7"/>
        <v>1993</v>
      </c>
      <c r="O27" s="249">
        <f t="shared" si="7"/>
        <v>0</v>
      </c>
      <c r="P27" s="249">
        <f t="shared" si="7"/>
        <v>528</v>
      </c>
      <c r="Q27" s="249">
        <f t="shared" si="7"/>
        <v>0</v>
      </c>
      <c r="R27" s="249">
        <f t="shared" si="7"/>
        <v>2056</v>
      </c>
      <c r="S27" s="249">
        <f t="shared" si="7"/>
        <v>0</v>
      </c>
      <c r="T27" s="249">
        <f t="shared" si="7"/>
        <v>1731</v>
      </c>
      <c r="U27" s="249">
        <f t="shared" si="7"/>
        <v>0</v>
      </c>
      <c r="V27" s="249">
        <f t="shared" si="7"/>
        <v>0</v>
      </c>
      <c r="W27" s="249">
        <f t="shared" si="7"/>
        <v>76999</v>
      </c>
      <c r="X27" s="686"/>
      <c r="Y27" s="76">
        <v>2023</v>
      </c>
      <c r="Z27" s="71"/>
    </row>
    <row r="28" spans="2:26" s="12" customFormat="1" ht="12.75" customHeight="1">
      <c r="B28" s="68">
        <v>2024</v>
      </c>
      <c r="D28" s="656">
        <f>SUM(D259:D270)</f>
        <v>33450</v>
      </c>
      <c r="E28" s="97">
        <f t="shared" ref="E28:W28" si="8">SUM(E259:E270)</f>
        <v>0</v>
      </c>
      <c r="F28" s="97">
        <f>SUM(F259:F270)</f>
        <v>4738</v>
      </c>
      <c r="G28" s="97">
        <f t="shared" si="8"/>
        <v>0</v>
      </c>
      <c r="H28" s="97">
        <f t="shared" si="8"/>
        <v>1349</v>
      </c>
      <c r="I28" s="97">
        <f t="shared" si="8"/>
        <v>0</v>
      </c>
      <c r="J28" s="97">
        <f t="shared" si="8"/>
        <v>3791</v>
      </c>
      <c r="K28" s="97">
        <f t="shared" si="8"/>
        <v>0</v>
      </c>
      <c r="L28" s="97">
        <f t="shared" si="8"/>
        <v>7936</v>
      </c>
      <c r="M28" s="97">
        <f t="shared" si="8"/>
        <v>0</v>
      </c>
      <c r="N28" s="97">
        <f t="shared" si="8"/>
        <v>2439</v>
      </c>
      <c r="O28" s="97">
        <f t="shared" si="8"/>
        <v>0</v>
      </c>
      <c r="P28" s="97">
        <f t="shared" si="8"/>
        <v>559</v>
      </c>
      <c r="Q28" s="97">
        <f t="shared" si="8"/>
        <v>0</v>
      </c>
      <c r="R28" s="97">
        <f t="shared" si="8"/>
        <v>2633</v>
      </c>
      <c r="S28" s="97">
        <f t="shared" si="8"/>
        <v>0</v>
      </c>
      <c r="T28" s="97">
        <f t="shared" si="8"/>
        <v>2183</v>
      </c>
      <c r="U28" s="97">
        <f t="shared" si="8"/>
        <v>0</v>
      </c>
      <c r="V28" s="97">
        <f t="shared" si="8"/>
        <v>0</v>
      </c>
      <c r="W28" s="97">
        <f t="shared" si="8"/>
        <v>59078</v>
      </c>
      <c r="X28" s="686"/>
      <c r="Y28" s="76">
        <v>2024</v>
      </c>
      <c r="Z28" s="71"/>
    </row>
    <row r="29" spans="2:26" s="12" customFormat="1" ht="12.75" customHeight="1">
      <c r="B29" s="68">
        <v>2025</v>
      </c>
      <c r="D29" s="656">
        <f>SUM(D271:D282)</f>
        <v>58922</v>
      </c>
      <c r="E29" s="97">
        <f t="shared" ref="E29:W29" si="9">SUM(E271:E282)</f>
        <v>0</v>
      </c>
      <c r="F29" s="97">
        <f t="shared" si="9"/>
        <v>6046</v>
      </c>
      <c r="G29" s="97">
        <f t="shared" si="9"/>
        <v>0</v>
      </c>
      <c r="H29" s="97">
        <f t="shared" si="9"/>
        <v>2827</v>
      </c>
      <c r="I29" s="97">
        <f t="shared" si="9"/>
        <v>0</v>
      </c>
      <c r="J29" s="97">
        <f t="shared" si="9"/>
        <v>5285</v>
      </c>
      <c r="K29" s="97">
        <f t="shared" si="9"/>
        <v>0</v>
      </c>
      <c r="L29" s="97">
        <f t="shared" si="9"/>
        <v>9493</v>
      </c>
      <c r="M29" s="97">
        <f t="shared" si="9"/>
        <v>0</v>
      </c>
      <c r="N29" s="97">
        <f t="shared" si="9"/>
        <v>3287</v>
      </c>
      <c r="O29" s="97">
        <f t="shared" si="9"/>
        <v>0</v>
      </c>
      <c r="P29" s="97">
        <f t="shared" si="9"/>
        <v>832</v>
      </c>
      <c r="Q29" s="97">
        <f t="shared" si="9"/>
        <v>0</v>
      </c>
      <c r="R29" s="97">
        <f t="shared" si="9"/>
        <v>4735</v>
      </c>
      <c r="S29" s="97">
        <f t="shared" si="9"/>
        <v>0</v>
      </c>
      <c r="T29" s="97">
        <f t="shared" si="9"/>
        <v>4492</v>
      </c>
      <c r="U29" s="97">
        <f t="shared" si="9"/>
        <v>0</v>
      </c>
      <c r="V29" s="97">
        <f t="shared" si="9"/>
        <v>0</v>
      </c>
      <c r="W29" s="97">
        <f t="shared" si="9"/>
        <v>95919</v>
      </c>
      <c r="X29" s="686"/>
      <c r="Y29" s="76">
        <v>2025</v>
      </c>
      <c r="Z29" s="71"/>
    </row>
    <row r="30" spans="2:26" s="12" customFormat="1" ht="12.75" customHeight="1">
      <c r="B30" s="11"/>
      <c r="D30" s="772"/>
      <c r="E30" s="682"/>
      <c r="F30" s="1079"/>
      <c r="G30" s="682"/>
      <c r="H30" s="1079"/>
      <c r="I30" s="682"/>
      <c r="J30" s="1079"/>
      <c r="K30" s="682"/>
      <c r="L30" s="1079"/>
      <c r="M30" s="682"/>
      <c r="N30" s="1079"/>
      <c r="O30" s="682"/>
      <c r="P30" s="1079"/>
      <c r="Q30" s="682"/>
      <c r="R30" s="1079"/>
      <c r="S30" s="682"/>
      <c r="T30" s="1079"/>
      <c r="U30" s="682"/>
      <c r="V30" s="682"/>
      <c r="W30" s="76"/>
      <c r="X30" s="685"/>
      <c r="Y30" s="76"/>
      <c r="Z30" s="71"/>
    </row>
    <row r="31" spans="2:26" s="1084" customFormat="1" ht="12.75" hidden="1" customHeight="1">
      <c r="B31" s="347">
        <v>2005</v>
      </c>
      <c r="C31" s="369" t="s">
        <v>33</v>
      </c>
      <c r="D31" s="1110">
        <v>2967</v>
      </c>
      <c r="E31" s="1109"/>
      <c r="F31" s="1109">
        <v>373</v>
      </c>
      <c r="G31" s="1109"/>
      <c r="H31" s="1109">
        <v>785</v>
      </c>
      <c r="I31" s="1109"/>
      <c r="J31" s="1109">
        <v>352</v>
      </c>
      <c r="K31" s="1109"/>
      <c r="L31" s="1109">
        <v>273</v>
      </c>
      <c r="M31" s="1109"/>
      <c r="N31" s="1109">
        <v>111</v>
      </c>
      <c r="O31" s="1109"/>
      <c r="P31" s="1109">
        <v>50</v>
      </c>
      <c r="Q31" s="1109"/>
      <c r="R31" s="1016" t="s">
        <v>43</v>
      </c>
      <c r="S31" s="1109"/>
      <c r="T31" s="1109">
        <v>83</v>
      </c>
      <c r="U31" s="1109"/>
      <c r="V31" s="1127"/>
      <c r="W31" s="1109">
        <f t="shared" ref="W31:W78" si="10">SUM(D31:U31)</f>
        <v>4994</v>
      </c>
      <c r="X31" s="1128"/>
      <c r="Y31" s="768">
        <v>2005</v>
      </c>
      <c r="Z31" s="348" t="s">
        <v>33</v>
      </c>
    </row>
    <row r="32" spans="2:26" s="1084" customFormat="1" ht="12.75" hidden="1" customHeight="1">
      <c r="B32" s="347">
        <v>2005</v>
      </c>
      <c r="C32" s="369" t="s">
        <v>34</v>
      </c>
      <c r="D32" s="1110">
        <v>2107</v>
      </c>
      <c r="E32" s="1109"/>
      <c r="F32" s="1109">
        <v>180</v>
      </c>
      <c r="G32" s="1109"/>
      <c r="H32" s="1109">
        <v>500</v>
      </c>
      <c r="I32" s="1109"/>
      <c r="J32" s="1109">
        <v>245</v>
      </c>
      <c r="K32" s="1109"/>
      <c r="L32" s="1109">
        <v>195</v>
      </c>
      <c r="M32" s="1109"/>
      <c r="N32" s="1109">
        <v>80</v>
      </c>
      <c r="O32" s="1109"/>
      <c r="P32" s="1109">
        <v>34</v>
      </c>
      <c r="Q32" s="1109"/>
      <c r="R32" s="1016" t="s">
        <v>43</v>
      </c>
      <c r="S32" s="1109"/>
      <c r="T32" s="1109">
        <v>99</v>
      </c>
      <c r="U32" s="1109"/>
      <c r="V32" s="1127"/>
      <c r="W32" s="1109">
        <f t="shared" si="10"/>
        <v>3440</v>
      </c>
      <c r="X32" s="1128"/>
      <c r="Y32" s="768">
        <v>2005</v>
      </c>
      <c r="Z32" s="348" t="s">
        <v>77</v>
      </c>
    </row>
    <row r="33" spans="2:26" s="1084" customFormat="1" ht="12.75" hidden="1" customHeight="1">
      <c r="B33" s="347">
        <v>2005</v>
      </c>
      <c r="C33" s="369" t="s">
        <v>29</v>
      </c>
      <c r="D33" s="1110">
        <v>2790</v>
      </c>
      <c r="E33" s="1109"/>
      <c r="F33" s="1109">
        <v>390</v>
      </c>
      <c r="G33" s="1109"/>
      <c r="H33" s="1109">
        <v>306</v>
      </c>
      <c r="I33" s="1109"/>
      <c r="J33" s="1109">
        <v>255</v>
      </c>
      <c r="K33" s="1109"/>
      <c r="L33" s="1109">
        <v>202</v>
      </c>
      <c r="M33" s="1109"/>
      <c r="N33" s="1109">
        <v>166</v>
      </c>
      <c r="O33" s="1109"/>
      <c r="P33" s="1109">
        <v>29</v>
      </c>
      <c r="Q33" s="1109"/>
      <c r="R33" s="1016" t="s">
        <v>43</v>
      </c>
      <c r="S33" s="1109"/>
      <c r="T33" s="1109">
        <v>76</v>
      </c>
      <c r="U33" s="1109"/>
      <c r="V33" s="1127"/>
      <c r="W33" s="1109">
        <f t="shared" si="10"/>
        <v>4214</v>
      </c>
      <c r="X33" s="1128"/>
      <c r="Y33" s="768">
        <v>2005</v>
      </c>
      <c r="Z33" s="348" t="s">
        <v>29</v>
      </c>
    </row>
    <row r="34" spans="2:26" s="1084" customFormat="1" ht="12.75" hidden="1" customHeight="1">
      <c r="B34" s="347">
        <v>2005</v>
      </c>
      <c r="C34" s="369" t="s">
        <v>35</v>
      </c>
      <c r="D34" s="1110">
        <v>2914</v>
      </c>
      <c r="E34" s="1109"/>
      <c r="F34" s="1109">
        <v>471</v>
      </c>
      <c r="G34" s="1109"/>
      <c r="H34" s="1109">
        <v>305</v>
      </c>
      <c r="I34" s="1109"/>
      <c r="J34" s="1109">
        <v>111</v>
      </c>
      <c r="K34" s="1109"/>
      <c r="L34" s="1109">
        <v>206</v>
      </c>
      <c r="M34" s="1109"/>
      <c r="N34" s="1109">
        <v>82</v>
      </c>
      <c r="O34" s="1109"/>
      <c r="P34" s="1109">
        <v>45</v>
      </c>
      <c r="Q34" s="1109"/>
      <c r="R34" s="1016" t="s">
        <v>43</v>
      </c>
      <c r="S34" s="1109"/>
      <c r="T34" s="1109">
        <v>52</v>
      </c>
      <c r="U34" s="1109"/>
      <c r="V34" s="1127"/>
      <c r="W34" s="1109">
        <f t="shared" si="10"/>
        <v>4186</v>
      </c>
      <c r="X34" s="1128"/>
      <c r="Y34" s="768">
        <v>2005</v>
      </c>
      <c r="Z34" s="348" t="s">
        <v>78</v>
      </c>
    </row>
    <row r="35" spans="2:26" s="1084" customFormat="1" ht="12.75" hidden="1" customHeight="1">
      <c r="B35" s="347">
        <v>2005</v>
      </c>
      <c r="C35" s="369" t="s">
        <v>4</v>
      </c>
      <c r="D35" s="1110">
        <v>2360</v>
      </c>
      <c r="E35" s="1109"/>
      <c r="F35" s="1109">
        <v>485</v>
      </c>
      <c r="G35" s="1109"/>
      <c r="H35" s="1109">
        <v>494</v>
      </c>
      <c r="I35" s="1109"/>
      <c r="J35" s="1109">
        <v>151</v>
      </c>
      <c r="K35" s="1109"/>
      <c r="L35" s="1109">
        <v>230</v>
      </c>
      <c r="M35" s="1109"/>
      <c r="N35" s="1109">
        <v>123</v>
      </c>
      <c r="O35" s="1109"/>
      <c r="P35" s="1109">
        <v>39</v>
      </c>
      <c r="Q35" s="1109"/>
      <c r="R35" s="1016" t="s">
        <v>43</v>
      </c>
      <c r="S35" s="1109"/>
      <c r="T35" s="1109">
        <v>126</v>
      </c>
      <c r="U35" s="1109"/>
      <c r="V35" s="1127"/>
      <c r="W35" s="1109">
        <f t="shared" si="10"/>
        <v>4008</v>
      </c>
      <c r="X35" s="1128"/>
      <c r="Y35" s="768">
        <v>2005</v>
      </c>
      <c r="Z35" s="348" t="s">
        <v>79</v>
      </c>
    </row>
    <row r="36" spans="2:26" s="1084" customFormat="1" ht="12.75" hidden="1" customHeight="1">
      <c r="B36" s="347">
        <v>2005</v>
      </c>
      <c r="C36" s="369" t="s">
        <v>30</v>
      </c>
      <c r="D36" s="1110">
        <v>3164</v>
      </c>
      <c r="E36" s="1109"/>
      <c r="F36" s="1109">
        <v>881</v>
      </c>
      <c r="G36" s="1109"/>
      <c r="H36" s="1109">
        <v>410</v>
      </c>
      <c r="I36" s="1109"/>
      <c r="J36" s="1109">
        <v>143</v>
      </c>
      <c r="K36" s="1109"/>
      <c r="L36" s="1109">
        <v>264</v>
      </c>
      <c r="M36" s="1109"/>
      <c r="N36" s="1109">
        <v>140</v>
      </c>
      <c r="O36" s="1109"/>
      <c r="P36" s="1109">
        <v>52</v>
      </c>
      <c r="Q36" s="1109"/>
      <c r="R36" s="1016" t="s">
        <v>43</v>
      </c>
      <c r="S36" s="1109"/>
      <c r="T36" s="1109">
        <v>61</v>
      </c>
      <c r="U36" s="1109"/>
      <c r="V36" s="1127"/>
      <c r="W36" s="1109">
        <f t="shared" si="10"/>
        <v>5115</v>
      </c>
      <c r="X36" s="1128"/>
      <c r="Y36" s="768">
        <v>2005</v>
      </c>
      <c r="Z36" s="348" t="s">
        <v>80</v>
      </c>
    </row>
    <row r="37" spans="2:26" s="1084" customFormat="1" ht="12.75" hidden="1" customHeight="1">
      <c r="B37" s="347">
        <v>2005</v>
      </c>
      <c r="C37" s="369" t="s">
        <v>132</v>
      </c>
      <c r="D37" s="1110">
        <v>3564</v>
      </c>
      <c r="E37" s="1109"/>
      <c r="F37" s="1109">
        <v>966</v>
      </c>
      <c r="G37" s="1109"/>
      <c r="H37" s="1109">
        <v>870</v>
      </c>
      <c r="I37" s="1109"/>
      <c r="J37" s="1109">
        <v>273</v>
      </c>
      <c r="K37" s="1109"/>
      <c r="L37" s="1109">
        <v>460</v>
      </c>
      <c r="M37" s="1109"/>
      <c r="N37" s="1109">
        <v>153</v>
      </c>
      <c r="O37" s="1109"/>
      <c r="P37" s="1109">
        <v>57</v>
      </c>
      <c r="Q37" s="1109"/>
      <c r="R37" s="1016" t="s">
        <v>43</v>
      </c>
      <c r="S37" s="1109"/>
      <c r="T37" s="1109">
        <v>85</v>
      </c>
      <c r="U37" s="1109"/>
      <c r="V37" s="1127"/>
      <c r="W37" s="1109">
        <f t="shared" si="10"/>
        <v>6428</v>
      </c>
      <c r="X37" s="1128"/>
      <c r="Y37" s="768">
        <v>2005</v>
      </c>
      <c r="Z37" s="348" t="s">
        <v>81</v>
      </c>
    </row>
    <row r="38" spans="2:26" s="1084" customFormat="1" ht="12.75" hidden="1" customHeight="1">
      <c r="B38" s="347">
        <v>2005</v>
      </c>
      <c r="C38" s="369" t="s">
        <v>37</v>
      </c>
      <c r="D38" s="1110">
        <v>2963</v>
      </c>
      <c r="E38" s="1109"/>
      <c r="F38" s="1109">
        <v>881</v>
      </c>
      <c r="G38" s="1109"/>
      <c r="H38" s="1109">
        <v>514</v>
      </c>
      <c r="I38" s="1109"/>
      <c r="J38" s="1109">
        <v>201</v>
      </c>
      <c r="K38" s="1109"/>
      <c r="L38" s="1109">
        <v>435</v>
      </c>
      <c r="M38" s="1109"/>
      <c r="N38" s="1109">
        <v>202</v>
      </c>
      <c r="O38" s="1109"/>
      <c r="P38" s="1109">
        <v>68</v>
      </c>
      <c r="Q38" s="1109"/>
      <c r="R38" s="1016" t="s">
        <v>43</v>
      </c>
      <c r="S38" s="1109"/>
      <c r="T38" s="1109">
        <v>130</v>
      </c>
      <c r="U38" s="1109"/>
      <c r="V38" s="1127"/>
      <c r="W38" s="1109">
        <f t="shared" si="10"/>
        <v>5394</v>
      </c>
      <c r="X38" s="1128"/>
      <c r="Y38" s="768">
        <v>2005</v>
      </c>
      <c r="Z38" s="348" t="s">
        <v>82</v>
      </c>
    </row>
    <row r="39" spans="2:26" s="1084" customFormat="1" ht="12.75" hidden="1" customHeight="1">
      <c r="B39" s="347">
        <v>2005</v>
      </c>
      <c r="C39" s="369" t="s">
        <v>31</v>
      </c>
      <c r="D39" s="1110">
        <v>4167</v>
      </c>
      <c r="E39" s="1109"/>
      <c r="F39" s="1109">
        <v>896</v>
      </c>
      <c r="G39" s="1109"/>
      <c r="H39" s="1109">
        <v>665</v>
      </c>
      <c r="I39" s="1109"/>
      <c r="J39" s="1109">
        <v>379</v>
      </c>
      <c r="K39" s="1109"/>
      <c r="L39" s="1109">
        <v>272</v>
      </c>
      <c r="M39" s="1109"/>
      <c r="N39" s="1109">
        <v>135</v>
      </c>
      <c r="O39" s="1109"/>
      <c r="P39" s="1109">
        <v>70</v>
      </c>
      <c r="Q39" s="1109"/>
      <c r="R39" s="1016" t="s">
        <v>43</v>
      </c>
      <c r="S39" s="1109"/>
      <c r="T39" s="1109">
        <v>101</v>
      </c>
      <c r="U39" s="1109"/>
      <c r="V39" s="1127"/>
      <c r="W39" s="1109">
        <f t="shared" si="10"/>
        <v>6685</v>
      </c>
      <c r="X39" s="1128"/>
      <c r="Y39" s="768">
        <v>2005</v>
      </c>
      <c r="Z39" s="348" t="s">
        <v>31</v>
      </c>
    </row>
    <row r="40" spans="2:26" s="1084" customFormat="1" ht="12.75" hidden="1" customHeight="1">
      <c r="B40" s="347">
        <v>2005</v>
      </c>
      <c r="C40" s="369" t="s">
        <v>63</v>
      </c>
      <c r="D40" s="1110">
        <v>3818</v>
      </c>
      <c r="E40" s="1109"/>
      <c r="F40" s="1109">
        <v>986</v>
      </c>
      <c r="G40" s="1109"/>
      <c r="H40" s="1109">
        <v>502</v>
      </c>
      <c r="I40" s="1109"/>
      <c r="J40" s="1109">
        <v>216</v>
      </c>
      <c r="K40" s="1109"/>
      <c r="L40" s="1109">
        <v>326</v>
      </c>
      <c r="M40" s="1109"/>
      <c r="N40" s="1109">
        <v>137</v>
      </c>
      <c r="O40" s="1109"/>
      <c r="P40" s="1109">
        <v>30</v>
      </c>
      <c r="Q40" s="1109"/>
      <c r="R40" s="1016" t="s">
        <v>43</v>
      </c>
      <c r="S40" s="1109"/>
      <c r="T40" s="1109">
        <v>86</v>
      </c>
      <c r="U40" s="1109"/>
      <c r="V40" s="1127"/>
      <c r="W40" s="1109">
        <f t="shared" si="10"/>
        <v>6101</v>
      </c>
      <c r="X40" s="1128"/>
      <c r="Y40" s="768">
        <v>2005</v>
      </c>
      <c r="Z40" s="348" t="s">
        <v>49</v>
      </c>
    </row>
    <row r="41" spans="2:26" s="1084" customFormat="1" ht="12.75" hidden="1" customHeight="1">
      <c r="B41" s="347">
        <v>2005</v>
      </c>
      <c r="C41" s="369" t="s">
        <v>39</v>
      </c>
      <c r="D41" s="1110">
        <v>3452</v>
      </c>
      <c r="E41" s="1109"/>
      <c r="F41" s="1109">
        <v>595</v>
      </c>
      <c r="G41" s="1109"/>
      <c r="H41" s="1109">
        <v>648</v>
      </c>
      <c r="I41" s="1109"/>
      <c r="J41" s="1109">
        <v>190</v>
      </c>
      <c r="K41" s="1109"/>
      <c r="L41" s="1109">
        <v>344</v>
      </c>
      <c r="M41" s="1109"/>
      <c r="N41" s="1109">
        <v>148</v>
      </c>
      <c r="O41" s="1109"/>
      <c r="P41" s="1109">
        <v>61</v>
      </c>
      <c r="Q41" s="1109"/>
      <c r="R41" s="1016" t="s">
        <v>43</v>
      </c>
      <c r="S41" s="1109"/>
      <c r="T41" s="1109">
        <v>106</v>
      </c>
      <c r="U41" s="1109"/>
      <c r="V41" s="1127"/>
      <c r="W41" s="1109">
        <f t="shared" si="10"/>
        <v>5544</v>
      </c>
      <c r="X41" s="1128"/>
      <c r="Y41" s="768">
        <v>2005</v>
      </c>
      <c r="Z41" s="348" t="s">
        <v>39</v>
      </c>
    </row>
    <row r="42" spans="2:26" s="1084" customFormat="1" ht="12.75" hidden="1" customHeight="1">
      <c r="B42" s="347">
        <v>2005</v>
      </c>
      <c r="C42" s="369" t="s">
        <v>32</v>
      </c>
      <c r="D42" s="1110">
        <v>3924</v>
      </c>
      <c r="E42" s="1109"/>
      <c r="F42" s="1109">
        <v>596</v>
      </c>
      <c r="G42" s="1109"/>
      <c r="H42" s="1109">
        <v>818</v>
      </c>
      <c r="I42" s="1109"/>
      <c r="J42" s="1109">
        <v>219</v>
      </c>
      <c r="K42" s="1109"/>
      <c r="L42" s="1109">
        <v>309</v>
      </c>
      <c r="M42" s="1109"/>
      <c r="N42" s="1109">
        <v>160</v>
      </c>
      <c r="O42" s="1109"/>
      <c r="P42" s="1109">
        <v>49</v>
      </c>
      <c r="Q42" s="1109"/>
      <c r="R42" s="1016" t="s">
        <v>43</v>
      </c>
      <c r="S42" s="1109"/>
      <c r="T42" s="1109">
        <v>101</v>
      </c>
      <c r="U42" s="1109"/>
      <c r="V42" s="1127"/>
      <c r="W42" s="1109">
        <f t="shared" si="10"/>
        <v>6176</v>
      </c>
      <c r="X42" s="1128"/>
      <c r="Y42" s="768">
        <v>2005</v>
      </c>
      <c r="Z42" s="348" t="s">
        <v>83</v>
      </c>
    </row>
    <row r="43" spans="2:26" s="1084" customFormat="1" ht="12.75" hidden="1" customHeight="1">
      <c r="B43" s="347">
        <v>2006</v>
      </c>
      <c r="C43" s="369" t="s">
        <v>33</v>
      </c>
      <c r="D43" s="1110">
        <v>3731</v>
      </c>
      <c r="E43" s="1109"/>
      <c r="F43" s="1109">
        <v>397</v>
      </c>
      <c r="G43" s="1109"/>
      <c r="H43" s="1109">
        <v>810</v>
      </c>
      <c r="I43" s="1109"/>
      <c r="J43" s="1109">
        <v>151</v>
      </c>
      <c r="K43" s="1109"/>
      <c r="L43" s="1109">
        <v>330</v>
      </c>
      <c r="M43" s="1109"/>
      <c r="N43" s="1109">
        <v>133</v>
      </c>
      <c r="O43" s="1109"/>
      <c r="P43" s="1109">
        <v>31</v>
      </c>
      <c r="Q43" s="1109"/>
      <c r="R43" s="1016" t="s">
        <v>43</v>
      </c>
      <c r="S43" s="1109"/>
      <c r="T43" s="1109">
        <v>79</v>
      </c>
      <c r="U43" s="1109"/>
      <c r="V43" s="1127"/>
      <c r="W43" s="1109">
        <f t="shared" si="10"/>
        <v>5662</v>
      </c>
      <c r="X43" s="1128"/>
      <c r="Y43" s="768">
        <v>2006</v>
      </c>
      <c r="Z43" s="348" t="s">
        <v>33</v>
      </c>
    </row>
    <row r="44" spans="2:26" s="1084" customFormat="1" ht="12.75" hidden="1" customHeight="1">
      <c r="B44" s="347">
        <v>2006</v>
      </c>
      <c r="C44" s="369" t="s">
        <v>34</v>
      </c>
      <c r="D44" s="1110">
        <v>2482</v>
      </c>
      <c r="E44" s="1109"/>
      <c r="F44" s="1109">
        <v>242</v>
      </c>
      <c r="G44" s="1109"/>
      <c r="H44" s="1109">
        <v>550</v>
      </c>
      <c r="I44" s="1109"/>
      <c r="J44" s="1109">
        <v>197</v>
      </c>
      <c r="K44" s="1109"/>
      <c r="L44" s="1109">
        <v>272</v>
      </c>
      <c r="M44" s="1109"/>
      <c r="N44" s="1109">
        <v>89</v>
      </c>
      <c r="O44" s="1109"/>
      <c r="P44" s="1109">
        <v>44</v>
      </c>
      <c r="Q44" s="1109"/>
      <c r="R44" s="1016" t="s">
        <v>43</v>
      </c>
      <c r="S44" s="1109"/>
      <c r="T44" s="1109">
        <v>72</v>
      </c>
      <c r="U44" s="1109"/>
      <c r="V44" s="1127"/>
      <c r="W44" s="1109">
        <f t="shared" si="10"/>
        <v>3948</v>
      </c>
      <c r="X44" s="1128"/>
      <c r="Y44" s="768">
        <v>2006</v>
      </c>
      <c r="Z44" s="348" t="s">
        <v>77</v>
      </c>
    </row>
    <row r="45" spans="2:26" s="1084" customFormat="1" ht="12.75" hidden="1" customHeight="1">
      <c r="B45" s="347">
        <v>2006</v>
      </c>
      <c r="C45" s="369" t="s">
        <v>29</v>
      </c>
      <c r="D45" s="1110">
        <v>2913</v>
      </c>
      <c r="E45" s="1109"/>
      <c r="F45" s="1109">
        <v>327</v>
      </c>
      <c r="G45" s="1109"/>
      <c r="H45" s="1109">
        <v>286</v>
      </c>
      <c r="I45" s="1109"/>
      <c r="J45" s="1109">
        <v>181</v>
      </c>
      <c r="K45" s="1109"/>
      <c r="L45" s="1109">
        <v>217</v>
      </c>
      <c r="M45" s="1109"/>
      <c r="N45" s="1109">
        <v>96</v>
      </c>
      <c r="O45" s="1109"/>
      <c r="P45" s="1109">
        <v>59</v>
      </c>
      <c r="Q45" s="1109"/>
      <c r="R45" s="1016" t="s">
        <v>43</v>
      </c>
      <c r="S45" s="1109"/>
      <c r="T45" s="1109">
        <v>100</v>
      </c>
      <c r="U45" s="1109"/>
      <c r="V45" s="1127"/>
      <c r="W45" s="1109">
        <f t="shared" si="10"/>
        <v>4179</v>
      </c>
      <c r="X45" s="1128"/>
      <c r="Y45" s="768">
        <v>2006</v>
      </c>
      <c r="Z45" s="348" t="s">
        <v>29</v>
      </c>
    </row>
    <row r="46" spans="2:26" s="1084" customFormat="1" ht="12.75" hidden="1" customHeight="1">
      <c r="B46" s="347">
        <v>2006</v>
      </c>
      <c r="C46" s="369" t="s">
        <v>35</v>
      </c>
      <c r="D46" s="1110">
        <v>2956</v>
      </c>
      <c r="E46" s="1109"/>
      <c r="F46" s="1109">
        <v>611</v>
      </c>
      <c r="G46" s="1109"/>
      <c r="H46" s="1109">
        <v>497</v>
      </c>
      <c r="I46" s="1109"/>
      <c r="J46" s="1109">
        <v>170</v>
      </c>
      <c r="K46" s="1109"/>
      <c r="L46" s="1109">
        <v>247</v>
      </c>
      <c r="M46" s="1109"/>
      <c r="N46" s="1109">
        <v>119</v>
      </c>
      <c r="O46" s="1109"/>
      <c r="P46" s="1109">
        <v>42</v>
      </c>
      <c r="Q46" s="1109"/>
      <c r="R46" s="1016" t="s">
        <v>43</v>
      </c>
      <c r="S46" s="1109"/>
      <c r="T46" s="1109">
        <v>100</v>
      </c>
      <c r="U46" s="1109"/>
      <c r="V46" s="1127"/>
      <c r="W46" s="1109">
        <f t="shared" si="10"/>
        <v>4742</v>
      </c>
      <c r="X46" s="1128"/>
      <c r="Y46" s="768">
        <v>2006</v>
      </c>
      <c r="Z46" s="348" t="s">
        <v>78</v>
      </c>
    </row>
    <row r="47" spans="2:26" s="1084" customFormat="1" ht="12.75" hidden="1" customHeight="1">
      <c r="B47" s="347">
        <v>2006</v>
      </c>
      <c r="C47" s="369" t="s">
        <v>4</v>
      </c>
      <c r="D47" s="1110">
        <v>2580</v>
      </c>
      <c r="E47" s="1109"/>
      <c r="F47" s="1109">
        <v>731</v>
      </c>
      <c r="G47" s="1109"/>
      <c r="H47" s="1109">
        <v>577</v>
      </c>
      <c r="I47" s="1109"/>
      <c r="J47" s="1109">
        <v>229</v>
      </c>
      <c r="K47" s="1109"/>
      <c r="L47" s="1109">
        <v>243</v>
      </c>
      <c r="M47" s="1109"/>
      <c r="N47" s="1109">
        <v>129</v>
      </c>
      <c r="O47" s="1109"/>
      <c r="P47" s="1109">
        <v>50</v>
      </c>
      <c r="Q47" s="1109"/>
      <c r="R47" s="1016" t="s">
        <v>43</v>
      </c>
      <c r="S47" s="1109"/>
      <c r="T47" s="1109">
        <v>114</v>
      </c>
      <c r="U47" s="1109"/>
      <c r="V47" s="1127"/>
      <c r="W47" s="1109">
        <f t="shared" si="10"/>
        <v>4653</v>
      </c>
      <c r="X47" s="1128"/>
      <c r="Y47" s="768">
        <v>2006</v>
      </c>
      <c r="Z47" s="348" t="s">
        <v>79</v>
      </c>
    </row>
    <row r="48" spans="2:26" s="1084" customFormat="1" ht="12.75" hidden="1" customHeight="1">
      <c r="B48" s="347">
        <v>2006</v>
      </c>
      <c r="C48" s="369" t="s">
        <v>68</v>
      </c>
      <c r="D48" s="1110">
        <v>3327</v>
      </c>
      <c r="E48" s="1109"/>
      <c r="F48" s="1109">
        <v>1176</v>
      </c>
      <c r="G48" s="1109"/>
      <c r="H48" s="1109">
        <v>449</v>
      </c>
      <c r="I48" s="1109"/>
      <c r="J48" s="1109">
        <v>245</v>
      </c>
      <c r="K48" s="1109"/>
      <c r="L48" s="1109">
        <v>236</v>
      </c>
      <c r="M48" s="1109"/>
      <c r="N48" s="1109">
        <v>196</v>
      </c>
      <c r="O48" s="1109"/>
      <c r="P48" s="1109">
        <v>38</v>
      </c>
      <c r="Q48" s="1109"/>
      <c r="R48" s="1016" t="s">
        <v>43</v>
      </c>
      <c r="S48" s="1109"/>
      <c r="T48" s="1109">
        <v>82</v>
      </c>
      <c r="U48" s="1109"/>
      <c r="V48" s="1127"/>
      <c r="W48" s="1109">
        <f t="shared" si="10"/>
        <v>5749</v>
      </c>
      <c r="X48" s="1128"/>
      <c r="Y48" s="768">
        <v>2006</v>
      </c>
      <c r="Z48" s="348" t="s">
        <v>80</v>
      </c>
    </row>
    <row r="49" spans="2:26" s="1084" customFormat="1" ht="12.75" hidden="1" customHeight="1">
      <c r="B49" s="347">
        <v>2006</v>
      </c>
      <c r="C49" s="369" t="s">
        <v>131</v>
      </c>
      <c r="D49" s="1110">
        <v>3802</v>
      </c>
      <c r="E49" s="1109"/>
      <c r="F49" s="1109">
        <v>1132</v>
      </c>
      <c r="G49" s="1109"/>
      <c r="H49" s="1109">
        <v>652</v>
      </c>
      <c r="I49" s="1109"/>
      <c r="J49" s="1109">
        <v>198</v>
      </c>
      <c r="K49" s="1109"/>
      <c r="L49" s="1109">
        <v>477</v>
      </c>
      <c r="M49" s="1109"/>
      <c r="N49" s="1109">
        <v>260</v>
      </c>
      <c r="O49" s="1109"/>
      <c r="P49" s="1109">
        <v>72</v>
      </c>
      <c r="Q49" s="1109"/>
      <c r="R49" s="1016" t="s">
        <v>43</v>
      </c>
      <c r="S49" s="1109"/>
      <c r="T49" s="1109">
        <v>119</v>
      </c>
      <c r="U49" s="1109"/>
      <c r="V49" s="1127"/>
      <c r="W49" s="1109">
        <f t="shared" si="10"/>
        <v>6712</v>
      </c>
      <c r="X49" s="1128"/>
      <c r="Y49" s="768">
        <v>2006</v>
      </c>
      <c r="Z49" s="348" t="s">
        <v>81</v>
      </c>
    </row>
    <row r="50" spans="2:26" s="1084" customFormat="1" ht="12.75" hidden="1" customHeight="1">
      <c r="B50" s="347">
        <v>2006</v>
      </c>
      <c r="C50" s="369" t="s">
        <v>37</v>
      </c>
      <c r="D50" s="1110">
        <v>2874</v>
      </c>
      <c r="E50" s="1109"/>
      <c r="F50" s="1109">
        <v>1171</v>
      </c>
      <c r="G50" s="1109"/>
      <c r="H50" s="1109">
        <v>565</v>
      </c>
      <c r="I50" s="1109"/>
      <c r="J50" s="1109">
        <v>338</v>
      </c>
      <c r="K50" s="1109"/>
      <c r="L50" s="1109">
        <v>429</v>
      </c>
      <c r="M50" s="1109"/>
      <c r="N50" s="1109">
        <v>219</v>
      </c>
      <c r="O50" s="1109"/>
      <c r="P50" s="1109">
        <v>91</v>
      </c>
      <c r="Q50" s="1109"/>
      <c r="R50" s="1016" t="s">
        <v>43</v>
      </c>
      <c r="S50" s="1109"/>
      <c r="T50" s="1109">
        <v>130</v>
      </c>
      <c r="U50" s="1109"/>
      <c r="V50" s="1127"/>
      <c r="W50" s="1109">
        <f t="shared" si="10"/>
        <v>5817</v>
      </c>
      <c r="X50" s="1128"/>
      <c r="Y50" s="768">
        <v>2006</v>
      </c>
      <c r="Z50" s="348" t="s">
        <v>82</v>
      </c>
    </row>
    <row r="51" spans="2:26" s="1084" customFormat="1" ht="12.75" hidden="1" customHeight="1">
      <c r="B51" s="347">
        <v>2006</v>
      </c>
      <c r="C51" s="369" t="s">
        <v>31</v>
      </c>
      <c r="D51" s="1110">
        <v>4076</v>
      </c>
      <c r="E51" s="1109"/>
      <c r="F51" s="1109">
        <v>1312</v>
      </c>
      <c r="G51" s="1109"/>
      <c r="H51" s="1109">
        <v>888</v>
      </c>
      <c r="I51" s="1109"/>
      <c r="J51" s="1109">
        <v>234</v>
      </c>
      <c r="K51" s="1109"/>
      <c r="L51" s="1109">
        <v>384</v>
      </c>
      <c r="M51" s="1109"/>
      <c r="N51" s="1109">
        <v>175</v>
      </c>
      <c r="O51" s="1109"/>
      <c r="P51" s="1109">
        <v>55</v>
      </c>
      <c r="Q51" s="1109"/>
      <c r="R51" s="1016" t="s">
        <v>43</v>
      </c>
      <c r="S51" s="1109"/>
      <c r="T51" s="1109">
        <v>107</v>
      </c>
      <c r="U51" s="1109"/>
      <c r="V51" s="1127"/>
      <c r="W51" s="1109">
        <f t="shared" si="10"/>
        <v>7231</v>
      </c>
      <c r="X51" s="1128"/>
      <c r="Y51" s="768">
        <v>2006</v>
      </c>
      <c r="Z51" s="348" t="s">
        <v>31</v>
      </c>
    </row>
    <row r="52" spans="2:26" s="1084" customFormat="1" ht="12.75" hidden="1" customHeight="1">
      <c r="B52" s="347">
        <v>2006</v>
      </c>
      <c r="C52" s="369" t="s">
        <v>63</v>
      </c>
      <c r="D52" s="1110">
        <v>3705</v>
      </c>
      <c r="E52" s="1109"/>
      <c r="F52" s="1109">
        <v>1020</v>
      </c>
      <c r="G52" s="1109"/>
      <c r="H52" s="1109">
        <v>542</v>
      </c>
      <c r="I52" s="1109"/>
      <c r="J52" s="1109">
        <v>235</v>
      </c>
      <c r="K52" s="1109"/>
      <c r="L52" s="1109">
        <v>443</v>
      </c>
      <c r="M52" s="1109"/>
      <c r="N52" s="1109">
        <v>149</v>
      </c>
      <c r="O52" s="1109"/>
      <c r="P52" s="1109">
        <v>50</v>
      </c>
      <c r="Q52" s="1109"/>
      <c r="R52" s="1016" t="s">
        <v>43</v>
      </c>
      <c r="S52" s="1109"/>
      <c r="T52" s="1109">
        <v>95</v>
      </c>
      <c r="U52" s="1109"/>
      <c r="V52" s="1127"/>
      <c r="W52" s="1109">
        <f t="shared" si="10"/>
        <v>6239</v>
      </c>
      <c r="X52" s="1128"/>
      <c r="Y52" s="768">
        <v>2006</v>
      </c>
      <c r="Z52" s="348" t="s">
        <v>49</v>
      </c>
    </row>
    <row r="53" spans="2:26" s="1084" customFormat="1" ht="12.75" hidden="1" customHeight="1">
      <c r="B53" s="347">
        <v>2006</v>
      </c>
      <c r="C53" s="369" t="s">
        <v>39</v>
      </c>
      <c r="D53" s="1110">
        <v>3526</v>
      </c>
      <c r="E53" s="1109"/>
      <c r="F53" s="1109">
        <v>777</v>
      </c>
      <c r="G53" s="1109"/>
      <c r="H53" s="1109">
        <v>681</v>
      </c>
      <c r="I53" s="1109"/>
      <c r="J53" s="1109">
        <v>325</v>
      </c>
      <c r="K53" s="1109"/>
      <c r="L53" s="1109">
        <v>403</v>
      </c>
      <c r="M53" s="1109"/>
      <c r="N53" s="1109">
        <v>161</v>
      </c>
      <c r="O53" s="1109"/>
      <c r="P53" s="1109">
        <v>61</v>
      </c>
      <c r="Q53" s="1109"/>
      <c r="R53" s="1016" t="s">
        <v>43</v>
      </c>
      <c r="S53" s="1109"/>
      <c r="T53" s="1109">
        <v>102</v>
      </c>
      <c r="U53" s="1109"/>
      <c r="V53" s="1127"/>
      <c r="W53" s="1109">
        <f t="shared" si="10"/>
        <v>6036</v>
      </c>
      <c r="X53" s="1128"/>
      <c r="Y53" s="768">
        <v>2006</v>
      </c>
      <c r="Z53" s="348" t="s">
        <v>39</v>
      </c>
    </row>
    <row r="54" spans="2:26" s="1084" customFormat="1" ht="12.75" hidden="1" customHeight="1">
      <c r="B54" s="347">
        <v>2006</v>
      </c>
      <c r="C54" s="369" t="s">
        <v>32</v>
      </c>
      <c r="D54" s="1110">
        <v>4413</v>
      </c>
      <c r="E54" s="1109"/>
      <c r="F54" s="1109">
        <v>925</v>
      </c>
      <c r="G54" s="1109"/>
      <c r="H54" s="1109">
        <v>983</v>
      </c>
      <c r="I54" s="1109"/>
      <c r="J54" s="1109">
        <v>178</v>
      </c>
      <c r="K54" s="1109"/>
      <c r="L54" s="1109">
        <v>340</v>
      </c>
      <c r="M54" s="1109"/>
      <c r="N54" s="1109">
        <v>170</v>
      </c>
      <c r="O54" s="1109"/>
      <c r="P54" s="1109">
        <v>63</v>
      </c>
      <c r="Q54" s="1109"/>
      <c r="R54" s="1016" t="s">
        <v>43</v>
      </c>
      <c r="S54" s="1109"/>
      <c r="T54" s="1109">
        <v>139</v>
      </c>
      <c r="U54" s="1109"/>
      <c r="V54" s="1127"/>
      <c r="W54" s="1109">
        <f t="shared" si="10"/>
        <v>7211</v>
      </c>
      <c r="X54" s="1128"/>
      <c r="Y54" s="768">
        <v>2006</v>
      </c>
      <c r="Z54" s="348" t="s">
        <v>83</v>
      </c>
    </row>
    <row r="55" spans="2:26" s="1084" customFormat="1" ht="12.75" hidden="1" customHeight="1">
      <c r="B55" s="347">
        <v>2007</v>
      </c>
      <c r="C55" s="369" t="s">
        <v>33</v>
      </c>
      <c r="D55" s="1110">
        <v>4015.6342161775233</v>
      </c>
      <c r="E55" s="1109"/>
      <c r="F55" s="1109">
        <v>708.75103793843948</v>
      </c>
      <c r="G55" s="1109"/>
      <c r="H55" s="1109">
        <v>974.1176807444524</v>
      </c>
      <c r="I55" s="1109"/>
      <c r="J55" s="1109">
        <v>150.66213314244811</v>
      </c>
      <c r="K55" s="1109"/>
      <c r="L55" s="1109">
        <v>370.72111667859701</v>
      </c>
      <c r="M55" s="1109"/>
      <c r="N55" s="1109">
        <v>98.050680028632783</v>
      </c>
      <c r="O55" s="1109"/>
      <c r="P55" s="1109">
        <v>68.03163922691482</v>
      </c>
      <c r="Q55" s="1109"/>
      <c r="R55" s="1016" t="s">
        <v>43</v>
      </c>
      <c r="S55" s="1109"/>
      <c r="T55" s="1109">
        <v>93.031496062992119</v>
      </c>
      <c r="U55" s="1109"/>
      <c r="V55" s="1127"/>
      <c r="W55" s="1109">
        <f t="shared" si="10"/>
        <v>6479.0000000000018</v>
      </c>
      <c r="X55" s="1128"/>
      <c r="Y55" s="768">
        <v>2007</v>
      </c>
      <c r="Z55" s="348" t="s">
        <v>33</v>
      </c>
    </row>
    <row r="56" spans="2:26" s="369" customFormat="1" ht="12.75" hidden="1" customHeight="1">
      <c r="B56" s="347">
        <v>2007</v>
      </c>
      <c r="C56" s="369" t="s">
        <v>34</v>
      </c>
      <c r="D56" s="1110">
        <v>2604.3595559845562</v>
      </c>
      <c r="E56" s="1109"/>
      <c r="F56" s="1109">
        <v>298.34169884169881</v>
      </c>
      <c r="G56" s="1109"/>
      <c r="H56" s="1109">
        <v>591.574806949807</v>
      </c>
      <c r="I56" s="1109"/>
      <c r="J56" s="1109">
        <v>167.56177606177607</v>
      </c>
      <c r="K56" s="1109"/>
      <c r="L56" s="1109">
        <v>290.16795366795367</v>
      </c>
      <c r="M56" s="1109"/>
      <c r="N56" s="1109">
        <v>123.62789575289575</v>
      </c>
      <c r="O56" s="1109"/>
      <c r="P56" s="1109">
        <v>46.999034749034749</v>
      </c>
      <c r="Q56" s="1109"/>
      <c r="R56" s="1016" t="s">
        <v>43</v>
      </c>
      <c r="S56" s="1109"/>
      <c r="T56" s="1109">
        <v>111.36727799227799</v>
      </c>
      <c r="U56" s="1109"/>
      <c r="V56" s="1127"/>
      <c r="W56" s="1109">
        <f t="shared" si="10"/>
        <v>4234</v>
      </c>
      <c r="X56" s="1128"/>
      <c r="Y56" s="768">
        <v>2007</v>
      </c>
      <c r="Z56" s="348" t="s">
        <v>77</v>
      </c>
    </row>
    <row r="57" spans="2:26" s="369" customFormat="1" ht="12.75" hidden="1" customHeight="1">
      <c r="B57" s="347">
        <v>2007</v>
      </c>
      <c r="C57" s="369" t="s">
        <v>29</v>
      </c>
      <c r="D57" s="1110">
        <v>3618.321309167693</v>
      </c>
      <c r="E57" s="1109"/>
      <c r="F57" s="1114">
        <v>570.40577159950726</v>
      </c>
      <c r="G57" s="1109"/>
      <c r="H57" s="1109">
        <v>422.22206581031145</v>
      </c>
      <c r="I57" s="1109"/>
      <c r="J57" s="1109">
        <v>368.4293506950554</v>
      </c>
      <c r="K57" s="1109"/>
      <c r="L57" s="1109">
        <v>280.12810135491816</v>
      </c>
      <c r="M57" s="1109"/>
      <c r="N57" s="1109">
        <v>175.58754179130742</v>
      </c>
      <c r="O57" s="1109"/>
      <c r="P57" s="1109">
        <v>69.017068449762448</v>
      </c>
      <c r="Q57" s="1109"/>
      <c r="R57" s="1016" t="s">
        <v>43</v>
      </c>
      <c r="S57" s="1109"/>
      <c r="T57" s="1109">
        <v>263.88879113144463</v>
      </c>
      <c r="U57" s="1109"/>
      <c r="V57" s="1127"/>
      <c r="W57" s="1109">
        <f t="shared" si="10"/>
        <v>5768</v>
      </c>
      <c r="X57" s="1128"/>
      <c r="Y57" s="768">
        <v>2007</v>
      </c>
      <c r="Z57" s="348" t="s">
        <v>29</v>
      </c>
    </row>
    <row r="58" spans="2:26" s="369" customFormat="1" ht="12.75" hidden="1" customHeight="1">
      <c r="B58" s="347">
        <v>2007</v>
      </c>
      <c r="C58" s="369" t="s">
        <v>35</v>
      </c>
      <c r="D58" s="1110">
        <v>3876.04136488009</v>
      </c>
      <c r="E58" s="1109"/>
      <c r="F58" s="1114">
        <v>911.71012393368744</v>
      </c>
      <c r="G58" s="1109"/>
      <c r="H58" s="1109">
        <v>615.27699983904711</v>
      </c>
      <c r="I58" s="1109"/>
      <c r="J58" s="1109">
        <v>168.08063737324963</v>
      </c>
      <c r="K58" s="1109"/>
      <c r="L58" s="1109">
        <v>287.26508932882666</v>
      </c>
      <c r="M58" s="1109"/>
      <c r="N58" s="1109">
        <v>258.74231450185096</v>
      </c>
      <c r="O58" s="1109"/>
      <c r="P58" s="1109">
        <v>79.456301303718007</v>
      </c>
      <c r="Q58" s="1109"/>
      <c r="R58" s="1016" t="s">
        <v>43</v>
      </c>
      <c r="S58" s="1109"/>
      <c r="T58" s="1109">
        <v>132.42716883953003</v>
      </c>
      <c r="U58" s="1109"/>
      <c r="V58" s="1127"/>
      <c r="W58" s="1109">
        <f t="shared" si="10"/>
        <v>6328.9999999999991</v>
      </c>
      <c r="X58" s="1128"/>
      <c r="Y58" s="768">
        <v>2007</v>
      </c>
      <c r="Z58" s="348" t="s">
        <v>78</v>
      </c>
    </row>
    <row r="59" spans="2:26" s="369" customFormat="1" ht="12.75" hidden="1" customHeight="1">
      <c r="B59" s="347">
        <v>2007</v>
      </c>
      <c r="C59" s="369" t="s">
        <v>4</v>
      </c>
      <c r="D59" s="1110">
        <v>3305.0074873759359</v>
      </c>
      <c r="E59" s="1109"/>
      <c r="F59" s="1114">
        <v>949.08340588542569</v>
      </c>
      <c r="G59" s="1109"/>
      <c r="H59" s="1109">
        <v>764.96325962040748</v>
      </c>
      <c r="I59" s="1109"/>
      <c r="J59" s="1109">
        <v>219.72348946543619</v>
      </c>
      <c r="K59" s="1109"/>
      <c r="L59" s="1109">
        <v>217.68901271112659</v>
      </c>
      <c r="M59" s="1109"/>
      <c r="N59" s="1109">
        <v>267.53369319171168</v>
      </c>
      <c r="O59" s="1109"/>
      <c r="P59" s="1109">
        <v>32.551628068953505</v>
      </c>
      <c r="Q59" s="1109"/>
      <c r="R59" s="1016" t="s">
        <v>43</v>
      </c>
      <c r="S59" s="1109"/>
      <c r="T59" s="1109">
        <v>85.448023681002965</v>
      </c>
      <c r="U59" s="1109"/>
      <c r="V59" s="1127"/>
      <c r="W59" s="1109">
        <f t="shared" si="10"/>
        <v>5842.0000000000009</v>
      </c>
      <c r="X59" s="1128"/>
      <c r="Y59" s="768">
        <v>2007</v>
      </c>
      <c r="Z59" s="348" t="s">
        <v>79</v>
      </c>
    </row>
    <row r="60" spans="2:26" s="369" customFormat="1" ht="12.75" hidden="1" customHeight="1">
      <c r="B60" s="347">
        <v>2007</v>
      </c>
      <c r="C60" s="369" t="s">
        <v>68</v>
      </c>
      <c r="D60" s="1110">
        <v>3985.8338143703477</v>
      </c>
      <c r="E60" s="1109"/>
      <c r="F60" s="1111">
        <v>1267.1201579826827</v>
      </c>
      <c r="G60" s="1109"/>
      <c r="H60" s="1109">
        <v>563.50053167248973</v>
      </c>
      <c r="I60" s="1109"/>
      <c r="J60" s="1109">
        <v>153.22375816497038</v>
      </c>
      <c r="K60" s="1109"/>
      <c r="L60" s="1109">
        <v>190.52164666565395</v>
      </c>
      <c r="M60" s="1109"/>
      <c r="N60" s="1109">
        <v>275.19793407261125</v>
      </c>
      <c r="O60" s="1109"/>
      <c r="P60" s="1109">
        <v>48.386449946832748</v>
      </c>
      <c r="Q60" s="1109"/>
      <c r="R60" s="1016" t="s">
        <v>43</v>
      </c>
      <c r="S60" s="1109"/>
      <c r="T60" s="1109">
        <v>152.21570712441135</v>
      </c>
      <c r="U60" s="1109"/>
      <c r="V60" s="1127"/>
      <c r="W60" s="1109">
        <f t="shared" si="10"/>
        <v>6636</v>
      </c>
      <c r="X60" s="1128"/>
      <c r="Y60" s="768">
        <v>2007</v>
      </c>
      <c r="Z60" s="348" t="s">
        <v>80</v>
      </c>
    </row>
    <row r="61" spans="2:26" s="369" customFormat="1" ht="12.75" hidden="1" customHeight="1">
      <c r="B61" s="347">
        <v>2007</v>
      </c>
      <c r="C61" s="369" t="s">
        <v>131</v>
      </c>
      <c r="D61" s="1110">
        <v>4361.0975478016635</v>
      </c>
      <c r="E61" s="1109"/>
      <c r="F61" s="1111">
        <v>2717.1446472939397</v>
      </c>
      <c r="G61" s="1109"/>
      <c r="H61" s="1109">
        <v>763.69450145835583</v>
      </c>
      <c r="I61" s="1109"/>
      <c r="J61" s="1109">
        <v>356.72572107594254</v>
      </c>
      <c r="K61" s="1109"/>
      <c r="L61" s="1109">
        <v>404.95905801015448</v>
      </c>
      <c r="M61" s="1109"/>
      <c r="N61" s="1109">
        <v>408.97850275467215</v>
      </c>
      <c r="O61" s="1109"/>
      <c r="P61" s="1109">
        <v>108.52500810197688</v>
      </c>
      <c r="Q61" s="1109"/>
      <c r="R61" s="1016" t="s">
        <v>43</v>
      </c>
      <c r="S61" s="1109"/>
      <c r="T61" s="1109">
        <v>180.87501350329481</v>
      </c>
      <c r="U61" s="1109"/>
      <c r="V61" s="1127"/>
      <c r="W61" s="1109">
        <f t="shared" si="10"/>
        <v>9301.9999999999982</v>
      </c>
      <c r="X61" s="1128"/>
      <c r="Y61" s="768">
        <v>2007</v>
      </c>
      <c r="Z61" s="348" t="s">
        <v>81</v>
      </c>
    </row>
    <row r="62" spans="2:26" s="369" customFormat="1" ht="12.75" hidden="1" customHeight="1">
      <c r="B62" s="347">
        <v>2007</v>
      </c>
      <c r="C62" s="369" t="s">
        <v>37</v>
      </c>
      <c r="D62" s="1110">
        <v>3784.5273069679852</v>
      </c>
      <c r="E62" s="1109"/>
      <c r="F62" s="1111">
        <v>1471.9884108358685</v>
      </c>
      <c r="G62" s="1109"/>
      <c r="H62" s="1109">
        <v>660.139649427785</v>
      </c>
      <c r="I62" s="1109"/>
      <c r="J62" s="1109">
        <v>202.96219035202085</v>
      </c>
      <c r="K62" s="1109"/>
      <c r="L62" s="1109">
        <v>465.37795161523974</v>
      </c>
      <c r="M62" s="1109"/>
      <c r="N62" s="1109">
        <v>264.46588439808778</v>
      </c>
      <c r="O62" s="1109"/>
      <c r="P62" s="1109">
        <v>68.679125018108067</v>
      </c>
      <c r="Q62" s="1109"/>
      <c r="R62" s="1016" t="s">
        <v>43</v>
      </c>
      <c r="S62" s="1109"/>
      <c r="T62" s="1109">
        <v>157.85948138490511</v>
      </c>
      <c r="U62" s="1109"/>
      <c r="V62" s="1127"/>
      <c r="W62" s="1109">
        <f t="shared" si="10"/>
        <v>7076</v>
      </c>
      <c r="X62" s="1128"/>
      <c r="Y62" s="768">
        <v>2007</v>
      </c>
      <c r="Z62" s="348" t="s">
        <v>82</v>
      </c>
    </row>
    <row r="63" spans="2:26" s="369" customFormat="1" ht="12.75" hidden="1" customHeight="1">
      <c r="B63" s="347">
        <v>2007</v>
      </c>
      <c r="C63" s="369" t="s">
        <v>31</v>
      </c>
      <c r="D63" s="1018" t="s">
        <v>391</v>
      </c>
      <c r="E63" s="1109"/>
      <c r="F63" s="1107" t="s">
        <v>391</v>
      </c>
      <c r="G63" s="1109"/>
      <c r="H63" s="1016" t="s">
        <v>391</v>
      </c>
      <c r="I63" s="1109"/>
      <c r="J63" s="1016" t="s">
        <v>391</v>
      </c>
      <c r="K63" s="1109"/>
      <c r="L63" s="1016" t="s">
        <v>391</v>
      </c>
      <c r="M63" s="1109"/>
      <c r="N63" s="1016" t="s">
        <v>391</v>
      </c>
      <c r="O63" s="1109"/>
      <c r="P63" s="1016" t="s">
        <v>391</v>
      </c>
      <c r="Q63" s="1109"/>
      <c r="R63" s="1016" t="s">
        <v>391</v>
      </c>
      <c r="S63" s="1109"/>
      <c r="T63" s="1016" t="s">
        <v>391</v>
      </c>
      <c r="U63" s="1109"/>
      <c r="V63" s="1127"/>
      <c r="W63" s="1016" t="s">
        <v>391</v>
      </c>
      <c r="X63" s="1128"/>
      <c r="Y63" s="768">
        <v>2007</v>
      </c>
      <c r="Z63" s="348" t="s">
        <v>31</v>
      </c>
    </row>
    <row r="64" spans="2:26" s="369" customFormat="1" ht="12.75" hidden="1" customHeight="1">
      <c r="B64" s="347">
        <v>2007</v>
      </c>
      <c r="C64" s="369" t="s">
        <v>38</v>
      </c>
      <c r="D64" s="1110">
        <v>4175.4528301886794</v>
      </c>
      <c r="E64" s="1109"/>
      <c r="F64" s="1111">
        <v>1273.2641509433963</v>
      </c>
      <c r="G64" s="1109"/>
      <c r="H64" s="1109">
        <v>472.52021563342316</v>
      </c>
      <c r="I64" s="1109"/>
      <c r="J64" s="1109">
        <v>202.21832884097034</v>
      </c>
      <c r="K64" s="1109"/>
      <c r="L64" s="1109">
        <v>278.43126684636121</v>
      </c>
      <c r="M64" s="1109"/>
      <c r="N64" s="1109">
        <v>195.10512129380055</v>
      </c>
      <c r="O64" s="1109"/>
      <c r="P64" s="1109">
        <v>58.938005390835578</v>
      </c>
      <c r="Q64" s="1109"/>
      <c r="R64" s="1016" t="s">
        <v>43</v>
      </c>
      <c r="S64" s="1109"/>
      <c r="T64" s="1109">
        <v>130.0700808625337</v>
      </c>
      <c r="U64" s="1109"/>
      <c r="V64" s="1127"/>
      <c r="W64" s="1109">
        <f t="shared" si="10"/>
        <v>6786</v>
      </c>
      <c r="X64" s="1128"/>
      <c r="Y64" s="768">
        <v>2007</v>
      </c>
      <c r="Z64" s="348" t="s">
        <v>38</v>
      </c>
    </row>
    <row r="65" spans="2:30" s="369" customFormat="1" ht="12.75" hidden="1" customHeight="1">
      <c r="B65" s="347">
        <v>2007</v>
      </c>
      <c r="C65" s="369" t="s">
        <v>39</v>
      </c>
      <c r="D65" s="1110">
        <v>4175.4528301886794</v>
      </c>
      <c r="E65" s="1109"/>
      <c r="F65" s="1111">
        <v>1273.2641509433963</v>
      </c>
      <c r="G65" s="1109"/>
      <c r="H65" s="1109">
        <v>472.52021563342316</v>
      </c>
      <c r="I65" s="1109"/>
      <c r="J65" s="1109">
        <v>202.21832884097034</v>
      </c>
      <c r="K65" s="1109"/>
      <c r="L65" s="1109">
        <v>278.43126684636121</v>
      </c>
      <c r="M65" s="1109"/>
      <c r="N65" s="1109">
        <v>195.10512129380055</v>
      </c>
      <c r="O65" s="1109"/>
      <c r="P65" s="1109">
        <v>58.938005390835578</v>
      </c>
      <c r="Q65" s="1109"/>
      <c r="R65" s="1016" t="s">
        <v>43</v>
      </c>
      <c r="S65" s="1109"/>
      <c r="T65" s="1109">
        <v>130.0700808625337</v>
      </c>
      <c r="U65" s="1109"/>
      <c r="V65" s="1127"/>
      <c r="W65" s="1109">
        <f t="shared" si="10"/>
        <v>6786</v>
      </c>
      <c r="X65" s="1128"/>
      <c r="Y65" s="768">
        <v>2007</v>
      </c>
      <c r="Z65" s="348" t="s">
        <v>39</v>
      </c>
    </row>
    <row r="66" spans="2:30" s="369" customFormat="1" ht="12.75" hidden="1" customHeight="1">
      <c r="B66" s="347">
        <v>2007</v>
      </c>
      <c r="C66" s="369" t="s">
        <v>32</v>
      </c>
      <c r="D66" s="1110">
        <v>4050.0550664079988</v>
      </c>
      <c r="E66" s="1109"/>
      <c r="F66" s="1114">
        <v>997.3939710490971</v>
      </c>
      <c r="G66" s="1109"/>
      <c r="H66" s="1109">
        <v>839.53305476794503</v>
      </c>
      <c r="I66" s="1109"/>
      <c r="J66" s="1109">
        <v>246.01701238621101</v>
      </c>
      <c r="K66" s="1109"/>
      <c r="L66" s="1109">
        <v>395.6773615878227</v>
      </c>
      <c r="M66" s="1109"/>
      <c r="N66" s="1109">
        <v>159.91105805103714</v>
      </c>
      <c r="O66" s="1109"/>
      <c r="P66" s="1109">
        <v>35.877480972989105</v>
      </c>
      <c r="Q66" s="1109"/>
      <c r="R66" s="1016" t="s">
        <v>43</v>
      </c>
      <c r="S66" s="1109"/>
      <c r="T66" s="1109">
        <v>144.53499477689897</v>
      </c>
      <c r="U66" s="1109"/>
      <c r="V66" s="1127"/>
      <c r="W66" s="1109">
        <f t="shared" si="10"/>
        <v>6869</v>
      </c>
      <c r="X66" s="1128"/>
      <c r="Y66" s="768">
        <v>2007</v>
      </c>
      <c r="Z66" s="348" t="s">
        <v>32</v>
      </c>
    </row>
    <row r="67" spans="2:30" s="12" customFormat="1" ht="12.75" hidden="1" customHeight="1">
      <c r="B67" s="68">
        <v>2008</v>
      </c>
      <c r="C67" s="12" t="s">
        <v>33</v>
      </c>
      <c r="D67" s="74">
        <v>3955.1626383907687</v>
      </c>
      <c r="E67" s="75"/>
      <c r="F67" s="88">
        <v>714.65273662872289</v>
      </c>
      <c r="G67" s="75"/>
      <c r="H67" s="75">
        <v>945.02073912365506</v>
      </c>
      <c r="I67" s="75"/>
      <c r="J67" s="75">
        <v>249.82130048339312</v>
      </c>
      <c r="K67" s="75"/>
      <c r="L67" s="75">
        <v>294.87104319351317</v>
      </c>
      <c r="M67" s="75"/>
      <c r="N67" s="75">
        <v>229.3441447060658</v>
      </c>
      <c r="O67" s="75"/>
      <c r="P67" s="75">
        <v>51.192889443318258</v>
      </c>
      <c r="Q67" s="75"/>
      <c r="R67" s="1016" t="s">
        <v>43</v>
      </c>
      <c r="S67" s="75"/>
      <c r="T67" s="75">
        <v>125.93450803056292</v>
      </c>
      <c r="U67" s="75"/>
      <c r="V67" s="91"/>
      <c r="W67" s="75">
        <f t="shared" si="10"/>
        <v>6566.0000000000009</v>
      </c>
      <c r="X67" s="686"/>
      <c r="Y67" s="76">
        <v>2008</v>
      </c>
      <c r="Z67" s="71" t="s">
        <v>33</v>
      </c>
      <c r="AA67" s="138"/>
    </row>
    <row r="68" spans="2:30" s="12" customFormat="1" ht="12.75" hidden="1" customHeight="1">
      <c r="B68" s="68">
        <v>2008</v>
      </c>
      <c r="C68" s="12" t="s">
        <v>34</v>
      </c>
      <c r="D68" s="74">
        <v>2541.5309810671256</v>
      </c>
      <c r="E68" s="75"/>
      <c r="F68" s="88">
        <v>551.9225473321859</v>
      </c>
      <c r="G68" s="75"/>
      <c r="H68" s="75">
        <v>824.7831325301205</v>
      </c>
      <c r="I68" s="75"/>
      <c r="J68" s="75">
        <v>251.15576592082616</v>
      </c>
      <c r="K68" s="75"/>
      <c r="L68" s="75">
        <v>283.19621342512909</v>
      </c>
      <c r="M68" s="75"/>
      <c r="N68" s="75">
        <v>152.96729776247849</v>
      </c>
      <c r="O68" s="75"/>
      <c r="P68" s="75">
        <v>44.443201376936315</v>
      </c>
      <c r="Q68" s="75"/>
      <c r="R68" s="1016" t="s">
        <v>43</v>
      </c>
      <c r="S68" s="75"/>
      <c r="T68" s="75">
        <v>154.00086058519793</v>
      </c>
      <c r="U68" s="75"/>
      <c r="V68" s="91"/>
      <c r="W68" s="75">
        <f t="shared" si="10"/>
        <v>4804</v>
      </c>
      <c r="X68" s="686"/>
      <c r="Y68" s="76">
        <v>2008</v>
      </c>
      <c r="Z68" s="71" t="s">
        <v>77</v>
      </c>
    </row>
    <row r="69" spans="2:30" s="12" customFormat="1" ht="12.75" hidden="1" customHeight="1">
      <c r="B69" s="68">
        <v>2008</v>
      </c>
      <c r="C69" s="12" t="s">
        <v>29</v>
      </c>
      <c r="D69" s="74">
        <v>3876.7578176979373</v>
      </c>
      <c r="E69" s="75"/>
      <c r="F69" s="88">
        <v>776.16966067864269</v>
      </c>
      <c r="G69" s="75"/>
      <c r="H69" s="75">
        <v>514.37857618097144</v>
      </c>
      <c r="I69" s="75"/>
      <c r="J69" s="75">
        <v>262.81370592149034</v>
      </c>
      <c r="K69" s="75"/>
      <c r="L69" s="75">
        <v>317.01264138389888</v>
      </c>
      <c r="M69" s="75"/>
      <c r="N69" s="75">
        <v>178.95874916833</v>
      </c>
      <c r="O69" s="75"/>
      <c r="P69" s="75">
        <v>53.176314038589489</v>
      </c>
      <c r="Q69" s="75"/>
      <c r="R69" s="1016" t="s">
        <v>43</v>
      </c>
      <c r="S69" s="75"/>
      <c r="T69" s="75">
        <v>168.73253493013971</v>
      </c>
      <c r="U69" s="75"/>
      <c r="V69" s="91"/>
      <c r="W69" s="75">
        <f t="shared" si="10"/>
        <v>6147.9999999999991</v>
      </c>
      <c r="X69" s="686"/>
      <c r="Y69" s="76">
        <v>2008</v>
      </c>
      <c r="Z69" s="71" t="s">
        <v>29</v>
      </c>
    </row>
    <row r="70" spans="2:30" s="12" customFormat="1" ht="12.75" hidden="1" customHeight="1">
      <c r="B70" s="68">
        <v>2008</v>
      </c>
      <c r="C70" s="12" t="s">
        <v>35</v>
      </c>
      <c r="D70" s="74">
        <v>3502.4390735146021</v>
      </c>
      <c r="E70" s="75"/>
      <c r="F70" s="88">
        <v>1049.3850285330648</v>
      </c>
      <c r="G70" s="75"/>
      <c r="H70" s="75">
        <v>580.11413225914737</v>
      </c>
      <c r="I70" s="75"/>
      <c r="J70" s="75">
        <v>295.23665659617319</v>
      </c>
      <c r="K70" s="75"/>
      <c r="L70" s="75">
        <v>297.308492782813</v>
      </c>
      <c r="M70" s="75"/>
      <c r="N70" s="75">
        <v>206.1477005706613</v>
      </c>
      <c r="O70" s="75"/>
      <c r="P70" s="75">
        <v>75.622020812353142</v>
      </c>
      <c r="Q70" s="75"/>
      <c r="R70" s="1016" t="s">
        <v>43</v>
      </c>
      <c r="S70" s="75"/>
      <c r="T70" s="75">
        <v>165.74689493118495</v>
      </c>
      <c r="U70" s="75"/>
      <c r="V70" s="91"/>
      <c r="W70" s="75">
        <f t="shared" si="10"/>
        <v>6172</v>
      </c>
      <c r="X70" s="686"/>
      <c r="Y70" s="76">
        <v>2008</v>
      </c>
      <c r="Z70" s="71" t="s">
        <v>78</v>
      </c>
    </row>
    <row r="71" spans="2:30" s="12" customFormat="1" ht="12.75" hidden="1" customHeight="1">
      <c r="B71" s="68">
        <v>2008</v>
      </c>
      <c r="C71" s="12" t="s">
        <v>4</v>
      </c>
      <c r="D71" s="74">
        <v>3543.4507377439313</v>
      </c>
      <c r="E71" s="75"/>
      <c r="F71" s="88">
        <v>810.81580199904806</v>
      </c>
      <c r="G71" s="75"/>
      <c r="H71" s="75">
        <v>922.22560685387907</v>
      </c>
      <c r="I71" s="75"/>
      <c r="J71" s="75">
        <v>475.55481516738064</v>
      </c>
      <c r="K71" s="75"/>
      <c r="L71" s="75">
        <v>296.0612406790417</v>
      </c>
      <c r="M71" s="75"/>
      <c r="N71" s="75">
        <v>226.94589877835952</v>
      </c>
      <c r="O71" s="75"/>
      <c r="P71" s="75">
        <v>34.041884816753928</v>
      </c>
      <c r="Q71" s="75"/>
      <c r="R71" s="1016" t="s">
        <v>43</v>
      </c>
      <c r="S71" s="75"/>
      <c r="T71" s="75">
        <v>192.90401396160559</v>
      </c>
      <c r="U71" s="75"/>
      <c r="V71" s="91"/>
      <c r="W71" s="75">
        <f t="shared" si="10"/>
        <v>6501.9999999999991</v>
      </c>
      <c r="X71" s="686"/>
      <c r="Y71" s="76">
        <v>2008</v>
      </c>
      <c r="Z71" s="71" t="s">
        <v>79</v>
      </c>
    </row>
    <row r="72" spans="2:30" s="12" customFormat="1" ht="12.75" hidden="1" customHeight="1">
      <c r="B72" s="68">
        <v>2008</v>
      </c>
      <c r="C72" s="12" t="s">
        <v>30</v>
      </c>
      <c r="D72" s="74">
        <v>4578.6757346336453</v>
      </c>
      <c r="E72" s="75"/>
      <c r="F72" s="88">
        <v>1585.5229051713077</v>
      </c>
      <c r="G72" s="75"/>
      <c r="H72" s="75">
        <v>689.8524316694469</v>
      </c>
      <c r="I72" s="75"/>
      <c r="J72" s="75">
        <v>339.2377774926216</v>
      </c>
      <c r="K72" s="75"/>
      <c r="L72" s="75">
        <v>364.06005389452071</v>
      </c>
      <c r="M72" s="75"/>
      <c r="N72" s="75">
        <v>237.88014885153342</v>
      </c>
      <c r="O72" s="75"/>
      <c r="P72" s="75">
        <v>62.05569100474785</v>
      </c>
      <c r="Q72" s="75"/>
      <c r="R72" s="1016" t="s">
        <v>43</v>
      </c>
      <c r="S72" s="75"/>
      <c r="T72" s="75">
        <v>202.71525728217631</v>
      </c>
      <c r="U72" s="75"/>
      <c r="V72" s="91"/>
      <c r="W72" s="75">
        <f t="shared" si="10"/>
        <v>8060</v>
      </c>
      <c r="X72" s="686"/>
      <c r="Y72" s="76">
        <v>2008</v>
      </c>
      <c r="Z72" s="71" t="s">
        <v>80</v>
      </c>
    </row>
    <row r="73" spans="2:30" s="12" customFormat="1" ht="12.75" hidden="1" customHeight="1">
      <c r="B73" s="68">
        <v>2008</v>
      </c>
      <c r="C73" s="12" t="s">
        <v>36</v>
      </c>
      <c r="D73" s="74">
        <v>5250.3473105529802</v>
      </c>
      <c r="E73" s="75"/>
      <c r="F73" s="88">
        <v>1887.6150695267868</v>
      </c>
      <c r="G73" s="75"/>
      <c r="H73" s="75">
        <v>809.56570011857286</v>
      </c>
      <c r="I73" s="75"/>
      <c r="J73" s="75">
        <v>265.39765010240382</v>
      </c>
      <c r="K73" s="75"/>
      <c r="L73" s="75">
        <v>718.01379756386768</v>
      </c>
      <c r="M73" s="75"/>
      <c r="N73" s="75">
        <v>375.4656677805325</v>
      </c>
      <c r="O73" s="75"/>
      <c r="P73" s="75">
        <v>32.917537997197371</v>
      </c>
      <c r="Q73" s="75"/>
      <c r="R73" s="1016" t="s">
        <v>43</v>
      </c>
      <c r="S73" s="75"/>
      <c r="T73" s="75">
        <v>203.67726635765874</v>
      </c>
      <c r="U73" s="75"/>
      <c r="V73" s="91"/>
      <c r="W73" s="75">
        <f t="shared" si="10"/>
        <v>9543</v>
      </c>
      <c r="X73" s="686"/>
      <c r="Y73" s="76">
        <v>2008</v>
      </c>
      <c r="Z73" s="71" t="s">
        <v>81</v>
      </c>
    </row>
    <row r="74" spans="2:30" s="12" customFormat="1" ht="12.75" hidden="1" customHeight="1">
      <c r="B74" s="68">
        <v>2008</v>
      </c>
      <c r="C74" s="12" t="s">
        <v>37</v>
      </c>
      <c r="D74" s="74">
        <v>4635.1691228070176</v>
      </c>
      <c r="E74" s="75"/>
      <c r="F74" s="88">
        <v>1876.0908771929824</v>
      </c>
      <c r="G74" s="75"/>
      <c r="H74" s="75">
        <v>814.03614035087719</v>
      </c>
      <c r="I74" s="75"/>
      <c r="J74" s="75">
        <v>378.71719298245614</v>
      </c>
      <c r="K74" s="75"/>
      <c r="L74" s="75">
        <v>566.01754385964909</v>
      </c>
      <c r="M74" s="75"/>
      <c r="N74" s="75">
        <v>315.94070175438594</v>
      </c>
      <c r="O74" s="75"/>
      <c r="P74" s="75">
        <v>57.630877192982453</v>
      </c>
      <c r="Q74" s="75"/>
      <c r="R74" s="1016" t="s">
        <v>43</v>
      </c>
      <c r="S74" s="75"/>
      <c r="T74" s="75">
        <v>155.39754385964912</v>
      </c>
      <c r="U74" s="75"/>
      <c r="V74" s="91"/>
      <c r="W74" s="75">
        <f t="shared" si="10"/>
        <v>8799</v>
      </c>
      <c r="X74" s="686"/>
      <c r="Y74" s="76">
        <v>2008</v>
      </c>
      <c r="Z74" s="71" t="s">
        <v>82</v>
      </c>
    </row>
    <row r="75" spans="2:30" s="12" customFormat="1" ht="12.75" hidden="1" customHeight="1">
      <c r="B75" s="68">
        <v>2008</v>
      </c>
      <c r="C75" s="12" t="s">
        <v>31</v>
      </c>
      <c r="D75" s="74">
        <v>5677.512400354296</v>
      </c>
      <c r="E75" s="75"/>
      <c r="F75" s="90">
        <v>1472.8231842338353</v>
      </c>
      <c r="G75" s="75"/>
      <c r="H75" s="75">
        <v>1014.428808680248</v>
      </c>
      <c r="I75" s="75"/>
      <c r="J75" s="75">
        <v>294.97575287865368</v>
      </c>
      <c r="K75" s="75"/>
      <c r="L75" s="75">
        <v>459.42216563330379</v>
      </c>
      <c r="M75" s="75"/>
      <c r="N75" s="75">
        <v>191.16895482728077</v>
      </c>
      <c r="O75" s="75"/>
      <c r="P75" s="75">
        <v>54.472874224977858</v>
      </c>
      <c r="Q75" s="75"/>
      <c r="R75" s="1016" t="s">
        <v>43</v>
      </c>
      <c r="S75" s="75"/>
      <c r="T75" s="75">
        <v>118.19585916740478</v>
      </c>
      <c r="U75" s="75"/>
      <c r="V75" s="82"/>
      <c r="W75" s="75">
        <f t="shared" si="10"/>
        <v>9282.9999999999982</v>
      </c>
      <c r="X75" s="686"/>
      <c r="Y75" s="76">
        <v>2008</v>
      </c>
      <c r="Z75" s="71" t="s">
        <v>31</v>
      </c>
    </row>
    <row r="76" spans="2:30" s="12" customFormat="1" ht="12.75" hidden="1" customHeight="1">
      <c r="B76" s="68">
        <v>2008</v>
      </c>
      <c r="C76" s="12" t="s">
        <v>38</v>
      </c>
      <c r="D76" s="74">
        <v>5153.9370460048431</v>
      </c>
      <c r="E76" s="75"/>
      <c r="F76" s="88">
        <v>1393.4794188861986</v>
      </c>
      <c r="G76" s="75"/>
      <c r="H76" s="75">
        <v>746.179176755448</v>
      </c>
      <c r="I76" s="75"/>
      <c r="J76" s="75">
        <v>325.17917675544794</v>
      </c>
      <c r="K76" s="75"/>
      <c r="L76" s="75">
        <v>390.41888619854723</v>
      </c>
      <c r="M76" s="75"/>
      <c r="N76" s="75">
        <v>192.66101694915255</v>
      </c>
      <c r="O76" s="75"/>
      <c r="P76" s="75">
        <v>25.484261501210653</v>
      </c>
      <c r="Q76" s="75"/>
      <c r="R76" s="1016" t="s">
        <v>43</v>
      </c>
      <c r="S76" s="75"/>
      <c r="T76" s="75">
        <v>192.66101694915255</v>
      </c>
      <c r="U76" s="75"/>
      <c r="V76" s="91"/>
      <c r="W76" s="75">
        <f t="shared" si="10"/>
        <v>8420.0000000000018</v>
      </c>
      <c r="X76" s="686"/>
      <c r="Y76" s="76">
        <v>2008</v>
      </c>
      <c r="Z76" s="71" t="s">
        <v>49</v>
      </c>
    </row>
    <row r="77" spans="2:30" s="12" customFormat="1" ht="12.75" hidden="1" customHeight="1">
      <c r="B77" s="68">
        <v>2008</v>
      </c>
      <c r="C77" s="12" t="s">
        <v>39</v>
      </c>
      <c r="D77" s="74">
        <v>4913.9287276469831</v>
      </c>
      <c r="E77" s="75"/>
      <c r="F77" s="88">
        <v>1091.4169561301942</v>
      </c>
      <c r="G77" s="75"/>
      <c r="H77" s="75">
        <v>714.6790171105107</v>
      </c>
      <c r="I77" s="75"/>
      <c r="J77" s="75">
        <v>312.41682747973755</v>
      </c>
      <c r="K77" s="75"/>
      <c r="L77" s="75">
        <v>537.03023285732661</v>
      </c>
      <c r="M77" s="75"/>
      <c r="N77" s="75">
        <v>145.9987134954329</v>
      </c>
      <c r="O77" s="75"/>
      <c r="P77" s="75">
        <v>51.04850122217934</v>
      </c>
      <c r="Q77" s="75"/>
      <c r="R77" s="1016" t="s">
        <v>43</v>
      </c>
      <c r="S77" s="75"/>
      <c r="T77" s="75">
        <v>169.48102405763541</v>
      </c>
      <c r="U77" s="75"/>
      <c r="V77" s="91"/>
      <c r="W77" s="75">
        <f t="shared" si="10"/>
        <v>7935.9999999999991</v>
      </c>
      <c r="X77" s="686"/>
      <c r="Y77" s="76">
        <v>2008</v>
      </c>
      <c r="Z77" s="71" t="s">
        <v>39</v>
      </c>
    </row>
    <row r="78" spans="2:30" s="12" customFormat="1" ht="12.75" hidden="1" customHeight="1">
      <c r="B78" s="68">
        <v>2008</v>
      </c>
      <c r="C78" s="12" t="s">
        <v>32</v>
      </c>
      <c r="D78" s="74">
        <v>5621.8058866455849</v>
      </c>
      <c r="E78" s="75"/>
      <c r="F78" s="88">
        <v>705.92751155436633</v>
      </c>
      <c r="G78" s="75"/>
      <c r="H78" s="75">
        <v>1072.7229384577961</v>
      </c>
      <c r="I78" s="75"/>
      <c r="J78" s="75">
        <v>308.3950377037217</v>
      </c>
      <c r="K78" s="75"/>
      <c r="L78" s="75">
        <v>363.72172220870834</v>
      </c>
      <c r="M78" s="75"/>
      <c r="N78" s="75">
        <v>124.99732425200681</v>
      </c>
      <c r="O78" s="75"/>
      <c r="P78" s="75">
        <v>48.154706883969837</v>
      </c>
      <c r="Q78" s="75"/>
      <c r="R78" s="1016" t="s">
        <v>43</v>
      </c>
      <c r="S78" s="75"/>
      <c r="T78" s="75">
        <v>178.27487229384579</v>
      </c>
      <c r="U78" s="75"/>
      <c r="V78" s="91"/>
      <c r="W78" s="75">
        <f t="shared" si="10"/>
        <v>8423.9999999999982</v>
      </c>
      <c r="X78" s="686"/>
      <c r="Y78" s="76">
        <v>2008</v>
      </c>
      <c r="Z78" s="71" t="s">
        <v>32</v>
      </c>
    </row>
    <row r="79" spans="2:30" s="12" customFormat="1" ht="12.75" hidden="1" customHeight="1">
      <c r="B79" s="68">
        <v>2009</v>
      </c>
      <c r="C79" s="12" t="s">
        <v>33</v>
      </c>
      <c r="D79" s="247">
        <v>5843.0476542297747</v>
      </c>
      <c r="E79" s="249"/>
      <c r="F79" s="248">
        <v>639.8315478389361</v>
      </c>
      <c r="G79" s="249"/>
      <c r="H79" s="249">
        <v>922.05024011821206</v>
      </c>
      <c r="I79" s="249"/>
      <c r="J79" s="249">
        <v>148.75064647210934</v>
      </c>
      <c r="K79" s="249"/>
      <c r="L79" s="249">
        <v>391.23457702253415</v>
      </c>
      <c r="M79" s="249"/>
      <c r="N79" s="249">
        <v>124.29848540820096</v>
      </c>
      <c r="O79" s="249"/>
      <c r="P79" s="249">
        <v>62.14924270410048</v>
      </c>
      <c r="Q79" s="249"/>
      <c r="R79" s="249">
        <v>33</v>
      </c>
      <c r="S79" s="249"/>
      <c r="T79" s="249">
        <v>109.63760620613226</v>
      </c>
      <c r="U79" s="249"/>
      <c r="V79" s="250"/>
      <c r="W79" s="249">
        <f t="shared" ref="W79:W107" si="11">SUM(D79:U79)</f>
        <v>8273.9999999999982</v>
      </c>
      <c r="X79" s="770"/>
      <c r="Y79" s="76">
        <v>2009</v>
      </c>
      <c r="Z79" s="71" t="s">
        <v>33</v>
      </c>
      <c r="AD79" s="170"/>
    </row>
    <row r="80" spans="2:30" s="12" customFormat="1" ht="12.75" hidden="1" customHeight="1">
      <c r="B80" s="68">
        <v>2009</v>
      </c>
      <c r="C80" s="12" t="s">
        <v>34</v>
      </c>
      <c r="D80" s="247">
        <v>3965.8511371467953</v>
      </c>
      <c r="E80" s="249"/>
      <c r="F80" s="248">
        <v>369.12922122674019</v>
      </c>
      <c r="G80" s="249"/>
      <c r="H80" s="249">
        <v>558.26981392143352</v>
      </c>
      <c r="I80" s="249"/>
      <c r="J80" s="249">
        <v>265.40696071674705</v>
      </c>
      <c r="K80" s="249"/>
      <c r="L80" s="249">
        <v>343.70709855272224</v>
      </c>
      <c r="M80" s="249"/>
      <c r="N80" s="249">
        <v>153.54962095106822</v>
      </c>
      <c r="O80" s="249"/>
      <c r="P80" s="249">
        <v>40.675396278428671</v>
      </c>
      <c r="Q80" s="249"/>
      <c r="R80" s="249">
        <v>86</v>
      </c>
      <c r="S80" s="249"/>
      <c r="T80" s="249">
        <v>119.41075120606479</v>
      </c>
      <c r="U80" s="249"/>
      <c r="V80" s="250"/>
      <c r="W80" s="249">
        <f t="shared" si="11"/>
        <v>5902</v>
      </c>
      <c r="X80" s="770"/>
      <c r="Y80" s="76">
        <v>2009</v>
      </c>
      <c r="Z80" s="71" t="s">
        <v>77</v>
      </c>
      <c r="AD80" s="170"/>
    </row>
    <row r="81" spans="2:30" s="12" customFormat="1" ht="12.75" hidden="1" customHeight="1">
      <c r="B81" s="68">
        <v>2009</v>
      </c>
      <c r="C81" s="12" t="s">
        <v>29</v>
      </c>
      <c r="D81" s="247">
        <v>4647.0855058969582</v>
      </c>
      <c r="E81" s="249"/>
      <c r="F81" s="248">
        <v>649.18777157045315</v>
      </c>
      <c r="G81" s="249"/>
      <c r="H81" s="249">
        <v>362.24270639354438</v>
      </c>
      <c r="I81" s="249"/>
      <c r="J81" s="249">
        <v>234.03320918684048</v>
      </c>
      <c r="K81" s="249"/>
      <c r="L81" s="249">
        <v>339.85692116697703</v>
      </c>
      <c r="M81" s="249"/>
      <c r="N81" s="249">
        <v>138.38485412787088</v>
      </c>
      <c r="O81" s="249"/>
      <c r="P81" s="249">
        <v>64.10474860335195</v>
      </c>
      <c r="Q81" s="249"/>
      <c r="R81" s="249">
        <v>29</v>
      </c>
      <c r="S81" s="249"/>
      <c r="T81" s="249">
        <v>93.10428305400373</v>
      </c>
      <c r="U81" s="249"/>
      <c r="V81" s="250"/>
      <c r="W81" s="249">
        <f t="shared" si="11"/>
        <v>6557.0000000000009</v>
      </c>
      <c r="X81" s="770"/>
      <c r="Y81" s="76">
        <v>2009</v>
      </c>
      <c r="Z81" s="71" t="s">
        <v>29</v>
      </c>
      <c r="AD81" s="170"/>
    </row>
    <row r="82" spans="2:30" s="12" customFormat="1" ht="12.75" hidden="1" customHeight="1">
      <c r="B82" s="68">
        <v>2009</v>
      </c>
      <c r="C82" s="12" t="s">
        <v>35</v>
      </c>
      <c r="D82" s="247">
        <v>5063.0896891688344</v>
      </c>
      <c r="E82" s="249"/>
      <c r="F82" s="248">
        <v>829.49363275366284</v>
      </c>
      <c r="G82" s="249"/>
      <c r="H82" s="249">
        <v>642.88319868547171</v>
      </c>
      <c r="I82" s="249"/>
      <c r="J82" s="249">
        <v>246.07969327673558</v>
      </c>
      <c r="K82" s="249"/>
      <c r="L82" s="249">
        <v>402.95549774065455</v>
      </c>
      <c r="M82" s="249"/>
      <c r="N82" s="249">
        <v>128.16650691496645</v>
      </c>
      <c r="O82" s="249"/>
      <c r="P82" s="249">
        <v>48.190606600027387</v>
      </c>
      <c r="Q82" s="249"/>
      <c r="R82" s="249">
        <v>21</v>
      </c>
      <c r="S82" s="249"/>
      <c r="T82" s="249">
        <v>106.14117485964672</v>
      </c>
      <c r="U82" s="249"/>
      <c r="V82" s="250"/>
      <c r="W82" s="249">
        <f t="shared" si="11"/>
        <v>7487.9999999999991</v>
      </c>
      <c r="X82" s="770"/>
      <c r="Y82" s="76">
        <v>2009</v>
      </c>
      <c r="Z82" s="71" t="s">
        <v>78</v>
      </c>
      <c r="AD82" s="170"/>
    </row>
    <row r="83" spans="2:30" s="12" customFormat="1" ht="12.75" hidden="1" customHeight="1">
      <c r="B83" s="68">
        <v>2009</v>
      </c>
      <c r="C83" s="12" t="s">
        <v>4</v>
      </c>
      <c r="D83" s="247">
        <v>4246.6616645824652</v>
      </c>
      <c r="E83" s="249"/>
      <c r="F83" s="248">
        <v>1005.4656106711129</v>
      </c>
      <c r="G83" s="249"/>
      <c r="H83" s="249">
        <v>913.50229262192579</v>
      </c>
      <c r="I83" s="249"/>
      <c r="J83" s="249">
        <v>352.52605252188414</v>
      </c>
      <c r="K83" s="249"/>
      <c r="L83" s="249">
        <v>399.52952619146868</v>
      </c>
      <c r="M83" s="249"/>
      <c r="N83" s="249">
        <v>226.842851187995</v>
      </c>
      <c r="O83" s="249"/>
      <c r="P83" s="249">
        <v>45.981659024593583</v>
      </c>
      <c r="Q83" s="249"/>
      <c r="R83" s="249">
        <v>33</v>
      </c>
      <c r="S83" s="249"/>
      <c r="T83" s="249">
        <v>130.49034319855497</v>
      </c>
      <c r="U83" s="249"/>
      <c r="V83" s="250"/>
      <c r="W83" s="249">
        <f t="shared" si="11"/>
        <v>7353.9999999999991</v>
      </c>
      <c r="X83" s="770"/>
      <c r="Y83" s="76">
        <v>2009</v>
      </c>
      <c r="Z83" s="71" t="s">
        <v>79</v>
      </c>
      <c r="AD83" s="170"/>
    </row>
    <row r="84" spans="2:30" s="12" customFormat="1" ht="12.75" hidden="1" customHeight="1">
      <c r="B84" s="68">
        <v>2009</v>
      </c>
      <c r="C84" s="12" t="s">
        <v>30</v>
      </c>
      <c r="D84" s="247">
        <v>5097.9116298457693</v>
      </c>
      <c r="E84" s="249"/>
      <c r="F84" s="248">
        <v>1083.1759066277616</v>
      </c>
      <c r="G84" s="249"/>
      <c r="H84" s="249">
        <v>366.96623593163821</v>
      </c>
      <c r="I84" s="249"/>
      <c r="J84" s="249">
        <v>229.35389745727386</v>
      </c>
      <c r="K84" s="249"/>
      <c r="L84" s="249">
        <v>319.01042100875367</v>
      </c>
      <c r="M84" s="249"/>
      <c r="N84" s="249">
        <v>214.75864943726552</v>
      </c>
      <c r="O84" s="249"/>
      <c r="P84" s="249">
        <v>39.615673197165485</v>
      </c>
      <c r="Q84" s="249"/>
      <c r="R84" s="249">
        <v>22</v>
      </c>
      <c r="S84" s="249"/>
      <c r="T84" s="249">
        <v>130.20758649437266</v>
      </c>
      <c r="U84" s="249"/>
      <c r="V84" s="250"/>
      <c r="W84" s="249">
        <f t="shared" si="11"/>
        <v>7503</v>
      </c>
      <c r="X84" s="770"/>
      <c r="Y84" s="76">
        <v>2009</v>
      </c>
      <c r="Z84" s="71" t="s">
        <v>80</v>
      </c>
      <c r="AD84" s="170"/>
    </row>
    <row r="85" spans="2:30" s="12" customFormat="1" ht="12.75" hidden="1" customHeight="1">
      <c r="B85" s="68">
        <v>2009</v>
      </c>
      <c r="C85" s="12" t="s">
        <v>36</v>
      </c>
      <c r="D85" s="247">
        <v>6964</v>
      </c>
      <c r="E85" s="249"/>
      <c r="F85" s="248">
        <v>1939</v>
      </c>
      <c r="G85" s="249"/>
      <c r="H85" s="249">
        <v>920</v>
      </c>
      <c r="I85" s="249"/>
      <c r="J85" s="249">
        <v>437</v>
      </c>
      <c r="K85" s="249"/>
      <c r="L85" s="249">
        <v>560</v>
      </c>
      <c r="M85" s="249"/>
      <c r="N85" s="249">
        <v>380</v>
      </c>
      <c r="O85" s="249"/>
      <c r="P85" s="249">
        <v>50</v>
      </c>
      <c r="Q85" s="249"/>
      <c r="R85" s="249">
        <v>69</v>
      </c>
      <c r="S85" s="249"/>
      <c r="T85" s="249">
        <v>181</v>
      </c>
      <c r="U85" s="249"/>
      <c r="V85" s="250"/>
      <c r="W85" s="249">
        <f t="shared" si="11"/>
        <v>11500</v>
      </c>
      <c r="X85" s="770"/>
      <c r="Y85" s="76">
        <v>2009</v>
      </c>
      <c r="Z85" s="71" t="s">
        <v>81</v>
      </c>
      <c r="AD85" s="170"/>
    </row>
    <row r="86" spans="2:30" s="12" customFormat="1" ht="12.75" hidden="1" customHeight="1">
      <c r="B86" s="68">
        <v>2009</v>
      </c>
      <c r="C86" s="12" t="s">
        <v>37</v>
      </c>
      <c r="D86" s="247">
        <v>5192</v>
      </c>
      <c r="E86" s="249"/>
      <c r="F86" s="248">
        <v>1700</v>
      </c>
      <c r="G86" s="249"/>
      <c r="H86" s="249">
        <v>615</v>
      </c>
      <c r="I86" s="249"/>
      <c r="J86" s="249">
        <v>355</v>
      </c>
      <c r="K86" s="249"/>
      <c r="L86" s="249">
        <v>576</v>
      </c>
      <c r="M86" s="249"/>
      <c r="N86" s="249">
        <v>284</v>
      </c>
      <c r="O86" s="249"/>
      <c r="P86" s="249">
        <v>91</v>
      </c>
      <c r="Q86" s="249"/>
      <c r="R86" s="249">
        <v>82</v>
      </c>
      <c r="S86" s="249"/>
      <c r="T86" s="249">
        <v>186</v>
      </c>
      <c r="U86" s="249"/>
      <c r="V86" s="250"/>
      <c r="W86" s="249">
        <f t="shared" si="11"/>
        <v>9081</v>
      </c>
      <c r="X86" s="770"/>
      <c r="Y86" s="76">
        <v>2009</v>
      </c>
      <c r="Z86" s="71" t="s">
        <v>82</v>
      </c>
      <c r="AD86" s="170"/>
    </row>
    <row r="87" spans="2:30" s="12" customFormat="1" ht="12.75" hidden="1" customHeight="1">
      <c r="B87" s="68">
        <v>2009</v>
      </c>
      <c r="C87" s="12" t="s">
        <v>31</v>
      </c>
      <c r="D87" s="247">
        <v>6662</v>
      </c>
      <c r="E87" s="249"/>
      <c r="F87" s="251">
        <v>1524</v>
      </c>
      <c r="G87" s="249"/>
      <c r="H87" s="249">
        <v>1036</v>
      </c>
      <c r="I87" s="249"/>
      <c r="J87" s="249">
        <v>327</v>
      </c>
      <c r="K87" s="249"/>
      <c r="L87" s="249">
        <v>340</v>
      </c>
      <c r="M87" s="249"/>
      <c r="N87" s="249">
        <v>269</v>
      </c>
      <c r="O87" s="249"/>
      <c r="P87" s="249">
        <v>86</v>
      </c>
      <c r="Q87" s="249"/>
      <c r="R87" s="249">
        <v>64</v>
      </c>
      <c r="S87" s="249"/>
      <c r="T87" s="249">
        <v>141</v>
      </c>
      <c r="U87" s="249"/>
      <c r="V87" s="252"/>
      <c r="W87" s="249">
        <f t="shared" si="11"/>
        <v>10449</v>
      </c>
      <c r="X87" s="770"/>
      <c r="Y87" s="76">
        <v>2009</v>
      </c>
      <c r="Z87" s="71" t="s">
        <v>31</v>
      </c>
      <c r="AD87" s="170"/>
    </row>
    <row r="88" spans="2:30" s="14" customFormat="1" ht="12.75" hidden="1" customHeight="1">
      <c r="B88" s="68">
        <v>2009</v>
      </c>
      <c r="C88" s="12" t="s">
        <v>38</v>
      </c>
      <c r="D88" s="247">
        <v>6633.0858976971676</v>
      </c>
      <c r="E88" s="249"/>
      <c r="F88" s="251">
        <v>1351.8152639087018</v>
      </c>
      <c r="G88" s="249"/>
      <c r="H88" s="249">
        <v>790.02190747911152</v>
      </c>
      <c r="I88" s="249"/>
      <c r="J88" s="249">
        <v>483.30751986957409</v>
      </c>
      <c r="K88" s="249"/>
      <c r="L88" s="249">
        <v>434.77022620745873</v>
      </c>
      <c r="M88" s="249"/>
      <c r="N88" s="249">
        <v>212.73792541267576</v>
      </c>
      <c r="O88" s="249"/>
      <c r="P88" s="249">
        <v>37.177501528428778</v>
      </c>
      <c r="Q88" s="249"/>
      <c r="R88" s="249">
        <v>46</v>
      </c>
      <c r="S88" s="249"/>
      <c r="T88" s="249">
        <v>146.08375789688199</v>
      </c>
      <c r="U88" s="249"/>
      <c r="V88" s="252"/>
      <c r="W88" s="249">
        <f t="shared" si="11"/>
        <v>10135</v>
      </c>
      <c r="X88" s="770"/>
      <c r="Y88" s="76">
        <v>2009</v>
      </c>
      <c r="Z88" s="71" t="s">
        <v>38</v>
      </c>
      <c r="AA88" s="12"/>
      <c r="AB88" s="12"/>
      <c r="AC88" s="12"/>
      <c r="AD88" s="170"/>
    </row>
    <row r="89" spans="2:30" s="14" customFormat="1" ht="12.75" hidden="1" customHeight="1">
      <c r="B89" s="68">
        <v>2009</v>
      </c>
      <c r="C89" s="12" t="s">
        <v>39</v>
      </c>
      <c r="D89" s="247">
        <v>4963.2443853820596</v>
      </c>
      <c r="E89" s="249"/>
      <c r="F89" s="248">
        <v>827.893023255814</v>
      </c>
      <c r="G89" s="249"/>
      <c r="H89" s="249">
        <v>830.97833887043191</v>
      </c>
      <c r="I89" s="249"/>
      <c r="J89" s="249">
        <v>255.05275747508307</v>
      </c>
      <c r="K89" s="249"/>
      <c r="L89" s="249">
        <v>417.54604651162788</v>
      </c>
      <c r="M89" s="249"/>
      <c r="N89" s="249">
        <v>228.31335548172757</v>
      </c>
      <c r="O89" s="249"/>
      <c r="P89" s="249">
        <v>28.796279069767444</v>
      </c>
      <c r="Q89" s="249"/>
      <c r="R89" s="249">
        <v>34</v>
      </c>
      <c r="S89" s="249"/>
      <c r="T89" s="249">
        <v>153.17581395348836</v>
      </c>
      <c r="U89" s="249"/>
      <c r="V89" s="250"/>
      <c r="W89" s="249">
        <f t="shared" si="11"/>
        <v>7739</v>
      </c>
      <c r="X89" s="770"/>
      <c r="Y89" s="76">
        <v>2009</v>
      </c>
      <c r="Z89" s="71" t="s">
        <v>39</v>
      </c>
      <c r="AA89" s="12"/>
      <c r="AB89" s="12"/>
      <c r="AC89" s="12"/>
      <c r="AD89" s="170"/>
    </row>
    <row r="90" spans="2:30" s="14" customFormat="1" ht="12.75" hidden="1" customHeight="1">
      <c r="B90" s="68">
        <v>2009</v>
      </c>
      <c r="C90" s="12" t="s">
        <v>32</v>
      </c>
      <c r="D90" s="247">
        <v>5630.5991912464324</v>
      </c>
      <c r="E90" s="249"/>
      <c r="F90" s="248">
        <v>687.5410323501427</v>
      </c>
      <c r="G90" s="249"/>
      <c r="H90" s="249">
        <v>1197.2519029495718</v>
      </c>
      <c r="I90" s="249"/>
      <c r="J90" s="249">
        <v>374.27045670789727</v>
      </c>
      <c r="K90" s="249"/>
      <c r="L90" s="249">
        <v>364.96539010466222</v>
      </c>
      <c r="M90" s="249"/>
      <c r="N90" s="249">
        <v>189.2030209324453</v>
      </c>
      <c r="O90" s="249"/>
      <c r="P90" s="249">
        <v>48.59312559467174</v>
      </c>
      <c r="Q90" s="249"/>
      <c r="R90" s="249">
        <v>54</v>
      </c>
      <c r="S90" s="249"/>
      <c r="T90" s="249">
        <v>146.57588011417698</v>
      </c>
      <c r="U90" s="249"/>
      <c r="V90" s="250"/>
      <c r="W90" s="249">
        <f t="shared" si="11"/>
        <v>8693.0000000000018</v>
      </c>
      <c r="X90" s="770"/>
      <c r="Y90" s="76">
        <v>2009</v>
      </c>
      <c r="Z90" s="71" t="s">
        <v>32</v>
      </c>
      <c r="AA90" s="12"/>
      <c r="AB90" s="12"/>
      <c r="AC90" s="12"/>
      <c r="AD90" s="170"/>
    </row>
    <row r="91" spans="2:30" s="14" customFormat="1" ht="12.75" hidden="1" customHeight="1">
      <c r="B91" s="68">
        <v>2010</v>
      </c>
      <c r="C91" s="12" t="s">
        <v>33</v>
      </c>
      <c r="D91" s="247">
        <v>4655.9662436216149</v>
      </c>
      <c r="E91" s="249"/>
      <c r="F91" s="248">
        <v>708.11618474421039</v>
      </c>
      <c r="G91" s="249"/>
      <c r="H91" s="249">
        <v>1317.9965981944263</v>
      </c>
      <c r="I91" s="249"/>
      <c r="J91" s="249">
        <v>332.56901740154387</v>
      </c>
      <c r="K91" s="249"/>
      <c r="L91" s="249">
        <v>379.64032447991627</v>
      </c>
      <c r="M91" s="249"/>
      <c r="N91" s="249">
        <v>181.12220332330236</v>
      </c>
      <c r="O91" s="249"/>
      <c r="P91" s="249">
        <v>49.117885646997252</v>
      </c>
      <c r="Q91" s="249"/>
      <c r="R91" s="249">
        <v>22</v>
      </c>
      <c r="S91" s="249"/>
      <c r="T91" s="249">
        <v>174.47154258798901</v>
      </c>
      <c r="U91" s="249"/>
      <c r="V91" s="250"/>
      <c r="W91" s="249">
        <f t="shared" si="11"/>
        <v>7821</v>
      </c>
      <c r="X91" s="770"/>
      <c r="Y91" s="76">
        <v>2010</v>
      </c>
      <c r="Z91" s="71" t="s">
        <v>33</v>
      </c>
      <c r="AA91" s="12"/>
      <c r="AB91" s="12"/>
      <c r="AC91" s="12"/>
      <c r="AD91" s="170"/>
    </row>
    <row r="92" spans="2:30" s="14" customFormat="1" ht="12.75" hidden="1" customHeight="1">
      <c r="B92" s="68">
        <v>2010</v>
      </c>
      <c r="C92" s="12" t="s">
        <v>34</v>
      </c>
      <c r="D92" s="247">
        <v>2778.3460779034285</v>
      </c>
      <c r="E92" s="249"/>
      <c r="F92" s="248">
        <v>434.71405492730207</v>
      </c>
      <c r="G92" s="249"/>
      <c r="H92" s="249">
        <v>941.88045234248784</v>
      </c>
      <c r="I92" s="249"/>
      <c r="J92" s="249">
        <v>639.99569197630592</v>
      </c>
      <c r="K92" s="249"/>
      <c r="L92" s="249">
        <v>369.30569018129597</v>
      </c>
      <c r="M92" s="249"/>
      <c r="N92" s="249">
        <v>192.19996409980254</v>
      </c>
      <c r="O92" s="249"/>
      <c r="P92" s="249">
        <v>50.314126727697001</v>
      </c>
      <c r="Q92" s="249"/>
      <c r="R92" s="249">
        <v>52</v>
      </c>
      <c r="S92" s="249"/>
      <c r="T92" s="249">
        <v>147.24394184168014</v>
      </c>
      <c r="U92" s="249"/>
      <c r="V92" s="250"/>
      <c r="W92" s="249">
        <f t="shared" si="11"/>
        <v>5606.0000000000009</v>
      </c>
      <c r="X92" s="770"/>
      <c r="Y92" s="76">
        <v>2010</v>
      </c>
      <c r="Z92" s="71" t="s">
        <v>77</v>
      </c>
      <c r="AA92" s="12"/>
      <c r="AB92" s="12"/>
      <c r="AC92" s="12"/>
      <c r="AD92" s="170"/>
    </row>
    <row r="93" spans="2:30" s="14" customFormat="1" ht="12.75" hidden="1" customHeight="1">
      <c r="B93" s="68">
        <v>2010</v>
      </c>
      <c r="C93" s="12" t="s">
        <v>29</v>
      </c>
      <c r="D93" s="247">
        <v>4155.2757979547569</v>
      </c>
      <c r="E93" s="249"/>
      <c r="F93" s="248">
        <v>693.71552525565539</v>
      </c>
      <c r="G93" s="249"/>
      <c r="H93" s="249">
        <v>527.30399752091728</v>
      </c>
      <c r="I93" s="249"/>
      <c r="J93" s="249">
        <v>339.84040904865202</v>
      </c>
      <c r="K93" s="249"/>
      <c r="L93" s="249">
        <v>316.78339014564614</v>
      </c>
      <c r="M93" s="249"/>
      <c r="N93" s="249">
        <v>195.48342113418036</v>
      </c>
      <c r="O93" s="249"/>
      <c r="P93" s="249">
        <v>43.10660055779362</v>
      </c>
      <c r="Q93" s="249"/>
      <c r="R93" s="249">
        <v>38</v>
      </c>
      <c r="S93" s="249"/>
      <c r="T93" s="249">
        <v>160.4908583823985</v>
      </c>
      <c r="U93" s="249"/>
      <c r="V93" s="250"/>
      <c r="W93" s="249">
        <f t="shared" si="11"/>
        <v>6469.9999999999991</v>
      </c>
      <c r="X93" s="770"/>
      <c r="Y93" s="76">
        <v>2010</v>
      </c>
      <c r="Z93" s="71" t="s">
        <v>29</v>
      </c>
      <c r="AA93" s="12"/>
      <c r="AB93" s="12"/>
      <c r="AC93" s="12"/>
      <c r="AD93" s="170"/>
    </row>
    <row r="94" spans="2:30" s="14" customFormat="1" ht="12.75" hidden="1" customHeight="1">
      <c r="B94" s="68">
        <v>2010</v>
      </c>
      <c r="C94" s="12" t="s">
        <v>35</v>
      </c>
      <c r="D94" s="247">
        <v>3864.7188705446692</v>
      </c>
      <c r="E94" s="249"/>
      <c r="F94" s="251">
        <v>850.99413670729825</v>
      </c>
      <c r="G94" s="249"/>
      <c r="H94" s="249">
        <v>777.43882116957263</v>
      </c>
      <c r="I94" s="249"/>
      <c r="J94" s="249">
        <v>325.89091189631228</v>
      </c>
      <c r="K94" s="249"/>
      <c r="L94" s="249">
        <v>341.21493596667182</v>
      </c>
      <c r="M94" s="249"/>
      <c r="N94" s="249">
        <v>202.27711772874557</v>
      </c>
      <c r="O94" s="249"/>
      <c r="P94" s="249">
        <v>33.712852954790925</v>
      </c>
      <c r="Q94" s="249"/>
      <c r="R94" s="249">
        <v>60</v>
      </c>
      <c r="S94" s="249"/>
      <c r="T94" s="249">
        <v>164.75235303193952</v>
      </c>
      <c r="U94" s="249"/>
      <c r="V94" s="250"/>
      <c r="W94" s="249">
        <f t="shared" si="11"/>
        <v>6621</v>
      </c>
      <c r="X94" s="770"/>
      <c r="Y94" s="76">
        <v>2010</v>
      </c>
      <c r="Z94" s="71" t="s">
        <v>78</v>
      </c>
      <c r="AA94" s="12"/>
      <c r="AB94" s="12"/>
      <c r="AC94" s="12"/>
      <c r="AD94" s="170"/>
    </row>
    <row r="95" spans="2:30" s="14" customFormat="1" ht="12.75" hidden="1" customHeight="1">
      <c r="B95" s="68">
        <v>2010</v>
      </c>
      <c r="C95" s="12" t="s">
        <v>4</v>
      </c>
      <c r="D95" s="247">
        <v>3622.3552260934025</v>
      </c>
      <c r="E95" s="249"/>
      <c r="F95" s="248">
        <v>951.91178650852487</v>
      </c>
      <c r="G95" s="249"/>
      <c r="H95" s="249">
        <v>1078.154633061527</v>
      </c>
      <c r="I95" s="249"/>
      <c r="J95" s="249">
        <v>322.73372868791699</v>
      </c>
      <c r="K95" s="249"/>
      <c r="L95" s="249">
        <v>410.28925129725724</v>
      </c>
      <c r="M95" s="249"/>
      <c r="N95" s="249">
        <v>200.56323202372127</v>
      </c>
      <c r="O95" s="249"/>
      <c r="P95" s="249">
        <v>24.434099332839139</v>
      </c>
      <c r="Q95" s="249"/>
      <c r="R95" s="249">
        <v>80</v>
      </c>
      <c r="S95" s="249"/>
      <c r="T95" s="249">
        <v>176.55804299481099</v>
      </c>
      <c r="U95" s="249"/>
      <c r="V95" s="250"/>
      <c r="W95" s="249">
        <f t="shared" si="11"/>
        <v>6867.0000000000009</v>
      </c>
      <c r="X95" s="770"/>
      <c r="Y95" s="76">
        <v>2010</v>
      </c>
      <c r="Z95" s="71" t="s">
        <v>79</v>
      </c>
      <c r="AA95" s="12"/>
      <c r="AB95" s="12"/>
      <c r="AC95" s="12"/>
      <c r="AD95" s="170"/>
    </row>
    <row r="96" spans="2:30" s="14" customFormat="1" ht="12.75" hidden="1" customHeight="1">
      <c r="B96" s="68">
        <v>2010</v>
      </c>
      <c r="C96" s="12" t="s">
        <v>68</v>
      </c>
      <c r="D96" s="247">
        <v>5087.4509677419355</v>
      </c>
      <c r="E96" s="249"/>
      <c r="F96" s="248">
        <v>1342.6225806451612</v>
      </c>
      <c r="G96" s="249"/>
      <c r="H96" s="249">
        <v>517.35032258064518</v>
      </c>
      <c r="I96" s="249"/>
      <c r="J96" s="249">
        <v>317.25290322580645</v>
      </c>
      <c r="K96" s="249"/>
      <c r="L96" s="249">
        <v>322.43677419354839</v>
      </c>
      <c r="M96" s="249"/>
      <c r="N96" s="249">
        <v>194.91354838709677</v>
      </c>
      <c r="O96" s="249"/>
      <c r="P96" s="249">
        <v>42.507741935483871</v>
      </c>
      <c r="Q96" s="249"/>
      <c r="R96" s="249">
        <v>53</v>
      </c>
      <c r="S96" s="249"/>
      <c r="T96" s="249">
        <v>157.46516129032258</v>
      </c>
      <c r="U96" s="249"/>
      <c r="V96" s="250"/>
      <c r="W96" s="249">
        <f t="shared" si="11"/>
        <v>8035</v>
      </c>
      <c r="X96" s="770"/>
      <c r="Y96" s="76">
        <v>2010</v>
      </c>
      <c r="Z96" s="71" t="s">
        <v>80</v>
      </c>
      <c r="AA96" s="12"/>
      <c r="AB96" s="12"/>
      <c r="AC96" s="12"/>
      <c r="AD96" s="170"/>
    </row>
    <row r="97" spans="2:30" s="14" customFormat="1" ht="12.75" hidden="1" customHeight="1">
      <c r="B97" s="68">
        <v>2010</v>
      </c>
      <c r="C97" s="12" t="s">
        <v>36</v>
      </c>
      <c r="D97" s="247">
        <v>6283</v>
      </c>
      <c r="E97" s="249"/>
      <c r="F97" s="248">
        <v>1657</v>
      </c>
      <c r="G97" s="249"/>
      <c r="H97" s="249">
        <v>1173</v>
      </c>
      <c r="I97" s="249"/>
      <c r="J97" s="249">
        <v>346</v>
      </c>
      <c r="K97" s="249"/>
      <c r="L97" s="249">
        <v>615</v>
      </c>
      <c r="M97" s="249"/>
      <c r="N97" s="249">
        <v>247</v>
      </c>
      <c r="O97" s="249"/>
      <c r="P97" s="249">
        <v>41</v>
      </c>
      <c r="Q97" s="249"/>
      <c r="R97" s="249">
        <v>122</v>
      </c>
      <c r="S97" s="249"/>
      <c r="T97" s="249">
        <v>110</v>
      </c>
      <c r="U97" s="249"/>
      <c r="V97" s="250"/>
      <c r="W97" s="249">
        <f t="shared" si="11"/>
        <v>10594</v>
      </c>
      <c r="X97" s="770"/>
      <c r="Y97" s="76">
        <v>2010</v>
      </c>
      <c r="Z97" s="71" t="s">
        <v>81</v>
      </c>
      <c r="AA97" s="12"/>
      <c r="AB97" s="12"/>
      <c r="AC97" s="12"/>
      <c r="AD97" s="170"/>
    </row>
    <row r="98" spans="2:30" s="14" customFormat="1" ht="12.75" hidden="1" customHeight="1">
      <c r="B98" s="68">
        <v>2010</v>
      </c>
      <c r="C98" s="12" t="s">
        <v>37</v>
      </c>
      <c r="D98" s="247">
        <v>5458</v>
      </c>
      <c r="E98" s="249"/>
      <c r="F98" s="251">
        <v>1664</v>
      </c>
      <c r="G98" s="249"/>
      <c r="H98" s="249">
        <v>728</v>
      </c>
      <c r="I98" s="249"/>
      <c r="J98" s="249">
        <v>497</v>
      </c>
      <c r="K98" s="249"/>
      <c r="L98" s="249">
        <v>652</v>
      </c>
      <c r="M98" s="249"/>
      <c r="N98" s="249">
        <v>276</v>
      </c>
      <c r="O98" s="249"/>
      <c r="P98" s="249">
        <v>65</v>
      </c>
      <c r="Q98" s="249"/>
      <c r="R98" s="249">
        <v>50</v>
      </c>
      <c r="S98" s="249"/>
      <c r="T98" s="249">
        <v>242</v>
      </c>
      <c r="U98" s="249"/>
      <c r="V98" s="250"/>
      <c r="W98" s="249">
        <f t="shared" si="11"/>
        <v>9632</v>
      </c>
      <c r="X98" s="770"/>
      <c r="Y98" s="76">
        <v>2010</v>
      </c>
      <c r="Z98" s="71" t="s">
        <v>82</v>
      </c>
      <c r="AA98" s="12"/>
      <c r="AB98" s="12"/>
      <c r="AC98" s="12"/>
      <c r="AD98" s="170"/>
    </row>
    <row r="99" spans="2:30" s="14" customFormat="1" ht="12.75" hidden="1" customHeight="1">
      <c r="B99" s="68">
        <v>2010</v>
      </c>
      <c r="C99" s="12" t="s">
        <v>31</v>
      </c>
      <c r="D99" s="247">
        <v>6013</v>
      </c>
      <c r="E99" s="249"/>
      <c r="F99" s="248">
        <v>1136</v>
      </c>
      <c r="G99" s="249"/>
      <c r="H99" s="249">
        <v>1126</v>
      </c>
      <c r="I99" s="249"/>
      <c r="J99" s="249">
        <v>352</v>
      </c>
      <c r="K99" s="249"/>
      <c r="L99" s="249">
        <v>269</v>
      </c>
      <c r="M99" s="249"/>
      <c r="N99" s="249">
        <v>161</v>
      </c>
      <c r="O99" s="249"/>
      <c r="P99" s="249">
        <v>31</v>
      </c>
      <c r="Q99" s="249"/>
      <c r="R99" s="249">
        <v>59</v>
      </c>
      <c r="S99" s="249"/>
      <c r="T99" s="249">
        <v>140</v>
      </c>
      <c r="U99" s="249"/>
      <c r="V99" s="250"/>
      <c r="W99" s="249">
        <f t="shared" si="11"/>
        <v>9287</v>
      </c>
      <c r="X99" s="770"/>
      <c r="Y99" s="76">
        <v>2010</v>
      </c>
      <c r="Z99" s="71" t="s">
        <v>31</v>
      </c>
      <c r="AA99" s="12"/>
      <c r="AB99" s="12"/>
      <c r="AC99" s="12"/>
      <c r="AD99" s="170"/>
    </row>
    <row r="100" spans="2:30" s="14" customFormat="1" ht="12.75" hidden="1" customHeight="1">
      <c r="B100" s="68">
        <v>2010</v>
      </c>
      <c r="C100" s="12" t="s">
        <v>38</v>
      </c>
      <c r="D100" s="247">
        <v>5988</v>
      </c>
      <c r="E100" s="249"/>
      <c r="F100" s="248">
        <v>1039</v>
      </c>
      <c r="G100" s="249"/>
      <c r="H100" s="249">
        <v>858</v>
      </c>
      <c r="I100" s="249"/>
      <c r="J100" s="249">
        <v>308</v>
      </c>
      <c r="K100" s="249"/>
      <c r="L100" s="249">
        <v>433</v>
      </c>
      <c r="M100" s="249"/>
      <c r="N100" s="249">
        <v>194</v>
      </c>
      <c r="O100" s="249"/>
      <c r="P100" s="249">
        <v>31</v>
      </c>
      <c r="Q100" s="249"/>
      <c r="R100" s="249">
        <v>44</v>
      </c>
      <c r="S100" s="249"/>
      <c r="T100" s="249">
        <v>106</v>
      </c>
      <c r="U100" s="249"/>
      <c r="V100" s="250"/>
      <c r="W100" s="249">
        <f t="shared" si="11"/>
        <v>9001</v>
      </c>
      <c r="X100" s="770"/>
      <c r="Y100" s="76">
        <v>2010</v>
      </c>
      <c r="Z100" s="71" t="s">
        <v>38</v>
      </c>
      <c r="AA100" s="12"/>
      <c r="AB100" s="12"/>
      <c r="AC100" s="12"/>
      <c r="AD100" s="170"/>
    </row>
    <row r="101" spans="2:30" s="14" customFormat="1" ht="12.75" hidden="1" customHeight="1">
      <c r="B101" s="68">
        <v>2010</v>
      </c>
      <c r="C101" s="12" t="s">
        <v>39</v>
      </c>
      <c r="D101" s="247">
        <v>4859</v>
      </c>
      <c r="E101" s="249"/>
      <c r="F101" s="253">
        <v>703</v>
      </c>
      <c r="G101" s="249"/>
      <c r="H101" s="253">
        <v>955</v>
      </c>
      <c r="I101" s="249"/>
      <c r="J101" s="253">
        <v>242</v>
      </c>
      <c r="K101" s="249"/>
      <c r="L101" s="253">
        <v>406</v>
      </c>
      <c r="M101" s="249"/>
      <c r="N101" s="253">
        <v>192</v>
      </c>
      <c r="O101" s="249"/>
      <c r="P101" s="249">
        <v>55</v>
      </c>
      <c r="Q101" s="249"/>
      <c r="R101" s="249">
        <v>69</v>
      </c>
      <c r="S101" s="249"/>
      <c r="T101" s="253">
        <v>132</v>
      </c>
      <c r="U101" s="249"/>
      <c r="V101" s="250"/>
      <c r="W101" s="249">
        <f t="shared" si="11"/>
        <v>7613</v>
      </c>
      <c r="X101" s="770"/>
      <c r="Y101" s="76">
        <v>2010</v>
      </c>
      <c r="Z101" s="71" t="s">
        <v>39</v>
      </c>
      <c r="AA101" s="12"/>
      <c r="AB101" s="12"/>
      <c r="AC101" s="12"/>
      <c r="AD101" s="170"/>
    </row>
    <row r="102" spans="2:30" s="14" customFormat="1" ht="12.75" hidden="1" customHeight="1">
      <c r="B102" s="68">
        <v>2010</v>
      </c>
      <c r="C102" s="12" t="s">
        <v>32</v>
      </c>
      <c r="D102" s="247">
        <v>5995</v>
      </c>
      <c r="E102" s="249"/>
      <c r="F102" s="253">
        <v>746</v>
      </c>
      <c r="G102" s="249"/>
      <c r="H102" s="253">
        <v>1410</v>
      </c>
      <c r="I102" s="249"/>
      <c r="J102" s="253">
        <v>696</v>
      </c>
      <c r="K102" s="249"/>
      <c r="L102" s="253">
        <v>373</v>
      </c>
      <c r="M102" s="249"/>
      <c r="N102" s="253">
        <v>158</v>
      </c>
      <c r="O102" s="249"/>
      <c r="P102" s="249">
        <v>51</v>
      </c>
      <c r="Q102" s="249"/>
      <c r="R102" s="249">
        <v>44</v>
      </c>
      <c r="S102" s="249"/>
      <c r="T102" s="253">
        <v>160</v>
      </c>
      <c r="U102" s="249"/>
      <c r="V102" s="250"/>
      <c r="W102" s="249">
        <f t="shared" si="11"/>
        <v>9633</v>
      </c>
      <c r="X102" s="770"/>
      <c r="Y102" s="76">
        <v>2010</v>
      </c>
      <c r="Z102" s="71" t="s">
        <v>32</v>
      </c>
      <c r="AA102" s="12"/>
      <c r="AB102" s="12"/>
      <c r="AC102" s="12"/>
      <c r="AD102" s="170"/>
    </row>
    <row r="103" spans="2:30" s="14" customFormat="1" ht="12.75" hidden="1" customHeight="1">
      <c r="B103" s="68">
        <v>2011</v>
      </c>
      <c r="C103" s="12" t="s">
        <v>33</v>
      </c>
      <c r="D103" s="247">
        <v>4425</v>
      </c>
      <c r="E103" s="249"/>
      <c r="F103" s="249">
        <v>621</v>
      </c>
      <c r="G103" s="249"/>
      <c r="H103" s="249">
        <v>836</v>
      </c>
      <c r="I103" s="249"/>
      <c r="J103" s="249">
        <v>179</v>
      </c>
      <c r="K103" s="249"/>
      <c r="L103" s="249">
        <v>329</v>
      </c>
      <c r="M103" s="249"/>
      <c r="N103" s="249">
        <v>116</v>
      </c>
      <c r="O103" s="249"/>
      <c r="P103" s="249">
        <v>35</v>
      </c>
      <c r="Q103" s="249"/>
      <c r="R103" s="249">
        <v>38</v>
      </c>
      <c r="S103" s="249"/>
      <c r="T103" s="249">
        <v>93</v>
      </c>
      <c r="U103" s="249"/>
      <c r="V103" s="252"/>
      <c r="W103" s="249">
        <f>SUM(D103:U103)</f>
        <v>6672</v>
      </c>
      <c r="X103" s="770"/>
      <c r="Y103" s="76">
        <v>2011</v>
      </c>
      <c r="Z103" s="71" t="s">
        <v>33</v>
      </c>
      <c r="AA103" s="12"/>
      <c r="AB103" s="12"/>
      <c r="AC103" s="12"/>
      <c r="AD103" s="170"/>
    </row>
    <row r="104" spans="2:30" s="14" customFormat="1" ht="12.75" hidden="1" customHeight="1">
      <c r="B104" s="68">
        <v>2011</v>
      </c>
      <c r="C104" s="12" t="s">
        <v>34</v>
      </c>
      <c r="D104" s="247">
        <v>2593</v>
      </c>
      <c r="E104" s="249"/>
      <c r="F104" s="249">
        <v>306</v>
      </c>
      <c r="G104" s="249"/>
      <c r="H104" s="249">
        <v>697</v>
      </c>
      <c r="I104" s="249"/>
      <c r="J104" s="249">
        <v>345</v>
      </c>
      <c r="K104" s="249"/>
      <c r="L104" s="249">
        <v>361</v>
      </c>
      <c r="M104" s="249"/>
      <c r="N104" s="249">
        <v>102</v>
      </c>
      <c r="O104" s="249"/>
      <c r="P104" s="249">
        <v>50</v>
      </c>
      <c r="Q104" s="249"/>
      <c r="R104" s="249">
        <v>66</v>
      </c>
      <c r="S104" s="249"/>
      <c r="T104" s="249">
        <v>105</v>
      </c>
      <c r="U104" s="249"/>
      <c r="V104" s="252"/>
      <c r="W104" s="249">
        <f>SUM(D104:U104)</f>
        <v>4625</v>
      </c>
      <c r="X104" s="770"/>
      <c r="Y104" s="76">
        <v>2011</v>
      </c>
      <c r="Z104" s="71" t="s">
        <v>77</v>
      </c>
      <c r="AA104" s="12"/>
      <c r="AB104" s="12"/>
      <c r="AC104" s="12"/>
      <c r="AD104" s="170"/>
    </row>
    <row r="105" spans="2:30" s="14" customFormat="1" ht="12.75" hidden="1" customHeight="1">
      <c r="B105" s="68">
        <v>2011</v>
      </c>
      <c r="C105" s="12" t="s">
        <v>29</v>
      </c>
      <c r="D105" s="247">
        <v>3293</v>
      </c>
      <c r="E105" s="249"/>
      <c r="F105" s="249">
        <v>475</v>
      </c>
      <c r="G105" s="249"/>
      <c r="H105" s="249">
        <v>491</v>
      </c>
      <c r="I105" s="249"/>
      <c r="J105" s="249">
        <v>363</v>
      </c>
      <c r="K105" s="249"/>
      <c r="L105" s="249">
        <v>316</v>
      </c>
      <c r="M105" s="249"/>
      <c r="N105" s="249">
        <v>132</v>
      </c>
      <c r="O105" s="249"/>
      <c r="P105" s="249">
        <v>54</v>
      </c>
      <c r="Q105" s="249"/>
      <c r="R105" s="249">
        <v>57</v>
      </c>
      <c r="S105" s="249"/>
      <c r="T105" s="249">
        <v>122</v>
      </c>
      <c r="U105" s="249"/>
      <c r="V105" s="252"/>
      <c r="W105" s="249">
        <f t="shared" si="11"/>
        <v>5303</v>
      </c>
      <c r="X105" s="770"/>
      <c r="Y105" s="76">
        <v>2011</v>
      </c>
      <c r="Z105" s="71" t="s">
        <v>29</v>
      </c>
      <c r="AA105" s="12"/>
      <c r="AB105" s="12"/>
      <c r="AC105" s="12"/>
      <c r="AD105" s="170"/>
    </row>
    <row r="106" spans="2:30" s="14" customFormat="1" ht="12.75" hidden="1" customHeight="1">
      <c r="B106" s="68">
        <v>2011</v>
      </c>
      <c r="C106" s="12" t="s">
        <v>35</v>
      </c>
      <c r="D106" s="247">
        <v>4939</v>
      </c>
      <c r="E106" s="249"/>
      <c r="F106" s="249">
        <v>657</v>
      </c>
      <c r="G106" s="249"/>
      <c r="H106" s="249">
        <v>811</v>
      </c>
      <c r="I106" s="249"/>
      <c r="J106" s="249">
        <v>278</v>
      </c>
      <c r="K106" s="249"/>
      <c r="L106" s="249">
        <v>390</v>
      </c>
      <c r="M106" s="249"/>
      <c r="N106" s="249">
        <v>170</v>
      </c>
      <c r="O106" s="249"/>
      <c r="P106" s="249">
        <v>39</v>
      </c>
      <c r="Q106" s="249"/>
      <c r="R106" s="249">
        <v>22</v>
      </c>
      <c r="S106" s="249"/>
      <c r="T106" s="249">
        <v>113</v>
      </c>
      <c r="U106" s="249"/>
      <c r="V106" s="252"/>
      <c r="W106" s="249">
        <f t="shared" si="11"/>
        <v>7419</v>
      </c>
      <c r="X106" s="770"/>
      <c r="Y106" s="76">
        <v>2011</v>
      </c>
      <c r="Z106" s="71" t="s">
        <v>78</v>
      </c>
      <c r="AA106" s="12"/>
      <c r="AB106" s="12"/>
      <c r="AC106" s="12"/>
      <c r="AD106" s="170"/>
    </row>
    <row r="107" spans="2:30" s="14" customFormat="1" ht="12.75" hidden="1" customHeight="1">
      <c r="B107" s="68">
        <v>2011</v>
      </c>
      <c r="C107" s="12" t="s">
        <v>4</v>
      </c>
      <c r="D107" s="247">
        <v>3676</v>
      </c>
      <c r="E107" s="249"/>
      <c r="F107" s="249">
        <v>655</v>
      </c>
      <c r="G107" s="249"/>
      <c r="H107" s="249">
        <v>973</v>
      </c>
      <c r="I107" s="249"/>
      <c r="J107" s="249">
        <v>336</v>
      </c>
      <c r="K107" s="249"/>
      <c r="L107" s="249">
        <v>405</v>
      </c>
      <c r="M107" s="249"/>
      <c r="N107" s="249">
        <v>192</v>
      </c>
      <c r="O107" s="249"/>
      <c r="P107" s="249">
        <v>41</v>
      </c>
      <c r="Q107" s="249"/>
      <c r="R107" s="249">
        <v>52</v>
      </c>
      <c r="S107" s="249"/>
      <c r="T107" s="249">
        <v>114</v>
      </c>
      <c r="U107" s="249"/>
      <c r="V107" s="252"/>
      <c r="W107" s="249">
        <f t="shared" si="11"/>
        <v>6444</v>
      </c>
      <c r="X107" s="770"/>
      <c r="Y107" s="76">
        <v>2011</v>
      </c>
      <c r="Z107" s="71" t="s">
        <v>79</v>
      </c>
      <c r="AA107" s="12"/>
      <c r="AB107" s="12"/>
      <c r="AC107" s="12"/>
      <c r="AD107" s="170"/>
    </row>
    <row r="108" spans="2:30" s="14" customFormat="1" ht="12.75" hidden="1" customHeight="1">
      <c r="B108" s="68">
        <v>2011</v>
      </c>
      <c r="C108" s="12" t="s">
        <v>68</v>
      </c>
      <c r="D108" s="247">
        <v>4977</v>
      </c>
      <c r="E108" s="249"/>
      <c r="F108" s="249">
        <v>1162</v>
      </c>
      <c r="G108" s="249"/>
      <c r="H108" s="249">
        <v>1045</v>
      </c>
      <c r="I108" s="249"/>
      <c r="J108" s="249">
        <v>223</v>
      </c>
      <c r="K108" s="249"/>
      <c r="L108" s="249">
        <v>467</v>
      </c>
      <c r="M108" s="249"/>
      <c r="N108" s="249">
        <v>248</v>
      </c>
      <c r="O108" s="249"/>
      <c r="P108" s="249">
        <v>43</v>
      </c>
      <c r="Q108" s="249"/>
      <c r="R108" s="249">
        <v>31</v>
      </c>
      <c r="S108" s="249"/>
      <c r="T108" s="249">
        <v>122</v>
      </c>
      <c r="U108" s="249"/>
      <c r="V108" s="252"/>
      <c r="W108" s="249">
        <f t="shared" ref="W108:W114" si="12">SUM(D108:T108)</f>
        <v>8318</v>
      </c>
      <c r="X108" s="770"/>
      <c r="Y108" s="76">
        <v>2011</v>
      </c>
      <c r="Z108" s="71" t="s">
        <v>80</v>
      </c>
      <c r="AA108" s="12"/>
      <c r="AB108" s="12"/>
      <c r="AC108" s="12"/>
      <c r="AD108" s="170"/>
    </row>
    <row r="109" spans="2:30" s="14" customFormat="1" ht="12.75" hidden="1" customHeight="1">
      <c r="B109" s="68">
        <v>2011</v>
      </c>
      <c r="C109" s="12" t="s">
        <v>36</v>
      </c>
      <c r="D109" s="247">
        <v>6222</v>
      </c>
      <c r="E109" s="249"/>
      <c r="F109" s="249">
        <v>2000</v>
      </c>
      <c r="G109" s="249"/>
      <c r="H109" s="249">
        <v>1151</v>
      </c>
      <c r="I109" s="249"/>
      <c r="J109" s="249">
        <v>320</v>
      </c>
      <c r="K109" s="249"/>
      <c r="L109" s="249">
        <v>540</v>
      </c>
      <c r="M109" s="249"/>
      <c r="N109" s="249">
        <v>214</v>
      </c>
      <c r="O109" s="249"/>
      <c r="P109" s="249">
        <v>75</v>
      </c>
      <c r="Q109" s="249"/>
      <c r="R109" s="249">
        <v>51</v>
      </c>
      <c r="S109" s="249"/>
      <c r="T109" s="249">
        <v>156</v>
      </c>
      <c r="U109" s="249"/>
      <c r="V109" s="252"/>
      <c r="W109" s="249">
        <f t="shared" si="12"/>
        <v>10729</v>
      </c>
      <c r="X109" s="770"/>
      <c r="Y109" s="76">
        <v>2011</v>
      </c>
      <c r="Z109" s="71" t="s">
        <v>81</v>
      </c>
      <c r="AA109" s="12"/>
      <c r="AB109" s="12"/>
      <c r="AC109" s="12"/>
      <c r="AD109" s="170"/>
    </row>
    <row r="110" spans="2:30" s="14" customFormat="1" ht="12.75" hidden="1" customHeight="1">
      <c r="B110" s="68">
        <v>2011</v>
      </c>
      <c r="C110" s="12" t="s">
        <v>37</v>
      </c>
      <c r="D110" s="247">
        <v>5090</v>
      </c>
      <c r="E110" s="249"/>
      <c r="F110" s="249">
        <v>1835</v>
      </c>
      <c r="G110" s="249"/>
      <c r="H110" s="249">
        <v>1088</v>
      </c>
      <c r="I110" s="249"/>
      <c r="J110" s="249">
        <v>313</v>
      </c>
      <c r="K110" s="249"/>
      <c r="L110" s="249">
        <v>760</v>
      </c>
      <c r="M110" s="249"/>
      <c r="N110" s="249">
        <v>198</v>
      </c>
      <c r="O110" s="249"/>
      <c r="P110" s="249">
        <v>91</v>
      </c>
      <c r="Q110" s="249"/>
      <c r="R110" s="249">
        <v>74</v>
      </c>
      <c r="S110" s="249"/>
      <c r="T110" s="249">
        <v>173</v>
      </c>
      <c r="U110" s="249"/>
      <c r="V110" s="252"/>
      <c r="W110" s="249">
        <f t="shared" si="12"/>
        <v>9622</v>
      </c>
      <c r="X110" s="770"/>
      <c r="Y110" s="76">
        <v>2011</v>
      </c>
      <c r="Z110" s="71" t="s">
        <v>82</v>
      </c>
      <c r="AA110" s="12"/>
      <c r="AB110" s="12"/>
      <c r="AC110" s="12"/>
      <c r="AD110" s="170"/>
    </row>
    <row r="111" spans="2:30" s="14" customFormat="1" ht="12.75" hidden="1" customHeight="1">
      <c r="B111" s="68">
        <v>2011</v>
      </c>
      <c r="C111" s="12" t="s">
        <v>31</v>
      </c>
      <c r="D111" s="247">
        <v>6549</v>
      </c>
      <c r="E111" s="249"/>
      <c r="F111" s="249">
        <v>1022</v>
      </c>
      <c r="G111" s="249"/>
      <c r="H111" s="249">
        <v>824</v>
      </c>
      <c r="I111" s="249"/>
      <c r="J111" s="249">
        <v>206</v>
      </c>
      <c r="K111" s="249"/>
      <c r="L111" s="249">
        <v>501</v>
      </c>
      <c r="M111" s="249"/>
      <c r="N111" s="249">
        <v>206</v>
      </c>
      <c r="O111" s="249"/>
      <c r="P111" s="249">
        <v>49</v>
      </c>
      <c r="Q111" s="249"/>
      <c r="R111" s="249">
        <v>47</v>
      </c>
      <c r="S111" s="249"/>
      <c r="T111" s="249">
        <v>142</v>
      </c>
      <c r="U111" s="249"/>
      <c r="V111" s="252"/>
      <c r="W111" s="249">
        <f t="shared" si="12"/>
        <v>9546</v>
      </c>
      <c r="X111" s="770"/>
      <c r="Y111" s="76">
        <v>2011</v>
      </c>
      <c r="Z111" s="71" t="s">
        <v>31</v>
      </c>
      <c r="AA111" s="12"/>
      <c r="AB111" s="12"/>
      <c r="AC111" s="12"/>
      <c r="AD111" s="170"/>
    </row>
    <row r="112" spans="2:30" s="14" customFormat="1" ht="12.75" hidden="1" customHeight="1">
      <c r="B112" s="68">
        <v>2011</v>
      </c>
      <c r="C112" s="12" t="s">
        <v>38</v>
      </c>
      <c r="D112" s="247">
        <v>5558</v>
      </c>
      <c r="E112" s="249"/>
      <c r="F112" s="249">
        <v>994</v>
      </c>
      <c r="G112" s="249"/>
      <c r="H112" s="249">
        <v>1078</v>
      </c>
      <c r="I112" s="249"/>
      <c r="J112" s="249">
        <v>219</v>
      </c>
      <c r="K112" s="249"/>
      <c r="L112" s="249">
        <v>432</v>
      </c>
      <c r="M112" s="249"/>
      <c r="N112" s="249">
        <v>116</v>
      </c>
      <c r="O112" s="249"/>
      <c r="P112" s="249">
        <v>46</v>
      </c>
      <c r="Q112" s="249"/>
      <c r="R112" s="249">
        <v>57</v>
      </c>
      <c r="S112" s="249"/>
      <c r="T112" s="249">
        <v>137</v>
      </c>
      <c r="U112" s="249"/>
      <c r="V112" s="252"/>
      <c r="W112" s="249">
        <f t="shared" si="12"/>
        <v>8637</v>
      </c>
      <c r="X112" s="770"/>
      <c r="Y112" s="76">
        <v>2011</v>
      </c>
      <c r="Z112" s="71" t="s">
        <v>38</v>
      </c>
      <c r="AA112" s="12"/>
      <c r="AB112" s="12"/>
      <c r="AC112" s="12"/>
      <c r="AD112" s="170"/>
    </row>
    <row r="113" spans="2:30" s="14" customFormat="1" ht="12.75" hidden="1" customHeight="1">
      <c r="B113" s="68">
        <v>2011</v>
      </c>
      <c r="C113" s="12" t="s">
        <v>39</v>
      </c>
      <c r="D113" s="247">
        <v>4736</v>
      </c>
      <c r="E113" s="249"/>
      <c r="F113" s="249">
        <v>913</v>
      </c>
      <c r="G113" s="249"/>
      <c r="H113" s="249">
        <v>922</v>
      </c>
      <c r="I113" s="249"/>
      <c r="J113" s="249">
        <v>282</v>
      </c>
      <c r="K113" s="249"/>
      <c r="L113" s="249">
        <v>424</v>
      </c>
      <c r="M113" s="249"/>
      <c r="N113" s="249">
        <v>119</v>
      </c>
      <c r="O113" s="249"/>
      <c r="P113" s="249">
        <v>55</v>
      </c>
      <c r="Q113" s="249"/>
      <c r="R113" s="249">
        <v>53</v>
      </c>
      <c r="S113" s="249"/>
      <c r="T113" s="249">
        <v>151</v>
      </c>
      <c r="U113" s="249"/>
      <c r="V113" s="252"/>
      <c r="W113" s="249">
        <f t="shared" si="12"/>
        <v>7655</v>
      </c>
      <c r="X113" s="770"/>
      <c r="Y113" s="76">
        <v>2011</v>
      </c>
      <c r="Z113" s="71" t="s">
        <v>39</v>
      </c>
      <c r="AA113" s="12"/>
      <c r="AB113" s="12"/>
      <c r="AC113" s="12"/>
      <c r="AD113" s="170"/>
    </row>
    <row r="114" spans="2:30" s="14" customFormat="1" ht="12.75" hidden="1" customHeight="1">
      <c r="B114" s="68">
        <v>2011</v>
      </c>
      <c r="C114" s="12" t="s">
        <v>32</v>
      </c>
      <c r="D114" s="247">
        <v>5785</v>
      </c>
      <c r="E114" s="249"/>
      <c r="F114" s="249">
        <v>759</v>
      </c>
      <c r="G114" s="249"/>
      <c r="H114" s="249">
        <v>1460</v>
      </c>
      <c r="I114" s="249"/>
      <c r="J114" s="249">
        <v>333</v>
      </c>
      <c r="K114" s="249"/>
      <c r="L114" s="249">
        <v>340</v>
      </c>
      <c r="M114" s="249"/>
      <c r="N114" s="249">
        <v>109</v>
      </c>
      <c r="O114" s="249"/>
      <c r="P114" s="249">
        <v>52</v>
      </c>
      <c r="Q114" s="249"/>
      <c r="R114" s="249">
        <v>33</v>
      </c>
      <c r="S114" s="249"/>
      <c r="T114" s="249">
        <v>119</v>
      </c>
      <c r="U114" s="249"/>
      <c r="V114" s="252"/>
      <c r="W114" s="249">
        <f t="shared" si="12"/>
        <v>8990</v>
      </c>
      <c r="X114" s="770"/>
      <c r="Y114" s="76">
        <v>2011</v>
      </c>
      <c r="Z114" s="71" t="s">
        <v>32</v>
      </c>
      <c r="AA114" s="12"/>
      <c r="AB114" s="12"/>
      <c r="AC114" s="12"/>
      <c r="AD114" s="170"/>
    </row>
    <row r="115" spans="2:30" s="14" customFormat="1" ht="12.75" hidden="1" customHeight="1">
      <c r="B115" s="68">
        <v>2012</v>
      </c>
      <c r="C115" s="12" t="s">
        <v>33</v>
      </c>
      <c r="D115" s="247">
        <v>5653</v>
      </c>
      <c r="E115" s="249"/>
      <c r="F115" s="249">
        <v>757</v>
      </c>
      <c r="G115" s="249"/>
      <c r="H115" s="249">
        <v>1458</v>
      </c>
      <c r="I115" s="249"/>
      <c r="J115" s="249">
        <v>247</v>
      </c>
      <c r="K115" s="249"/>
      <c r="L115" s="249">
        <v>341</v>
      </c>
      <c r="M115" s="249"/>
      <c r="N115" s="249">
        <v>105</v>
      </c>
      <c r="O115" s="249"/>
      <c r="P115" s="249">
        <v>49</v>
      </c>
      <c r="Q115" s="249"/>
      <c r="R115" s="249">
        <v>45</v>
      </c>
      <c r="S115" s="249"/>
      <c r="T115" s="249">
        <v>100</v>
      </c>
      <c r="U115" s="249"/>
      <c r="V115" s="252"/>
      <c r="W115" s="249">
        <f>SUM(D115:T115)</f>
        <v>8755</v>
      </c>
      <c r="X115" s="770"/>
      <c r="Y115" s="76">
        <v>2012</v>
      </c>
      <c r="Z115" s="71" t="s">
        <v>33</v>
      </c>
      <c r="AA115" s="12"/>
      <c r="AB115" s="12"/>
      <c r="AC115" s="12"/>
      <c r="AD115" s="170"/>
    </row>
    <row r="116" spans="2:30" s="14" customFormat="1" ht="12.75" hidden="1" customHeight="1">
      <c r="B116" s="68">
        <v>2012</v>
      </c>
      <c r="C116" s="12" t="s">
        <v>34</v>
      </c>
      <c r="D116" s="247">
        <v>2387</v>
      </c>
      <c r="E116" s="249"/>
      <c r="F116" s="249">
        <v>354</v>
      </c>
      <c r="G116" s="249"/>
      <c r="H116" s="249">
        <v>814</v>
      </c>
      <c r="I116" s="249"/>
      <c r="J116" s="249">
        <v>403</v>
      </c>
      <c r="K116" s="249"/>
      <c r="L116" s="249">
        <v>367</v>
      </c>
      <c r="M116" s="249"/>
      <c r="N116" s="249">
        <v>130</v>
      </c>
      <c r="O116" s="249"/>
      <c r="P116" s="249">
        <v>59</v>
      </c>
      <c r="Q116" s="249"/>
      <c r="R116" s="249">
        <v>41</v>
      </c>
      <c r="S116" s="249"/>
      <c r="T116" s="249">
        <v>145</v>
      </c>
      <c r="U116" s="249"/>
      <c r="V116" s="252"/>
      <c r="W116" s="249">
        <f t="shared" ref="W116:W152" si="13">SUM(D116:T116)</f>
        <v>4700</v>
      </c>
      <c r="X116" s="770"/>
      <c r="Y116" s="76">
        <v>2012</v>
      </c>
      <c r="Z116" s="71" t="s">
        <v>77</v>
      </c>
      <c r="AA116" s="12"/>
      <c r="AB116" s="12"/>
      <c r="AC116" s="96"/>
      <c r="AD116" s="170"/>
    </row>
    <row r="117" spans="2:30" s="14" customFormat="1" ht="12.75" hidden="1" customHeight="1">
      <c r="B117" s="68">
        <v>2012</v>
      </c>
      <c r="C117" s="12" t="s">
        <v>29</v>
      </c>
      <c r="D117" s="247">
        <v>3970</v>
      </c>
      <c r="E117" s="249"/>
      <c r="F117" s="249">
        <v>641</v>
      </c>
      <c r="G117" s="249"/>
      <c r="H117" s="249">
        <v>707</v>
      </c>
      <c r="I117" s="249"/>
      <c r="J117" s="249">
        <v>277</v>
      </c>
      <c r="K117" s="249"/>
      <c r="L117" s="249">
        <v>332</v>
      </c>
      <c r="M117" s="249"/>
      <c r="N117" s="249">
        <v>131</v>
      </c>
      <c r="O117" s="249"/>
      <c r="P117" s="249">
        <v>52</v>
      </c>
      <c r="Q117" s="249"/>
      <c r="R117" s="249">
        <v>42</v>
      </c>
      <c r="S117" s="249"/>
      <c r="T117" s="249">
        <v>191</v>
      </c>
      <c r="U117" s="249"/>
      <c r="V117" s="252"/>
      <c r="W117" s="249">
        <f>SUM(D117:T117)</f>
        <v>6343</v>
      </c>
      <c r="X117" s="770"/>
      <c r="Y117" s="76">
        <v>2012</v>
      </c>
      <c r="Z117" s="71" t="s">
        <v>29</v>
      </c>
      <c r="AA117" s="12"/>
      <c r="AB117" s="12"/>
      <c r="AC117" s="96"/>
      <c r="AD117" s="170"/>
    </row>
    <row r="118" spans="2:30" s="14" customFormat="1" ht="12.75" hidden="1" customHeight="1">
      <c r="B118" s="68">
        <v>2012</v>
      </c>
      <c r="C118" s="12" t="s">
        <v>35</v>
      </c>
      <c r="D118" s="247">
        <v>5021</v>
      </c>
      <c r="E118" s="249"/>
      <c r="F118" s="249">
        <v>838</v>
      </c>
      <c r="G118" s="249"/>
      <c r="H118" s="249">
        <v>991</v>
      </c>
      <c r="I118" s="249"/>
      <c r="J118" s="249">
        <v>270</v>
      </c>
      <c r="K118" s="249"/>
      <c r="L118" s="249">
        <v>335</v>
      </c>
      <c r="M118" s="249"/>
      <c r="N118" s="249">
        <v>133</v>
      </c>
      <c r="O118" s="249"/>
      <c r="P118" s="249">
        <v>58</v>
      </c>
      <c r="Q118" s="249"/>
      <c r="R118" s="249">
        <v>40</v>
      </c>
      <c r="S118" s="249"/>
      <c r="T118" s="249">
        <v>174</v>
      </c>
      <c r="U118" s="249"/>
      <c r="V118" s="252"/>
      <c r="W118" s="249">
        <f t="shared" si="13"/>
        <v>7860</v>
      </c>
      <c r="X118" s="770"/>
      <c r="Y118" s="76">
        <v>2012</v>
      </c>
      <c r="Z118" s="71" t="s">
        <v>78</v>
      </c>
      <c r="AA118" s="12"/>
      <c r="AB118" s="12"/>
      <c r="AC118" s="96"/>
      <c r="AD118" s="170"/>
    </row>
    <row r="119" spans="2:30" s="14" customFormat="1" ht="12.75" hidden="1" customHeight="1">
      <c r="B119" s="68">
        <v>2012</v>
      </c>
      <c r="C119" s="12" t="s">
        <v>4</v>
      </c>
      <c r="D119" s="247">
        <v>4091</v>
      </c>
      <c r="E119" s="249"/>
      <c r="F119" s="249">
        <v>821</v>
      </c>
      <c r="G119" s="249"/>
      <c r="H119" s="249">
        <v>1198</v>
      </c>
      <c r="I119" s="249"/>
      <c r="J119" s="249">
        <v>454</v>
      </c>
      <c r="K119" s="249"/>
      <c r="L119" s="249">
        <v>410</v>
      </c>
      <c r="M119" s="249"/>
      <c r="N119" s="249">
        <v>219</v>
      </c>
      <c r="O119" s="249"/>
      <c r="P119" s="249">
        <v>59</v>
      </c>
      <c r="Q119" s="249"/>
      <c r="R119" s="249">
        <v>54</v>
      </c>
      <c r="S119" s="249"/>
      <c r="T119" s="249">
        <v>168</v>
      </c>
      <c r="U119" s="249"/>
      <c r="V119" s="252"/>
      <c r="W119" s="249">
        <f t="shared" si="13"/>
        <v>7474</v>
      </c>
      <c r="X119" s="770"/>
      <c r="Y119" s="76">
        <v>2012</v>
      </c>
      <c r="Z119" s="71" t="s">
        <v>79</v>
      </c>
      <c r="AA119" s="12"/>
      <c r="AB119" s="12"/>
      <c r="AC119" s="96"/>
      <c r="AD119" s="170"/>
    </row>
    <row r="120" spans="2:30" s="14" customFormat="1" ht="12.75" hidden="1" customHeight="1">
      <c r="B120" s="68">
        <v>2012</v>
      </c>
      <c r="C120" s="12" t="s">
        <v>68</v>
      </c>
      <c r="D120" s="247">
        <v>6248</v>
      </c>
      <c r="E120" s="249"/>
      <c r="F120" s="249">
        <v>1690</v>
      </c>
      <c r="G120" s="249"/>
      <c r="H120" s="249">
        <v>726</v>
      </c>
      <c r="I120" s="249"/>
      <c r="J120" s="249">
        <v>310</v>
      </c>
      <c r="K120" s="249"/>
      <c r="L120" s="249">
        <v>523</v>
      </c>
      <c r="M120" s="249"/>
      <c r="N120" s="249">
        <v>203</v>
      </c>
      <c r="O120" s="249"/>
      <c r="P120" s="249">
        <v>52</v>
      </c>
      <c r="Q120" s="249"/>
      <c r="R120" s="249">
        <v>42</v>
      </c>
      <c r="S120" s="249"/>
      <c r="T120" s="249">
        <v>182</v>
      </c>
      <c r="U120" s="249"/>
      <c r="V120" s="252"/>
      <c r="W120" s="249">
        <f t="shared" si="13"/>
        <v>9976</v>
      </c>
      <c r="X120" s="770"/>
      <c r="Y120" s="76">
        <v>2012</v>
      </c>
      <c r="Z120" s="71" t="s">
        <v>80</v>
      </c>
      <c r="AA120" s="12"/>
      <c r="AB120" s="12"/>
      <c r="AC120" s="96"/>
      <c r="AD120" s="170"/>
    </row>
    <row r="121" spans="2:30" s="14" customFormat="1" ht="12.75" hidden="1" customHeight="1">
      <c r="B121" s="68">
        <v>2012</v>
      </c>
      <c r="C121" s="12" t="s">
        <v>36</v>
      </c>
      <c r="D121" s="247">
        <v>6937</v>
      </c>
      <c r="E121" s="249"/>
      <c r="F121" s="249">
        <v>2032</v>
      </c>
      <c r="G121" s="249"/>
      <c r="H121" s="249">
        <v>1188</v>
      </c>
      <c r="I121" s="249"/>
      <c r="J121" s="249">
        <v>433</v>
      </c>
      <c r="K121" s="249"/>
      <c r="L121" s="249">
        <v>633</v>
      </c>
      <c r="M121" s="249"/>
      <c r="N121" s="249">
        <v>216</v>
      </c>
      <c r="O121" s="249"/>
      <c r="P121" s="249">
        <v>95</v>
      </c>
      <c r="Q121" s="249"/>
      <c r="R121" s="249">
        <v>82</v>
      </c>
      <c r="S121" s="249"/>
      <c r="T121" s="249">
        <v>154</v>
      </c>
      <c r="U121" s="249"/>
      <c r="V121" s="252"/>
      <c r="W121" s="249">
        <f t="shared" si="13"/>
        <v>11770</v>
      </c>
      <c r="X121" s="770"/>
      <c r="Y121" s="76">
        <v>2012</v>
      </c>
      <c r="Z121" s="71" t="s">
        <v>81</v>
      </c>
      <c r="AA121" s="12"/>
      <c r="AB121" s="12"/>
      <c r="AC121" s="12"/>
      <c r="AD121" s="170"/>
    </row>
    <row r="122" spans="2:30" s="14" customFormat="1" ht="12.75" hidden="1" customHeight="1">
      <c r="B122" s="68">
        <v>2012</v>
      </c>
      <c r="C122" s="12" t="s">
        <v>37</v>
      </c>
      <c r="D122" s="247">
        <v>6043</v>
      </c>
      <c r="E122" s="249"/>
      <c r="F122" s="249">
        <v>2049</v>
      </c>
      <c r="G122" s="249"/>
      <c r="H122" s="249">
        <v>928</v>
      </c>
      <c r="I122" s="249"/>
      <c r="J122" s="249">
        <v>298</v>
      </c>
      <c r="K122" s="249"/>
      <c r="L122" s="249">
        <v>646</v>
      </c>
      <c r="M122" s="249"/>
      <c r="N122" s="249">
        <v>181</v>
      </c>
      <c r="O122" s="249"/>
      <c r="P122" s="249">
        <v>58</v>
      </c>
      <c r="Q122" s="249"/>
      <c r="R122" s="249">
        <v>52</v>
      </c>
      <c r="S122" s="249"/>
      <c r="T122" s="249">
        <v>150</v>
      </c>
      <c r="U122" s="249"/>
      <c r="V122" s="252"/>
      <c r="W122" s="249">
        <f t="shared" si="13"/>
        <v>10405</v>
      </c>
      <c r="X122" s="770"/>
      <c r="Y122" s="76">
        <v>2012</v>
      </c>
      <c r="Z122" s="71" t="s">
        <v>82</v>
      </c>
      <c r="AA122" s="12"/>
      <c r="AB122" s="12"/>
      <c r="AC122" s="12"/>
      <c r="AD122" s="170"/>
    </row>
    <row r="123" spans="2:30" s="14" customFormat="1" ht="12.75" hidden="1" customHeight="1">
      <c r="B123" s="68">
        <v>2012</v>
      </c>
      <c r="C123" s="12" t="s">
        <v>31</v>
      </c>
      <c r="D123" s="247">
        <v>7640</v>
      </c>
      <c r="E123" s="249"/>
      <c r="F123" s="249">
        <v>1827</v>
      </c>
      <c r="G123" s="249"/>
      <c r="H123" s="249">
        <v>1227</v>
      </c>
      <c r="I123" s="249"/>
      <c r="J123" s="249">
        <v>451</v>
      </c>
      <c r="K123" s="249"/>
      <c r="L123" s="249">
        <v>462</v>
      </c>
      <c r="M123" s="249"/>
      <c r="N123" s="249">
        <v>231</v>
      </c>
      <c r="O123" s="249"/>
      <c r="P123" s="249">
        <v>59</v>
      </c>
      <c r="Q123" s="249"/>
      <c r="R123" s="249">
        <v>79</v>
      </c>
      <c r="S123" s="249"/>
      <c r="T123" s="249">
        <v>206</v>
      </c>
      <c r="U123" s="249"/>
      <c r="V123" s="252"/>
      <c r="W123" s="249">
        <f t="shared" si="13"/>
        <v>12182</v>
      </c>
      <c r="X123" s="770"/>
      <c r="Y123" s="76">
        <v>2012</v>
      </c>
      <c r="Z123" s="71" t="s">
        <v>31</v>
      </c>
      <c r="AA123" s="12"/>
      <c r="AB123" s="12"/>
      <c r="AC123" s="12"/>
      <c r="AD123" s="170"/>
    </row>
    <row r="124" spans="2:30" s="14" customFormat="1" ht="12.75" hidden="1" customHeight="1">
      <c r="B124" s="68">
        <v>2012</v>
      </c>
      <c r="C124" s="12" t="s">
        <v>38</v>
      </c>
      <c r="D124" s="247">
        <v>5960</v>
      </c>
      <c r="E124" s="249"/>
      <c r="F124" s="249">
        <v>1505</v>
      </c>
      <c r="G124" s="249"/>
      <c r="H124" s="249">
        <v>1072</v>
      </c>
      <c r="I124" s="249"/>
      <c r="J124" s="249">
        <v>334</v>
      </c>
      <c r="K124" s="249"/>
      <c r="L124" s="249">
        <v>576</v>
      </c>
      <c r="M124" s="249"/>
      <c r="N124" s="249">
        <v>216</v>
      </c>
      <c r="O124" s="249"/>
      <c r="P124" s="249">
        <v>41</v>
      </c>
      <c r="Q124" s="249"/>
      <c r="R124" s="249">
        <v>40</v>
      </c>
      <c r="S124" s="249"/>
      <c r="T124" s="249">
        <v>178</v>
      </c>
      <c r="U124" s="249"/>
      <c r="V124" s="252"/>
      <c r="W124" s="249">
        <f t="shared" si="13"/>
        <v>9922</v>
      </c>
      <c r="X124" s="770"/>
      <c r="Y124" s="76">
        <v>2012</v>
      </c>
      <c r="Z124" s="71" t="s">
        <v>38</v>
      </c>
      <c r="AA124" s="12"/>
      <c r="AB124" s="12"/>
      <c r="AC124" s="12"/>
      <c r="AD124" s="170"/>
    </row>
    <row r="125" spans="2:30" s="14" customFormat="1" ht="12.75" hidden="1" customHeight="1">
      <c r="B125" s="68">
        <v>2012</v>
      </c>
      <c r="C125" s="12" t="s">
        <v>39</v>
      </c>
      <c r="D125" s="247">
        <v>4622</v>
      </c>
      <c r="E125" s="249"/>
      <c r="F125" s="249">
        <v>790</v>
      </c>
      <c r="G125" s="249"/>
      <c r="H125" s="249">
        <v>1071</v>
      </c>
      <c r="I125" s="249"/>
      <c r="J125" s="249">
        <v>293</v>
      </c>
      <c r="K125" s="249"/>
      <c r="L125" s="249">
        <v>505</v>
      </c>
      <c r="M125" s="249"/>
      <c r="N125" s="249">
        <v>156</v>
      </c>
      <c r="O125" s="249"/>
      <c r="P125" s="249">
        <v>55</v>
      </c>
      <c r="Q125" s="249"/>
      <c r="R125" s="249">
        <v>50</v>
      </c>
      <c r="S125" s="249"/>
      <c r="T125" s="249">
        <v>162</v>
      </c>
      <c r="U125" s="249"/>
      <c r="V125" s="252"/>
      <c r="W125" s="249">
        <f t="shared" si="13"/>
        <v>7704</v>
      </c>
      <c r="X125" s="770"/>
      <c r="Y125" s="76">
        <v>2012</v>
      </c>
      <c r="Z125" s="71" t="s">
        <v>39</v>
      </c>
      <c r="AA125" s="12"/>
      <c r="AB125" s="12"/>
      <c r="AC125" s="12"/>
      <c r="AD125" s="170"/>
    </row>
    <row r="126" spans="2:30" s="14" customFormat="1" ht="12.75" hidden="1" customHeight="1">
      <c r="B126" s="68">
        <v>2012</v>
      </c>
      <c r="C126" s="12" t="s">
        <v>32</v>
      </c>
      <c r="D126" s="247">
        <v>6833</v>
      </c>
      <c r="E126" s="249"/>
      <c r="F126" s="249">
        <v>1126</v>
      </c>
      <c r="G126" s="249"/>
      <c r="H126" s="249">
        <v>1758</v>
      </c>
      <c r="I126" s="249"/>
      <c r="J126" s="249">
        <v>543</v>
      </c>
      <c r="K126" s="249"/>
      <c r="L126" s="249">
        <v>361</v>
      </c>
      <c r="M126" s="249"/>
      <c r="N126" s="249">
        <v>173</v>
      </c>
      <c r="O126" s="249"/>
      <c r="P126" s="249">
        <v>68</v>
      </c>
      <c r="Q126" s="249"/>
      <c r="R126" s="249">
        <v>56</v>
      </c>
      <c r="S126" s="249"/>
      <c r="T126" s="249">
        <v>152</v>
      </c>
      <c r="U126" s="249"/>
      <c r="V126" s="252"/>
      <c r="W126" s="249">
        <f t="shared" si="13"/>
        <v>11070</v>
      </c>
      <c r="X126" s="770"/>
      <c r="Y126" s="76">
        <v>2012</v>
      </c>
      <c r="Z126" s="71" t="s">
        <v>32</v>
      </c>
      <c r="AA126" s="12"/>
      <c r="AB126" s="12"/>
      <c r="AC126" s="12"/>
      <c r="AD126" s="170"/>
    </row>
    <row r="127" spans="2:30" s="14" customFormat="1" ht="12.75" hidden="1" customHeight="1">
      <c r="B127" s="68">
        <v>2013</v>
      </c>
      <c r="C127" s="12" t="s">
        <v>33</v>
      </c>
      <c r="D127" s="247">
        <v>4591</v>
      </c>
      <c r="E127" s="249"/>
      <c r="F127" s="249">
        <v>621</v>
      </c>
      <c r="G127" s="249"/>
      <c r="H127" s="249">
        <v>1428</v>
      </c>
      <c r="I127" s="249"/>
      <c r="J127" s="249">
        <v>231</v>
      </c>
      <c r="K127" s="249"/>
      <c r="L127" s="249">
        <v>364</v>
      </c>
      <c r="M127" s="249"/>
      <c r="N127" s="249">
        <v>135</v>
      </c>
      <c r="O127" s="249"/>
      <c r="P127" s="249">
        <v>32</v>
      </c>
      <c r="Q127" s="249"/>
      <c r="R127" s="249">
        <v>93</v>
      </c>
      <c r="S127" s="249"/>
      <c r="T127" s="249">
        <v>117</v>
      </c>
      <c r="U127" s="249"/>
      <c r="V127" s="249"/>
      <c r="W127" s="249">
        <f t="shared" si="13"/>
        <v>7612</v>
      </c>
      <c r="X127" s="770"/>
      <c r="Y127" s="76">
        <v>2013</v>
      </c>
      <c r="Z127" s="71" t="s">
        <v>33</v>
      </c>
      <c r="AA127" s="12"/>
      <c r="AB127" s="12"/>
      <c r="AC127" s="12"/>
      <c r="AD127" s="170"/>
    </row>
    <row r="128" spans="2:30" s="14" customFormat="1" ht="12.75" hidden="1" customHeight="1">
      <c r="B128" s="68">
        <v>2013</v>
      </c>
      <c r="C128" s="12" t="s">
        <v>34</v>
      </c>
      <c r="D128" s="247">
        <v>2448</v>
      </c>
      <c r="E128" s="269"/>
      <c r="F128" s="249">
        <v>429</v>
      </c>
      <c r="G128" s="269"/>
      <c r="H128" s="249">
        <v>876</v>
      </c>
      <c r="I128" s="269"/>
      <c r="J128" s="249">
        <v>440</v>
      </c>
      <c r="K128" s="269"/>
      <c r="L128" s="249">
        <v>340</v>
      </c>
      <c r="M128" s="269"/>
      <c r="N128" s="249">
        <v>154</v>
      </c>
      <c r="O128" s="269"/>
      <c r="P128" s="249">
        <v>26</v>
      </c>
      <c r="Q128" s="269"/>
      <c r="R128" s="360">
        <v>67</v>
      </c>
      <c r="S128" s="269"/>
      <c r="T128" s="249">
        <v>151</v>
      </c>
      <c r="U128" s="269"/>
      <c r="V128" s="269"/>
      <c r="W128" s="249">
        <f t="shared" si="13"/>
        <v>4931</v>
      </c>
      <c r="X128" s="771"/>
      <c r="Y128" s="76">
        <v>2013</v>
      </c>
      <c r="Z128" s="71" t="s">
        <v>77</v>
      </c>
      <c r="AA128" s="12"/>
      <c r="AB128" s="12"/>
      <c r="AC128" s="12"/>
      <c r="AD128" s="170"/>
    </row>
    <row r="129" spans="2:31" s="14" customFormat="1" ht="12.75" hidden="1" customHeight="1">
      <c r="B129" s="68">
        <v>2013</v>
      </c>
      <c r="C129" s="12" t="s">
        <v>29</v>
      </c>
      <c r="D129" s="247">
        <v>4405</v>
      </c>
      <c r="E129" s="249"/>
      <c r="F129" s="249">
        <v>718</v>
      </c>
      <c r="G129" s="249"/>
      <c r="H129" s="249">
        <v>720</v>
      </c>
      <c r="I129" s="249"/>
      <c r="J129" s="249">
        <v>344</v>
      </c>
      <c r="K129" s="249"/>
      <c r="L129" s="249">
        <v>388</v>
      </c>
      <c r="M129" s="249"/>
      <c r="N129" s="249">
        <v>135</v>
      </c>
      <c r="O129" s="249"/>
      <c r="P129" s="249">
        <v>36</v>
      </c>
      <c r="Q129" s="249"/>
      <c r="R129" s="249">
        <v>82</v>
      </c>
      <c r="S129" s="249"/>
      <c r="T129" s="249">
        <v>149</v>
      </c>
      <c r="U129" s="249"/>
      <c r="V129" s="249"/>
      <c r="W129" s="249">
        <f>SUM(D129:T129)</f>
        <v>6977</v>
      </c>
      <c r="X129" s="770"/>
      <c r="Y129" s="76">
        <v>2013</v>
      </c>
      <c r="Z129" s="71" t="s">
        <v>29</v>
      </c>
      <c r="AA129" s="12"/>
      <c r="AB129" s="12"/>
      <c r="AC129" s="12"/>
      <c r="AD129" s="170"/>
    </row>
    <row r="130" spans="2:31" s="14" customFormat="1" ht="12.75" hidden="1" customHeight="1">
      <c r="B130" s="68">
        <v>2013</v>
      </c>
      <c r="C130" s="12" t="s">
        <v>35</v>
      </c>
      <c r="D130" s="247">
        <v>4931</v>
      </c>
      <c r="E130" s="249"/>
      <c r="F130" s="249">
        <v>994</v>
      </c>
      <c r="G130" s="249"/>
      <c r="H130" s="249">
        <v>1126</v>
      </c>
      <c r="I130" s="249"/>
      <c r="J130" s="249">
        <v>522</v>
      </c>
      <c r="K130" s="249"/>
      <c r="L130" s="249">
        <v>533</v>
      </c>
      <c r="M130" s="249"/>
      <c r="N130" s="249">
        <v>222</v>
      </c>
      <c r="O130" s="249"/>
      <c r="P130" s="249">
        <v>58</v>
      </c>
      <c r="Q130" s="249"/>
      <c r="R130" s="249">
        <v>77</v>
      </c>
      <c r="S130" s="249"/>
      <c r="T130" s="249">
        <v>199</v>
      </c>
      <c r="U130" s="249"/>
      <c r="V130" s="249"/>
      <c r="W130" s="249">
        <f t="shared" si="13"/>
        <v>8662</v>
      </c>
      <c r="X130" s="770"/>
      <c r="Y130" s="76">
        <v>2013</v>
      </c>
      <c r="Z130" s="71" t="s">
        <v>78</v>
      </c>
      <c r="AA130" s="12"/>
      <c r="AB130" s="12"/>
      <c r="AC130" s="12"/>
      <c r="AD130" s="170"/>
    </row>
    <row r="131" spans="2:31" s="14" customFormat="1" ht="12.75" hidden="1" customHeight="1">
      <c r="B131" s="68">
        <v>2013</v>
      </c>
      <c r="C131" s="12" t="s">
        <v>4</v>
      </c>
      <c r="D131" s="247">
        <v>4669</v>
      </c>
      <c r="E131" s="249"/>
      <c r="F131" s="249">
        <v>959</v>
      </c>
      <c r="G131" s="249"/>
      <c r="H131" s="249">
        <v>971</v>
      </c>
      <c r="I131" s="249"/>
      <c r="J131" s="249">
        <v>293</v>
      </c>
      <c r="K131" s="249"/>
      <c r="L131" s="249">
        <v>374</v>
      </c>
      <c r="M131" s="249"/>
      <c r="N131" s="249">
        <v>165</v>
      </c>
      <c r="O131" s="249"/>
      <c r="P131" s="249">
        <v>62</v>
      </c>
      <c r="Q131" s="249"/>
      <c r="R131" s="249">
        <v>62</v>
      </c>
      <c r="S131" s="249"/>
      <c r="T131" s="249">
        <v>115</v>
      </c>
      <c r="U131" s="249"/>
      <c r="V131" s="249"/>
      <c r="W131" s="249">
        <f t="shared" si="13"/>
        <v>7670</v>
      </c>
      <c r="X131" s="770"/>
      <c r="Y131" s="76">
        <v>2013</v>
      </c>
      <c r="Z131" s="71" t="s">
        <v>79</v>
      </c>
      <c r="AA131" s="12"/>
      <c r="AB131" s="12"/>
      <c r="AC131" s="96"/>
      <c r="AD131" s="170"/>
    </row>
    <row r="132" spans="2:31" s="14" customFormat="1" ht="12.75" hidden="1" customHeight="1">
      <c r="B132" s="68">
        <v>2013</v>
      </c>
      <c r="C132" s="12" t="s">
        <v>30</v>
      </c>
      <c r="D132" s="247">
        <v>6911</v>
      </c>
      <c r="E132" s="249"/>
      <c r="F132" s="249">
        <v>1901</v>
      </c>
      <c r="G132" s="249"/>
      <c r="H132" s="249">
        <v>971</v>
      </c>
      <c r="I132" s="249"/>
      <c r="J132" s="249">
        <v>461</v>
      </c>
      <c r="K132" s="249"/>
      <c r="L132" s="249">
        <v>419</v>
      </c>
      <c r="M132" s="249"/>
      <c r="N132" s="249">
        <v>279</v>
      </c>
      <c r="O132" s="249"/>
      <c r="P132" s="249">
        <v>39</v>
      </c>
      <c r="Q132" s="249"/>
      <c r="R132" s="249">
        <v>81</v>
      </c>
      <c r="S132" s="249"/>
      <c r="T132" s="249">
        <v>144</v>
      </c>
      <c r="U132" s="249"/>
      <c r="V132" s="249"/>
      <c r="W132" s="249">
        <f t="shared" si="13"/>
        <v>11206</v>
      </c>
      <c r="X132" s="770"/>
      <c r="Y132" s="76">
        <v>2013</v>
      </c>
      <c r="Z132" s="71" t="s">
        <v>80</v>
      </c>
      <c r="AA132" s="12"/>
      <c r="AB132" s="12"/>
      <c r="AC132" s="12"/>
      <c r="AD132" s="170"/>
    </row>
    <row r="133" spans="2:31" s="14" customFormat="1" ht="12.75" hidden="1" customHeight="1">
      <c r="B133" s="68">
        <v>2013</v>
      </c>
      <c r="C133" s="12" t="s">
        <v>36</v>
      </c>
      <c r="D133" s="247">
        <v>7091</v>
      </c>
      <c r="E133" s="249"/>
      <c r="F133" s="249">
        <v>2319</v>
      </c>
      <c r="G133" s="249"/>
      <c r="H133" s="249">
        <v>805</v>
      </c>
      <c r="I133" s="249"/>
      <c r="J133" s="249">
        <v>384</v>
      </c>
      <c r="K133" s="249"/>
      <c r="L133" s="249">
        <v>654</v>
      </c>
      <c r="M133" s="249"/>
      <c r="N133" s="249">
        <v>217</v>
      </c>
      <c r="O133" s="249"/>
      <c r="P133" s="249">
        <v>47</v>
      </c>
      <c r="Q133" s="249"/>
      <c r="R133" s="249">
        <v>92</v>
      </c>
      <c r="S133" s="249"/>
      <c r="T133" s="249">
        <v>246</v>
      </c>
      <c r="U133" s="249"/>
      <c r="V133" s="249"/>
      <c r="W133" s="249">
        <f t="shared" si="13"/>
        <v>11855</v>
      </c>
      <c r="X133" s="770"/>
      <c r="Y133" s="76">
        <v>2013</v>
      </c>
      <c r="Z133" s="71" t="s">
        <v>81</v>
      </c>
      <c r="AA133" s="12"/>
      <c r="AB133" s="12"/>
      <c r="AC133" s="12"/>
      <c r="AD133" s="170"/>
    </row>
    <row r="134" spans="2:31" s="14" customFormat="1" ht="12.75" hidden="1" customHeight="1">
      <c r="B134" s="68">
        <v>2013</v>
      </c>
      <c r="C134" s="12" t="s">
        <v>37</v>
      </c>
      <c r="D134" s="247">
        <v>5781</v>
      </c>
      <c r="E134" s="249"/>
      <c r="F134" s="249">
        <v>2121</v>
      </c>
      <c r="G134" s="249"/>
      <c r="H134" s="249">
        <v>1167</v>
      </c>
      <c r="I134" s="249"/>
      <c r="J134" s="249">
        <v>444</v>
      </c>
      <c r="K134" s="249"/>
      <c r="L134" s="249">
        <v>672</v>
      </c>
      <c r="M134" s="249"/>
      <c r="N134" s="249">
        <v>245</v>
      </c>
      <c r="O134" s="249"/>
      <c r="P134" s="249">
        <v>88</v>
      </c>
      <c r="Q134" s="249"/>
      <c r="R134" s="249">
        <v>108</v>
      </c>
      <c r="S134" s="249"/>
      <c r="T134" s="249">
        <v>171</v>
      </c>
      <c r="U134" s="249"/>
      <c r="V134" s="249"/>
      <c r="W134" s="249">
        <f t="shared" si="13"/>
        <v>10797</v>
      </c>
      <c r="X134" s="770"/>
      <c r="Y134" s="76">
        <v>2013</v>
      </c>
      <c r="Z134" s="71" t="s">
        <v>82</v>
      </c>
      <c r="AA134" s="12"/>
      <c r="AB134" s="12"/>
      <c r="AC134" s="12"/>
      <c r="AD134" s="170"/>
      <c r="AE134" s="310"/>
    </row>
    <row r="135" spans="2:31" s="14" customFormat="1" ht="12.75" hidden="1" customHeight="1">
      <c r="B135" s="68">
        <v>2013</v>
      </c>
      <c r="C135" s="12" t="s">
        <v>31</v>
      </c>
      <c r="D135" s="247">
        <v>7660</v>
      </c>
      <c r="E135" s="249"/>
      <c r="F135" s="249">
        <v>1664</v>
      </c>
      <c r="G135" s="249"/>
      <c r="H135" s="249">
        <v>790</v>
      </c>
      <c r="I135" s="249"/>
      <c r="J135" s="249">
        <v>458</v>
      </c>
      <c r="K135" s="249"/>
      <c r="L135" s="249">
        <v>399</v>
      </c>
      <c r="M135" s="249"/>
      <c r="N135" s="249">
        <v>269</v>
      </c>
      <c r="O135" s="249"/>
      <c r="P135" s="249">
        <v>67</v>
      </c>
      <c r="Q135" s="249"/>
      <c r="R135" s="249">
        <v>72</v>
      </c>
      <c r="S135" s="249"/>
      <c r="T135" s="249">
        <v>217</v>
      </c>
      <c r="U135" s="249"/>
      <c r="V135" s="249"/>
      <c r="W135" s="249">
        <f t="shared" si="13"/>
        <v>11596</v>
      </c>
      <c r="X135" s="770"/>
      <c r="Y135" s="76">
        <v>2013</v>
      </c>
      <c r="Z135" s="71" t="s">
        <v>31</v>
      </c>
      <c r="AA135" s="12"/>
      <c r="AB135" s="12"/>
      <c r="AC135" s="12"/>
      <c r="AD135" s="170"/>
      <c r="AE135" s="310"/>
    </row>
    <row r="136" spans="2:31" s="14" customFormat="1" ht="12.75" hidden="1" customHeight="1">
      <c r="B136" s="68">
        <v>2013</v>
      </c>
      <c r="C136" s="12" t="s">
        <v>38</v>
      </c>
      <c r="D136" s="247">
        <v>6431</v>
      </c>
      <c r="E136" s="249"/>
      <c r="F136" s="249">
        <v>1614</v>
      </c>
      <c r="G136" s="249"/>
      <c r="H136" s="249">
        <v>1196</v>
      </c>
      <c r="I136" s="249"/>
      <c r="J136" s="249">
        <v>418</v>
      </c>
      <c r="K136" s="249"/>
      <c r="L136" s="249">
        <v>523</v>
      </c>
      <c r="M136" s="249"/>
      <c r="N136" s="249">
        <v>311</v>
      </c>
      <c r="O136" s="249"/>
      <c r="P136" s="249">
        <v>65</v>
      </c>
      <c r="Q136" s="249"/>
      <c r="R136" s="249">
        <v>94</v>
      </c>
      <c r="S136" s="249"/>
      <c r="T136" s="249">
        <v>175</v>
      </c>
      <c r="U136" s="249"/>
      <c r="V136" s="249"/>
      <c r="W136" s="249">
        <f t="shared" si="13"/>
        <v>10827</v>
      </c>
      <c r="X136" s="770"/>
      <c r="Y136" s="76">
        <v>2013</v>
      </c>
      <c r="Z136" s="71" t="s">
        <v>38</v>
      </c>
      <c r="AA136" s="12"/>
      <c r="AB136" s="12"/>
      <c r="AC136" s="12"/>
      <c r="AD136" s="170"/>
      <c r="AE136" s="310"/>
    </row>
    <row r="137" spans="2:31" s="14" customFormat="1" ht="12.75" hidden="1" customHeight="1">
      <c r="B137" s="68">
        <v>2013</v>
      </c>
      <c r="C137" s="12" t="s">
        <v>39</v>
      </c>
      <c r="D137" s="247">
        <v>4735</v>
      </c>
      <c r="E137" s="249"/>
      <c r="F137" s="249">
        <v>830</v>
      </c>
      <c r="G137" s="249"/>
      <c r="H137" s="249">
        <v>1107</v>
      </c>
      <c r="I137" s="249"/>
      <c r="J137" s="249">
        <v>413</v>
      </c>
      <c r="K137" s="249"/>
      <c r="L137" s="249">
        <v>448</v>
      </c>
      <c r="M137" s="249"/>
      <c r="N137" s="249">
        <v>239</v>
      </c>
      <c r="O137" s="249"/>
      <c r="P137" s="249">
        <v>86</v>
      </c>
      <c r="Q137" s="249"/>
      <c r="R137" s="249">
        <v>137</v>
      </c>
      <c r="S137" s="249"/>
      <c r="T137" s="249">
        <v>128</v>
      </c>
      <c r="U137" s="249"/>
      <c r="V137" s="249"/>
      <c r="W137" s="249">
        <f t="shared" si="13"/>
        <v>8123</v>
      </c>
      <c r="X137" s="770"/>
      <c r="Y137" s="76">
        <v>2013</v>
      </c>
      <c r="Z137" s="71" t="s">
        <v>39</v>
      </c>
      <c r="AA137" s="12"/>
      <c r="AB137" s="12"/>
      <c r="AC137" s="12"/>
      <c r="AD137" s="170"/>
      <c r="AE137" s="310"/>
    </row>
    <row r="138" spans="2:31" s="14" customFormat="1" ht="12.75" hidden="1" customHeight="1">
      <c r="B138" s="68">
        <v>2013</v>
      </c>
      <c r="C138" s="12" t="s">
        <v>32</v>
      </c>
      <c r="D138" s="247">
        <v>6123</v>
      </c>
      <c r="E138" s="249"/>
      <c r="F138" s="249">
        <v>898</v>
      </c>
      <c r="G138" s="249"/>
      <c r="H138" s="249">
        <v>1358</v>
      </c>
      <c r="I138" s="249"/>
      <c r="J138" s="249">
        <v>466</v>
      </c>
      <c r="K138" s="249"/>
      <c r="L138" s="249">
        <v>430</v>
      </c>
      <c r="M138" s="249"/>
      <c r="N138" s="249">
        <v>243</v>
      </c>
      <c r="O138" s="249"/>
      <c r="P138" s="249">
        <v>53</v>
      </c>
      <c r="Q138" s="249"/>
      <c r="R138" s="249">
        <v>97</v>
      </c>
      <c r="S138" s="249"/>
      <c r="T138" s="249">
        <v>185</v>
      </c>
      <c r="U138" s="249"/>
      <c r="V138" s="249"/>
      <c r="W138" s="249">
        <f t="shared" si="13"/>
        <v>9853</v>
      </c>
      <c r="X138" s="770"/>
      <c r="Y138" s="76">
        <v>2013</v>
      </c>
      <c r="Z138" s="71" t="s">
        <v>32</v>
      </c>
      <c r="AA138" s="12"/>
      <c r="AB138" s="12"/>
      <c r="AC138" s="12"/>
      <c r="AD138" s="170"/>
      <c r="AE138" s="310"/>
    </row>
    <row r="139" spans="2:31" s="14" customFormat="1" ht="12.75" hidden="1" customHeight="1">
      <c r="B139" s="68">
        <v>2014</v>
      </c>
      <c r="C139" s="12" t="s">
        <v>33</v>
      </c>
      <c r="D139" s="247">
        <v>4898</v>
      </c>
      <c r="E139" s="249"/>
      <c r="F139" s="249">
        <v>679</v>
      </c>
      <c r="G139" s="249"/>
      <c r="H139" s="249">
        <v>1676</v>
      </c>
      <c r="I139" s="249"/>
      <c r="J139" s="249">
        <v>284</v>
      </c>
      <c r="K139" s="249"/>
      <c r="L139" s="249">
        <v>414</v>
      </c>
      <c r="M139" s="249"/>
      <c r="N139" s="249">
        <v>188</v>
      </c>
      <c r="O139" s="249"/>
      <c r="P139" s="249">
        <v>42</v>
      </c>
      <c r="Q139" s="249"/>
      <c r="R139" s="249">
        <v>124</v>
      </c>
      <c r="S139" s="249"/>
      <c r="T139" s="249">
        <v>142</v>
      </c>
      <c r="U139" s="249"/>
      <c r="V139" s="249"/>
      <c r="W139" s="249">
        <f t="shared" si="13"/>
        <v>8447</v>
      </c>
      <c r="X139" s="770"/>
      <c r="Y139" s="76">
        <v>2014</v>
      </c>
      <c r="Z139" s="71" t="s">
        <v>33</v>
      </c>
      <c r="AA139" s="12"/>
      <c r="AB139" s="12"/>
      <c r="AC139" s="96"/>
      <c r="AD139" s="170"/>
      <c r="AE139" s="310"/>
    </row>
    <row r="140" spans="2:31" s="14" customFormat="1" ht="12.75" hidden="1" customHeight="1">
      <c r="B140" s="68">
        <v>2014</v>
      </c>
      <c r="C140" s="12" t="s">
        <v>34</v>
      </c>
      <c r="D140" s="247">
        <v>2608</v>
      </c>
      <c r="E140" s="249"/>
      <c r="F140" s="249">
        <v>310</v>
      </c>
      <c r="G140" s="249"/>
      <c r="H140" s="249">
        <v>968</v>
      </c>
      <c r="I140" s="249"/>
      <c r="J140" s="249">
        <v>357</v>
      </c>
      <c r="K140" s="249"/>
      <c r="L140" s="249">
        <v>304</v>
      </c>
      <c r="M140" s="249"/>
      <c r="N140" s="249">
        <v>207</v>
      </c>
      <c r="O140" s="249"/>
      <c r="P140" s="249">
        <v>33</v>
      </c>
      <c r="Q140" s="249"/>
      <c r="R140" s="249">
        <v>101</v>
      </c>
      <c r="S140" s="249"/>
      <c r="T140" s="249">
        <v>121</v>
      </c>
      <c r="U140" s="249"/>
      <c r="V140" s="249"/>
      <c r="W140" s="249">
        <f t="shared" si="13"/>
        <v>5009</v>
      </c>
      <c r="X140" s="770"/>
      <c r="Y140" s="76">
        <v>2014</v>
      </c>
      <c r="Z140" s="71" t="s">
        <v>77</v>
      </c>
      <c r="AA140" s="12"/>
      <c r="AB140" s="12"/>
      <c r="AC140" s="96"/>
      <c r="AD140" s="170"/>
      <c r="AE140" s="310"/>
    </row>
    <row r="141" spans="2:31" s="14" customFormat="1" ht="12.75" hidden="1" customHeight="1">
      <c r="B141" s="68">
        <v>2014</v>
      </c>
      <c r="C141" s="12" t="s">
        <v>29</v>
      </c>
      <c r="D141" s="247">
        <v>3907</v>
      </c>
      <c r="E141" s="249"/>
      <c r="F141" s="249">
        <v>707</v>
      </c>
      <c r="G141" s="249"/>
      <c r="H141" s="249">
        <v>538</v>
      </c>
      <c r="I141" s="249"/>
      <c r="J141" s="249">
        <v>462</v>
      </c>
      <c r="K141" s="249"/>
      <c r="L141" s="249">
        <v>360</v>
      </c>
      <c r="M141" s="249"/>
      <c r="N141" s="249">
        <v>146</v>
      </c>
      <c r="O141" s="249"/>
      <c r="P141" s="249">
        <v>48</v>
      </c>
      <c r="Q141" s="249"/>
      <c r="R141" s="249">
        <v>94</v>
      </c>
      <c r="S141" s="249"/>
      <c r="T141" s="249">
        <v>114</v>
      </c>
      <c r="U141" s="249"/>
      <c r="V141" s="249"/>
      <c r="W141" s="249">
        <f>SUM(D141:T141)</f>
        <v>6376</v>
      </c>
      <c r="X141" s="770"/>
      <c r="Y141" s="76">
        <v>2014</v>
      </c>
      <c r="Z141" s="71" t="s">
        <v>29</v>
      </c>
      <c r="AA141" s="12"/>
      <c r="AB141" s="12"/>
      <c r="AC141" s="96"/>
      <c r="AD141" s="170"/>
      <c r="AE141" s="310"/>
    </row>
    <row r="142" spans="2:31" s="14" customFormat="1" ht="12.75" hidden="1" customHeight="1">
      <c r="B142" s="68">
        <v>2014</v>
      </c>
      <c r="C142" s="12" t="s">
        <v>35</v>
      </c>
      <c r="D142" s="247">
        <v>4125</v>
      </c>
      <c r="E142" s="249"/>
      <c r="F142" s="249">
        <v>984</v>
      </c>
      <c r="G142" s="249"/>
      <c r="H142" s="249">
        <v>732</v>
      </c>
      <c r="I142" s="249"/>
      <c r="J142" s="249">
        <v>265</v>
      </c>
      <c r="K142" s="249"/>
      <c r="L142" s="249">
        <v>368</v>
      </c>
      <c r="M142" s="249"/>
      <c r="N142" s="249">
        <v>108</v>
      </c>
      <c r="O142" s="249"/>
      <c r="P142" s="249">
        <v>21</v>
      </c>
      <c r="Q142" s="249"/>
      <c r="R142" s="249">
        <v>123</v>
      </c>
      <c r="S142" s="249"/>
      <c r="T142" s="249">
        <v>78</v>
      </c>
      <c r="U142" s="249"/>
      <c r="V142" s="249"/>
      <c r="W142" s="249">
        <f t="shared" si="13"/>
        <v>6804</v>
      </c>
      <c r="X142" s="770"/>
      <c r="Y142" s="76">
        <v>2014</v>
      </c>
      <c r="Z142" s="71" t="s">
        <v>78</v>
      </c>
      <c r="AA142" s="12"/>
      <c r="AB142" s="12"/>
      <c r="AC142" s="12"/>
      <c r="AD142" s="170"/>
      <c r="AE142" s="315"/>
    </row>
    <row r="143" spans="2:31" s="14" customFormat="1" ht="12.75" hidden="1" customHeight="1">
      <c r="B143" s="68">
        <v>2014</v>
      </c>
      <c r="C143" s="12" t="s">
        <v>4</v>
      </c>
      <c r="D143" s="247">
        <v>4162</v>
      </c>
      <c r="E143" s="249"/>
      <c r="F143" s="249">
        <v>1350</v>
      </c>
      <c r="G143" s="249"/>
      <c r="H143" s="249">
        <v>911</v>
      </c>
      <c r="I143" s="249"/>
      <c r="J143" s="249">
        <v>369</v>
      </c>
      <c r="K143" s="249"/>
      <c r="L143" s="249">
        <v>404</v>
      </c>
      <c r="M143" s="249"/>
      <c r="N143" s="249">
        <v>215</v>
      </c>
      <c r="O143" s="249"/>
      <c r="P143" s="249">
        <v>72</v>
      </c>
      <c r="Q143" s="249"/>
      <c r="R143" s="249">
        <v>110</v>
      </c>
      <c r="S143" s="249"/>
      <c r="T143" s="249">
        <v>219</v>
      </c>
      <c r="U143" s="249"/>
      <c r="V143" s="249"/>
      <c r="W143" s="249">
        <f t="shared" si="13"/>
        <v>7812</v>
      </c>
      <c r="X143" s="770"/>
      <c r="Y143" s="76">
        <v>2014</v>
      </c>
      <c r="Z143" s="71" t="s">
        <v>79</v>
      </c>
      <c r="AA143" s="12"/>
      <c r="AB143" s="12"/>
      <c r="AC143" s="96"/>
      <c r="AD143" s="170"/>
      <c r="AE143" s="311"/>
    </row>
    <row r="144" spans="2:31" s="14" customFormat="1" ht="12.75" hidden="1" customHeight="1">
      <c r="B144" s="68">
        <v>2014</v>
      </c>
      <c r="C144" s="12" t="s">
        <v>30</v>
      </c>
      <c r="D144" s="247">
        <v>6123</v>
      </c>
      <c r="E144" s="249"/>
      <c r="F144" s="249">
        <v>1936</v>
      </c>
      <c r="G144" s="249"/>
      <c r="H144" s="249">
        <v>1191</v>
      </c>
      <c r="I144" s="249"/>
      <c r="J144" s="249">
        <v>411</v>
      </c>
      <c r="K144" s="249"/>
      <c r="L144" s="249">
        <v>453</v>
      </c>
      <c r="M144" s="249"/>
      <c r="N144" s="249">
        <v>306</v>
      </c>
      <c r="O144" s="249"/>
      <c r="P144" s="249">
        <v>82</v>
      </c>
      <c r="Q144" s="249"/>
      <c r="R144" s="249">
        <v>228</v>
      </c>
      <c r="S144" s="249"/>
      <c r="T144" s="249">
        <v>187</v>
      </c>
      <c r="U144" s="249"/>
      <c r="V144" s="249"/>
      <c r="W144" s="249">
        <f t="shared" si="13"/>
        <v>10917</v>
      </c>
      <c r="X144" s="770"/>
      <c r="Y144" s="76">
        <v>2014</v>
      </c>
      <c r="Z144" s="71" t="s">
        <v>80</v>
      </c>
      <c r="AA144" s="12"/>
      <c r="AB144" s="12"/>
      <c r="AC144" s="12"/>
      <c r="AD144" s="170"/>
    </row>
    <row r="145" spans="1:55" s="14" customFormat="1" ht="12.75" hidden="1" customHeight="1">
      <c r="B145" s="68">
        <v>2014</v>
      </c>
      <c r="C145" s="12" t="s">
        <v>36</v>
      </c>
      <c r="D145" s="247">
        <v>6295</v>
      </c>
      <c r="E145" s="249"/>
      <c r="F145" s="249">
        <v>2513</v>
      </c>
      <c r="G145" s="249"/>
      <c r="H145" s="249">
        <v>975</v>
      </c>
      <c r="I145" s="249"/>
      <c r="J145" s="249">
        <v>526</v>
      </c>
      <c r="K145" s="249"/>
      <c r="L145" s="249">
        <v>544</v>
      </c>
      <c r="M145" s="249"/>
      <c r="N145" s="249">
        <v>198</v>
      </c>
      <c r="O145" s="249"/>
      <c r="P145" s="249">
        <v>61</v>
      </c>
      <c r="Q145" s="249"/>
      <c r="R145" s="249">
        <v>126</v>
      </c>
      <c r="S145" s="249"/>
      <c r="T145" s="249">
        <v>208</v>
      </c>
      <c r="U145" s="249"/>
      <c r="V145" s="249"/>
      <c r="W145" s="249">
        <f t="shared" si="13"/>
        <v>11446</v>
      </c>
      <c r="X145" s="770"/>
      <c r="Y145" s="76">
        <v>2014</v>
      </c>
      <c r="Z145" s="71" t="s">
        <v>81</v>
      </c>
      <c r="AA145" s="12"/>
      <c r="AB145" s="12"/>
      <c r="AC145" s="12"/>
      <c r="AD145" s="170"/>
    </row>
    <row r="146" spans="1:55" s="14" customFormat="1" ht="12.75" hidden="1" customHeight="1">
      <c r="B146" s="68">
        <v>2014</v>
      </c>
      <c r="C146" s="12" t="s">
        <v>37</v>
      </c>
      <c r="D146" s="247">
        <v>5747</v>
      </c>
      <c r="E146" s="249"/>
      <c r="F146" s="249">
        <v>2645</v>
      </c>
      <c r="G146" s="249"/>
      <c r="H146" s="249">
        <v>1137</v>
      </c>
      <c r="I146" s="249"/>
      <c r="J146" s="249">
        <v>824</v>
      </c>
      <c r="K146" s="249"/>
      <c r="L146" s="249">
        <v>680</v>
      </c>
      <c r="M146" s="249"/>
      <c r="N146" s="249">
        <v>315</v>
      </c>
      <c r="O146" s="249"/>
      <c r="P146" s="249">
        <v>142</v>
      </c>
      <c r="Q146" s="249"/>
      <c r="R146" s="249">
        <v>119</v>
      </c>
      <c r="S146" s="249"/>
      <c r="T146" s="249">
        <v>256</v>
      </c>
      <c r="U146" s="249"/>
      <c r="V146" s="249"/>
      <c r="W146" s="249">
        <f t="shared" si="13"/>
        <v>11865</v>
      </c>
      <c r="X146" s="770"/>
      <c r="Y146" s="76">
        <v>2014</v>
      </c>
      <c r="Z146" s="71" t="s">
        <v>82</v>
      </c>
      <c r="AA146" s="12"/>
      <c r="AB146" s="12"/>
      <c r="AC146" s="12"/>
      <c r="AD146" s="170"/>
    </row>
    <row r="147" spans="1:55" s="14" customFormat="1" ht="12.75" hidden="1" customHeight="1">
      <c r="B147" s="68">
        <v>2014</v>
      </c>
      <c r="C147" s="12" t="s">
        <v>31</v>
      </c>
      <c r="D147" s="247">
        <v>7052</v>
      </c>
      <c r="E147" s="249"/>
      <c r="F147" s="249">
        <v>1886</v>
      </c>
      <c r="G147" s="249"/>
      <c r="H147" s="249">
        <v>764</v>
      </c>
      <c r="I147" s="249"/>
      <c r="J147" s="249">
        <v>655</v>
      </c>
      <c r="K147" s="249"/>
      <c r="L147" s="249">
        <v>407</v>
      </c>
      <c r="M147" s="249"/>
      <c r="N147" s="249">
        <v>139</v>
      </c>
      <c r="O147" s="249"/>
      <c r="P147" s="249">
        <v>55</v>
      </c>
      <c r="Q147" s="249"/>
      <c r="R147" s="249">
        <v>137</v>
      </c>
      <c r="S147" s="249"/>
      <c r="T147" s="249">
        <v>193</v>
      </c>
      <c r="U147" s="249"/>
      <c r="V147" s="249"/>
      <c r="W147" s="249">
        <f t="shared" si="13"/>
        <v>11288</v>
      </c>
      <c r="X147" s="770"/>
      <c r="Y147" s="76">
        <v>2014</v>
      </c>
      <c r="Z147" s="71" t="s">
        <v>31</v>
      </c>
      <c r="AA147" s="12"/>
      <c r="AB147" s="12"/>
      <c r="AC147" s="12"/>
      <c r="AD147" s="170"/>
    </row>
    <row r="148" spans="1:55" s="14" customFormat="1" ht="12.75" hidden="1" customHeight="1">
      <c r="B148" s="68">
        <v>2014</v>
      </c>
      <c r="C148" s="12" t="s">
        <v>38</v>
      </c>
      <c r="D148" s="247">
        <v>5652</v>
      </c>
      <c r="E148" s="249"/>
      <c r="F148" s="249">
        <v>1415</v>
      </c>
      <c r="G148" s="249"/>
      <c r="H148" s="249">
        <v>1483</v>
      </c>
      <c r="I148" s="249"/>
      <c r="J148" s="249">
        <v>725</v>
      </c>
      <c r="K148" s="249"/>
      <c r="L148" s="249">
        <v>659</v>
      </c>
      <c r="M148" s="249"/>
      <c r="N148" s="249">
        <v>209</v>
      </c>
      <c r="O148" s="249"/>
      <c r="P148" s="249">
        <v>52</v>
      </c>
      <c r="Q148" s="249"/>
      <c r="R148" s="249">
        <v>130</v>
      </c>
      <c r="S148" s="249"/>
      <c r="T148" s="249">
        <v>208</v>
      </c>
      <c r="U148" s="249"/>
      <c r="V148" s="249"/>
      <c r="W148" s="249">
        <f t="shared" si="13"/>
        <v>10533</v>
      </c>
      <c r="X148" s="770"/>
      <c r="Y148" s="76">
        <v>2014</v>
      </c>
      <c r="Z148" s="71" t="s">
        <v>38</v>
      </c>
      <c r="AA148" s="12"/>
      <c r="AB148" s="12"/>
      <c r="AC148" s="12"/>
      <c r="AD148" s="170"/>
    </row>
    <row r="149" spans="1:55" s="14" customFormat="1" ht="12.75" hidden="1" customHeight="1">
      <c r="B149" s="68">
        <v>2014</v>
      </c>
      <c r="C149" s="12" t="s">
        <v>39</v>
      </c>
      <c r="D149" s="247">
        <v>4147</v>
      </c>
      <c r="E149" s="249"/>
      <c r="F149" s="249">
        <v>947</v>
      </c>
      <c r="G149" s="249"/>
      <c r="H149" s="249">
        <v>1001</v>
      </c>
      <c r="I149" s="249"/>
      <c r="J149" s="249">
        <v>882</v>
      </c>
      <c r="K149" s="249"/>
      <c r="L149" s="249">
        <v>544</v>
      </c>
      <c r="M149" s="249"/>
      <c r="N149" s="249">
        <v>157</v>
      </c>
      <c r="O149" s="249"/>
      <c r="P149" s="249">
        <v>53</v>
      </c>
      <c r="Q149" s="249"/>
      <c r="R149" s="249">
        <v>127</v>
      </c>
      <c r="S149" s="249"/>
      <c r="T149" s="249">
        <v>138</v>
      </c>
      <c r="U149" s="249"/>
      <c r="V149" s="249"/>
      <c r="W149" s="249">
        <f t="shared" si="13"/>
        <v>7996</v>
      </c>
      <c r="X149" s="770"/>
      <c r="Y149" s="76">
        <v>2014</v>
      </c>
      <c r="Z149" s="71" t="s">
        <v>39</v>
      </c>
      <c r="AA149" s="12"/>
      <c r="AB149" s="12"/>
      <c r="AC149" s="12"/>
      <c r="AD149" s="170"/>
    </row>
    <row r="150" spans="1:55" s="14" customFormat="1" ht="12.75" hidden="1" customHeight="1">
      <c r="B150" s="68">
        <v>2014</v>
      </c>
      <c r="C150" s="12" t="s">
        <v>32</v>
      </c>
      <c r="D150" s="247">
        <v>6092</v>
      </c>
      <c r="E150" s="249"/>
      <c r="F150" s="249">
        <v>921</v>
      </c>
      <c r="G150" s="249"/>
      <c r="H150" s="249">
        <v>1380</v>
      </c>
      <c r="I150" s="249"/>
      <c r="J150" s="249">
        <v>870</v>
      </c>
      <c r="K150" s="249"/>
      <c r="L150" s="249">
        <v>454</v>
      </c>
      <c r="M150" s="249"/>
      <c r="N150" s="249">
        <v>185</v>
      </c>
      <c r="O150" s="249"/>
      <c r="P150" s="249">
        <v>102</v>
      </c>
      <c r="Q150" s="249"/>
      <c r="R150" s="249">
        <v>144</v>
      </c>
      <c r="S150" s="249"/>
      <c r="T150" s="249">
        <v>167</v>
      </c>
      <c r="U150" s="249"/>
      <c r="V150" s="249"/>
      <c r="W150" s="249">
        <f t="shared" si="13"/>
        <v>10315</v>
      </c>
      <c r="X150" s="770"/>
      <c r="Y150" s="76">
        <v>2014</v>
      </c>
      <c r="Z150" s="71" t="s">
        <v>32</v>
      </c>
      <c r="AA150" s="12"/>
      <c r="AB150" s="12"/>
      <c r="AC150" s="12"/>
      <c r="AD150" s="170"/>
    </row>
    <row r="151" spans="1:55" s="345" customFormat="1" ht="12.75" hidden="1" customHeight="1">
      <c r="A151" s="14"/>
      <c r="B151" s="347">
        <v>2015</v>
      </c>
      <c r="C151" s="369" t="s">
        <v>33</v>
      </c>
      <c r="D151" s="247">
        <v>4664</v>
      </c>
      <c r="E151" s="249"/>
      <c r="F151" s="249">
        <v>693</v>
      </c>
      <c r="G151" s="249"/>
      <c r="H151" s="249">
        <v>1487</v>
      </c>
      <c r="I151" s="249"/>
      <c r="J151" s="249">
        <v>619</v>
      </c>
      <c r="K151" s="249"/>
      <c r="L151" s="249">
        <v>470</v>
      </c>
      <c r="M151" s="249"/>
      <c r="N151" s="249">
        <v>201</v>
      </c>
      <c r="O151" s="249"/>
      <c r="P151" s="249">
        <v>59</v>
      </c>
      <c r="Q151" s="249"/>
      <c r="R151" s="249">
        <v>154</v>
      </c>
      <c r="S151" s="249"/>
      <c r="T151" s="249">
        <v>177</v>
      </c>
      <c r="U151" s="249"/>
      <c r="V151" s="249"/>
      <c r="W151" s="249">
        <f t="shared" si="13"/>
        <v>8524</v>
      </c>
      <c r="X151" s="770"/>
      <c r="Y151" s="768">
        <v>2015</v>
      </c>
      <c r="Z151" s="349" t="s">
        <v>33</v>
      </c>
      <c r="AA151" s="12"/>
      <c r="AB151" s="12"/>
      <c r="AC151" s="369"/>
      <c r="AD151" s="170"/>
      <c r="AE151" s="311"/>
      <c r="AF151" s="311"/>
      <c r="AG151" s="311"/>
      <c r="AH151" s="311"/>
      <c r="AI151" s="311"/>
      <c r="AJ151" s="311"/>
      <c r="AK151" s="311"/>
      <c r="AL151" s="311"/>
      <c r="AM151" s="311"/>
      <c r="AN151" s="311"/>
      <c r="AO151" s="311"/>
      <c r="AP151" s="311"/>
      <c r="AQ151" s="311"/>
      <c r="AR151" s="311"/>
      <c r="AS151" s="311"/>
      <c r="AT151" s="311"/>
      <c r="AU151" s="311"/>
      <c r="AV151" s="311"/>
      <c r="AW151" s="311"/>
      <c r="AX151" s="311"/>
      <c r="AY151" s="311"/>
      <c r="AZ151" s="311"/>
      <c r="BA151" s="311"/>
      <c r="BB151" s="311"/>
      <c r="BC151" s="311"/>
    </row>
    <row r="152" spans="1:55" s="345" customFormat="1" ht="12.75" hidden="1" customHeight="1">
      <c r="A152" s="14"/>
      <c r="B152" s="347">
        <v>2015</v>
      </c>
      <c r="C152" s="369" t="s">
        <v>34</v>
      </c>
      <c r="D152" s="247">
        <v>2479</v>
      </c>
      <c r="E152" s="249"/>
      <c r="F152" s="249">
        <v>386</v>
      </c>
      <c r="G152" s="249"/>
      <c r="H152" s="249">
        <v>991</v>
      </c>
      <c r="I152" s="249"/>
      <c r="J152" s="249">
        <v>504</v>
      </c>
      <c r="K152" s="249"/>
      <c r="L152" s="249">
        <v>389</v>
      </c>
      <c r="M152" s="249"/>
      <c r="N152" s="249">
        <v>164</v>
      </c>
      <c r="O152" s="249"/>
      <c r="P152" s="249">
        <v>53</v>
      </c>
      <c r="Q152" s="249"/>
      <c r="R152" s="249">
        <v>258</v>
      </c>
      <c r="S152" s="249"/>
      <c r="T152" s="249">
        <v>165</v>
      </c>
      <c r="U152" s="249"/>
      <c r="V152" s="249"/>
      <c r="W152" s="249">
        <f t="shared" si="13"/>
        <v>5389</v>
      </c>
      <c r="X152" s="770"/>
      <c r="Y152" s="768">
        <v>2015</v>
      </c>
      <c r="Z152" s="349" t="s">
        <v>77</v>
      </c>
      <c r="AA152" s="12"/>
      <c r="AB152" s="12"/>
      <c r="AC152" s="369"/>
      <c r="AD152" s="170"/>
      <c r="AE152" s="311"/>
      <c r="AF152" s="311"/>
      <c r="AG152" s="311"/>
      <c r="AH152" s="311"/>
      <c r="AI152" s="311"/>
      <c r="AJ152" s="311"/>
      <c r="AK152" s="311"/>
      <c r="AL152" s="311"/>
      <c r="AM152" s="311"/>
      <c r="AN152" s="311"/>
      <c r="AO152" s="311"/>
      <c r="AP152" s="311"/>
      <c r="AQ152" s="311"/>
      <c r="AR152" s="311"/>
      <c r="AS152" s="311"/>
      <c r="AT152" s="311"/>
      <c r="AU152" s="311"/>
      <c r="AV152" s="311"/>
      <c r="AW152" s="311"/>
      <c r="AX152" s="311"/>
      <c r="AY152" s="311"/>
      <c r="AZ152" s="311"/>
      <c r="BA152" s="311"/>
      <c r="BB152" s="311"/>
      <c r="BC152" s="311"/>
    </row>
    <row r="153" spans="1:55" s="345" customFormat="1" ht="12.75" hidden="1" customHeight="1">
      <c r="A153" s="14"/>
      <c r="B153" s="347">
        <v>2015</v>
      </c>
      <c r="C153" s="369" t="s">
        <v>29</v>
      </c>
      <c r="D153" s="247">
        <v>2335</v>
      </c>
      <c r="E153" s="249"/>
      <c r="F153" s="249">
        <v>495</v>
      </c>
      <c r="G153" s="249"/>
      <c r="H153" s="249">
        <v>540</v>
      </c>
      <c r="I153" s="249"/>
      <c r="J153" s="249">
        <v>482</v>
      </c>
      <c r="K153" s="249"/>
      <c r="L153" s="249">
        <v>348</v>
      </c>
      <c r="M153" s="249"/>
      <c r="N153" s="249">
        <v>234</v>
      </c>
      <c r="O153" s="249"/>
      <c r="P153" s="249">
        <v>74</v>
      </c>
      <c r="Q153" s="249"/>
      <c r="R153" s="249">
        <v>120</v>
      </c>
      <c r="S153" s="249"/>
      <c r="T153" s="249">
        <v>209</v>
      </c>
      <c r="U153" s="249"/>
      <c r="V153" s="249"/>
      <c r="W153" s="249">
        <f>SUM(D153:T153)</f>
        <v>4837</v>
      </c>
      <c r="X153" s="770"/>
      <c r="Y153" s="768">
        <v>2015</v>
      </c>
      <c r="Z153" s="349" t="s">
        <v>29</v>
      </c>
      <c r="AA153" s="12"/>
      <c r="AB153" s="12"/>
      <c r="AC153" s="369"/>
      <c r="AD153" s="170"/>
      <c r="AE153" s="311"/>
      <c r="AF153" s="311"/>
      <c r="AG153" s="311"/>
      <c r="AH153" s="311"/>
      <c r="AI153" s="311"/>
      <c r="AJ153" s="311"/>
      <c r="AK153" s="311"/>
      <c r="AL153" s="311"/>
      <c r="AM153" s="311"/>
      <c r="AN153" s="311"/>
      <c r="AO153" s="311"/>
      <c r="AP153" s="311"/>
      <c r="AQ153" s="311"/>
      <c r="AR153" s="311"/>
      <c r="AS153" s="311"/>
      <c r="AT153" s="311"/>
      <c r="AU153" s="311"/>
      <c r="AV153" s="311"/>
      <c r="AW153" s="311"/>
      <c r="AX153" s="311"/>
      <c r="AY153" s="311"/>
      <c r="AZ153" s="311"/>
      <c r="BA153" s="311"/>
      <c r="BB153" s="311"/>
      <c r="BC153" s="311"/>
    </row>
    <row r="154" spans="1:55" s="345" customFormat="1" ht="12.75" hidden="1" customHeight="1">
      <c r="A154" s="14"/>
      <c r="B154" s="347">
        <v>2015</v>
      </c>
      <c r="C154" s="369" t="s">
        <v>35</v>
      </c>
      <c r="D154" s="247">
        <v>2116</v>
      </c>
      <c r="E154" s="249"/>
      <c r="F154" s="249">
        <v>549</v>
      </c>
      <c r="G154" s="249"/>
      <c r="H154" s="249">
        <v>614</v>
      </c>
      <c r="I154" s="249"/>
      <c r="J154" s="249">
        <v>428</v>
      </c>
      <c r="K154" s="249"/>
      <c r="L154" s="249">
        <v>327</v>
      </c>
      <c r="M154" s="249"/>
      <c r="N154" s="249">
        <v>166</v>
      </c>
      <c r="O154" s="249"/>
      <c r="P154" s="249">
        <v>63</v>
      </c>
      <c r="Q154" s="249"/>
      <c r="R154" s="249">
        <v>122</v>
      </c>
      <c r="S154" s="249"/>
      <c r="T154" s="249">
        <v>193</v>
      </c>
      <c r="U154" s="249"/>
      <c r="V154" s="249"/>
      <c r="W154" s="249">
        <f t="shared" ref="W154:W159" si="14">SUM(D154:T154)</f>
        <v>4578</v>
      </c>
      <c r="X154" s="770"/>
      <c r="Y154" s="768">
        <v>2015</v>
      </c>
      <c r="Z154" s="349" t="s">
        <v>78</v>
      </c>
      <c r="AA154" s="12"/>
      <c r="AB154" s="12"/>
      <c r="AC154" s="369"/>
      <c r="AD154" s="170"/>
      <c r="AE154" s="311"/>
      <c r="AF154" s="311"/>
      <c r="AG154" s="311"/>
      <c r="AH154" s="311"/>
      <c r="AI154" s="311"/>
      <c r="AJ154" s="311"/>
      <c r="AK154" s="311"/>
      <c r="AL154" s="311"/>
      <c r="AM154" s="311"/>
      <c r="AN154" s="311"/>
      <c r="AO154" s="311"/>
      <c r="AP154" s="311"/>
      <c r="AQ154" s="311"/>
      <c r="AR154" s="311"/>
      <c r="AS154" s="311"/>
      <c r="AT154" s="311"/>
      <c r="AU154" s="311"/>
      <c r="AV154" s="311"/>
      <c r="AW154" s="311"/>
      <c r="AX154" s="311"/>
      <c r="AY154" s="311"/>
      <c r="AZ154" s="311"/>
      <c r="BA154" s="311"/>
      <c r="BB154" s="311"/>
      <c r="BC154" s="311"/>
    </row>
    <row r="155" spans="1:55" s="345" customFormat="1" ht="12.75" hidden="1" customHeight="1">
      <c r="A155" s="14"/>
      <c r="B155" s="347">
        <v>2015</v>
      </c>
      <c r="C155" s="369" t="s">
        <v>4</v>
      </c>
      <c r="D155" s="247">
        <v>2655</v>
      </c>
      <c r="E155" s="249"/>
      <c r="F155" s="249">
        <v>870</v>
      </c>
      <c r="G155" s="249"/>
      <c r="H155" s="249">
        <v>639</v>
      </c>
      <c r="I155" s="249"/>
      <c r="J155" s="249">
        <v>435</v>
      </c>
      <c r="K155" s="249"/>
      <c r="L155" s="249">
        <v>589</v>
      </c>
      <c r="M155" s="249"/>
      <c r="N155" s="249">
        <v>213</v>
      </c>
      <c r="O155" s="249"/>
      <c r="P155" s="249">
        <v>26</v>
      </c>
      <c r="Q155" s="249"/>
      <c r="R155" s="249">
        <v>158</v>
      </c>
      <c r="S155" s="249"/>
      <c r="T155" s="249">
        <f>360-R155</f>
        <v>202</v>
      </c>
      <c r="U155" s="249"/>
      <c r="V155" s="249"/>
      <c r="W155" s="249">
        <f t="shared" si="14"/>
        <v>5787</v>
      </c>
      <c r="X155" s="770"/>
      <c r="Y155" s="768">
        <v>2015</v>
      </c>
      <c r="Z155" s="349" t="s">
        <v>79</v>
      </c>
      <c r="AA155" s="12"/>
      <c r="AB155" s="12"/>
      <c r="AC155" s="370"/>
      <c r="AD155" s="170"/>
      <c r="AE155" s="311"/>
      <c r="AF155" s="311"/>
      <c r="AG155" s="311"/>
      <c r="AH155" s="311"/>
      <c r="AI155" s="311"/>
      <c r="AJ155" s="311"/>
      <c r="AK155" s="311"/>
      <c r="AL155" s="311"/>
      <c r="AM155" s="311"/>
      <c r="AN155" s="311"/>
      <c r="AO155" s="311"/>
      <c r="AP155" s="311"/>
      <c r="AQ155" s="311"/>
      <c r="AR155" s="311"/>
      <c r="AS155" s="311"/>
      <c r="AT155" s="311"/>
      <c r="AU155" s="311"/>
      <c r="AV155" s="311"/>
      <c r="AW155" s="311"/>
      <c r="AX155" s="311"/>
      <c r="AY155" s="311"/>
      <c r="AZ155" s="311"/>
      <c r="BA155" s="311"/>
      <c r="BB155" s="311"/>
      <c r="BC155" s="311"/>
    </row>
    <row r="156" spans="1:55" s="345" customFormat="1" ht="12.75" hidden="1" customHeight="1">
      <c r="A156" s="14"/>
      <c r="B156" s="347">
        <v>2015</v>
      </c>
      <c r="C156" s="369" t="s">
        <v>30</v>
      </c>
      <c r="D156" s="247">
        <v>4428</v>
      </c>
      <c r="E156" s="249"/>
      <c r="F156" s="249">
        <v>1243</v>
      </c>
      <c r="G156" s="249"/>
      <c r="H156" s="249">
        <v>816</v>
      </c>
      <c r="I156" s="249"/>
      <c r="J156" s="249">
        <v>583</v>
      </c>
      <c r="K156" s="249"/>
      <c r="L156" s="249">
        <v>537</v>
      </c>
      <c r="M156" s="249"/>
      <c r="N156" s="249">
        <v>296</v>
      </c>
      <c r="O156" s="249"/>
      <c r="P156" s="249">
        <v>33</v>
      </c>
      <c r="Q156" s="249"/>
      <c r="R156" s="249">
        <v>149</v>
      </c>
      <c r="S156" s="249"/>
      <c r="T156" s="249">
        <f>353-R156</f>
        <v>204</v>
      </c>
      <c r="U156" s="249"/>
      <c r="V156" s="249"/>
      <c r="W156" s="249">
        <f t="shared" si="14"/>
        <v>8289</v>
      </c>
      <c r="X156" s="770"/>
      <c r="Y156" s="768">
        <v>2015</v>
      </c>
      <c r="Z156" s="349" t="s">
        <v>80</v>
      </c>
      <c r="AA156" s="12"/>
      <c r="AB156" s="12"/>
      <c r="AC156" s="369"/>
      <c r="AD156" s="170"/>
      <c r="AE156" s="311"/>
      <c r="AF156" s="311"/>
      <c r="AG156" s="311"/>
      <c r="AH156" s="311"/>
      <c r="AI156" s="311"/>
      <c r="AJ156" s="311"/>
      <c r="AK156" s="311"/>
      <c r="AL156" s="311"/>
      <c r="AM156" s="311"/>
      <c r="AN156" s="311"/>
      <c r="AO156" s="311"/>
      <c r="AP156" s="311"/>
      <c r="AQ156" s="311"/>
      <c r="AR156" s="311"/>
      <c r="AS156" s="311"/>
      <c r="AT156" s="311"/>
      <c r="AU156" s="311"/>
      <c r="AV156" s="311"/>
      <c r="AW156" s="311"/>
      <c r="AX156" s="311"/>
      <c r="AY156" s="311"/>
      <c r="AZ156" s="311"/>
      <c r="BA156" s="311"/>
      <c r="BB156" s="311"/>
      <c r="BC156" s="311"/>
    </row>
    <row r="157" spans="1:55" s="345" customFormat="1" ht="12.75" hidden="1" customHeight="1">
      <c r="A157" s="14"/>
      <c r="B157" s="347">
        <v>2015</v>
      </c>
      <c r="C157" s="369" t="s">
        <v>36</v>
      </c>
      <c r="D157" s="247">
        <v>4842</v>
      </c>
      <c r="E157" s="249"/>
      <c r="F157" s="249">
        <v>2454</v>
      </c>
      <c r="G157" s="249"/>
      <c r="H157" s="249">
        <v>845</v>
      </c>
      <c r="I157" s="249"/>
      <c r="J157" s="249">
        <v>418</v>
      </c>
      <c r="K157" s="249"/>
      <c r="L157" s="249">
        <v>694</v>
      </c>
      <c r="M157" s="249"/>
      <c r="N157" s="249">
        <v>336</v>
      </c>
      <c r="O157" s="249"/>
      <c r="P157" s="249">
        <v>75</v>
      </c>
      <c r="Q157" s="249"/>
      <c r="R157" s="249">
        <v>185</v>
      </c>
      <c r="S157" s="249"/>
      <c r="T157" s="249">
        <f>367-R157</f>
        <v>182</v>
      </c>
      <c r="U157" s="249"/>
      <c r="V157" s="249"/>
      <c r="W157" s="249">
        <f t="shared" si="14"/>
        <v>10031</v>
      </c>
      <c r="X157" s="770"/>
      <c r="Y157" s="768">
        <v>2015</v>
      </c>
      <c r="Z157" s="349" t="s">
        <v>81</v>
      </c>
      <c r="AA157" s="12"/>
      <c r="AB157" s="12"/>
      <c r="AC157" s="369"/>
      <c r="AD157" s="170"/>
      <c r="AE157" s="311"/>
      <c r="AF157" s="311"/>
      <c r="AG157" s="311"/>
      <c r="AH157" s="311"/>
      <c r="AI157" s="311"/>
      <c r="AJ157" s="311"/>
      <c r="AK157" s="311"/>
      <c r="AL157" s="311"/>
      <c r="AM157" s="311"/>
      <c r="AN157" s="311"/>
      <c r="AO157" s="311"/>
      <c r="AP157" s="311"/>
      <c r="AQ157" s="311"/>
      <c r="AR157" s="311"/>
      <c r="AS157" s="311"/>
      <c r="AT157" s="311"/>
      <c r="AU157" s="311"/>
      <c r="AV157" s="311"/>
      <c r="AW157" s="311"/>
      <c r="AX157" s="311"/>
      <c r="AY157" s="311"/>
      <c r="AZ157" s="311"/>
      <c r="BA157" s="311"/>
      <c r="BB157" s="311"/>
      <c r="BC157" s="311"/>
    </row>
    <row r="158" spans="1:55" s="345" customFormat="1" ht="12.75" hidden="1" customHeight="1">
      <c r="A158" s="14"/>
      <c r="B158" s="347">
        <v>2015</v>
      </c>
      <c r="C158" s="369" t="s">
        <v>37</v>
      </c>
      <c r="D158" s="247">
        <v>4000</v>
      </c>
      <c r="E158" s="249"/>
      <c r="F158" s="249">
        <v>1758</v>
      </c>
      <c r="G158" s="249"/>
      <c r="H158" s="249">
        <v>946</v>
      </c>
      <c r="I158" s="249"/>
      <c r="J158" s="249">
        <v>483</v>
      </c>
      <c r="K158" s="249"/>
      <c r="L158" s="249">
        <v>468</v>
      </c>
      <c r="M158" s="249"/>
      <c r="N158" s="249">
        <v>263</v>
      </c>
      <c r="O158" s="249"/>
      <c r="P158" s="249">
        <v>52</v>
      </c>
      <c r="Q158" s="249"/>
      <c r="R158" s="249">
        <v>239</v>
      </c>
      <c r="S158" s="249"/>
      <c r="T158" s="249">
        <f>420-R158</f>
        <v>181</v>
      </c>
      <c r="U158" s="249"/>
      <c r="V158" s="249"/>
      <c r="W158" s="249">
        <f t="shared" si="14"/>
        <v>8390</v>
      </c>
      <c r="X158" s="770"/>
      <c r="Y158" s="768">
        <v>2015</v>
      </c>
      <c r="Z158" s="349" t="s">
        <v>82</v>
      </c>
      <c r="AA158" s="12"/>
      <c r="AB158" s="12"/>
      <c r="AC158" s="369"/>
      <c r="AD158" s="170"/>
      <c r="AE158" s="311"/>
      <c r="AF158" s="311"/>
      <c r="AG158" s="311"/>
      <c r="AH158" s="311"/>
      <c r="AI158" s="311"/>
      <c r="AJ158" s="311"/>
      <c r="AK158" s="311"/>
      <c r="AL158" s="311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311"/>
      <c r="AX158" s="311"/>
      <c r="AY158" s="311"/>
      <c r="AZ158" s="311"/>
      <c r="BA158" s="311"/>
      <c r="BB158" s="311"/>
      <c r="BC158" s="311"/>
    </row>
    <row r="159" spans="1:55" s="346" customFormat="1" ht="12.75" hidden="1" customHeight="1">
      <c r="A159" s="657"/>
      <c r="B159" s="347">
        <v>2015</v>
      </c>
      <c r="C159" s="369" t="s">
        <v>31</v>
      </c>
      <c r="D159" s="247">
        <v>5170</v>
      </c>
      <c r="E159" s="249"/>
      <c r="F159" s="249">
        <v>1656</v>
      </c>
      <c r="G159" s="249"/>
      <c r="H159" s="249">
        <v>677</v>
      </c>
      <c r="I159" s="249"/>
      <c r="J159" s="249">
        <v>419</v>
      </c>
      <c r="K159" s="249"/>
      <c r="L159" s="249">
        <v>496</v>
      </c>
      <c r="M159" s="249"/>
      <c r="N159" s="249">
        <v>235</v>
      </c>
      <c r="O159" s="249"/>
      <c r="P159" s="249">
        <v>62</v>
      </c>
      <c r="Q159" s="249"/>
      <c r="R159" s="249">
        <v>206</v>
      </c>
      <c r="S159" s="249"/>
      <c r="T159" s="249">
        <f>450-R159+6</f>
        <v>250</v>
      </c>
      <c r="U159" s="249"/>
      <c r="V159" s="249"/>
      <c r="W159" s="249">
        <f t="shared" si="14"/>
        <v>9171</v>
      </c>
      <c r="X159" s="770"/>
      <c r="Y159" s="768">
        <v>2015</v>
      </c>
      <c r="Z159" s="348" t="s">
        <v>31</v>
      </c>
      <c r="AA159" s="12"/>
      <c r="AB159" s="12"/>
      <c r="AC159" s="369"/>
      <c r="AD159" s="170"/>
      <c r="AE159" s="350"/>
      <c r="AF159" s="350"/>
      <c r="AG159" s="350"/>
      <c r="AH159" s="350"/>
      <c r="AI159" s="350"/>
      <c r="AJ159" s="350"/>
      <c r="AK159" s="350"/>
      <c r="AL159" s="350"/>
      <c r="AM159" s="350"/>
      <c r="AN159" s="350"/>
      <c r="AO159" s="350"/>
      <c r="AP159" s="350"/>
      <c r="AQ159" s="350"/>
      <c r="AR159" s="350"/>
      <c r="AS159" s="350"/>
      <c r="AT159" s="350"/>
      <c r="AU159" s="350"/>
      <c r="AV159" s="350"/>
      <c r="AW159" s="350"/>
      <c r="AX159" s="351"/>
      <c r="AY159" s="351"/>
      <c r="AZ159" s="351"/>
      <c r="BA159" s="351"/>
      <c r="BB159" s="351"/>
      <c r="BC159" s="351"/>
    </row>
    <row r="160" spans="1:55" s="346" customFormat="1" ht="12.75" hidden="1" customHeight="1">
      <c r="A160" s="48"/>
      <c r="B160" s="68">
        <v>2015</v>
      </c>
      <c r="C160" s="369" t="s">
        <v>38</v>
      </c>
      <c r="D160" s="247">
        <v>4325</v>
      </c>
      <c r="E160" s="249"/>
      <c r="F160" s="249">
        <v>1429</v>
      </c>
      <c r="G160" s="249"/>
      <c r="H160" s="249">
        <v>1065</v>
      </c>
      <c r="I160" s="249"/>
      <c r="J160" s="249">
        <v>514</v>
      </c>
      <c r="K160" s="249"/>
      <c r="L160" s="249">
        <v>521</v>
      </c>
      <c r="M160" s="249"/>
      <c r="N160" s="249">
        <v>303</v>
      </c>
      <c r="O160" s="249"/>
      <c r="P160" s="249">
        <v>44</v>
      </c>
      <c r="Q160" s="249"/>
      <c r="R160" s="249">
        <v>142</v>
      </c>
      <c r="S160" s="249"/>
      <c r="T160" s="249">
        <v>190</v>
      </c>
      <c r="U160" s="249"/>
      <c r="V160" s="249"/>
      <c r="W160" s="249">
        <f>SUM(D160:T160)</f>
        <v>8533</v>
      </c>
      <c r="X160" s="770"/>
      <c r="Y160" s="768">
        <v>2015</v>
      </c>
      <c r="Z160" s="348" t="s">
        <v>38</v>
      </c>
      <c r="AA160" s="12"/>
      <c r="AB160" s="12"/>
      <c r="AC160" s="369"/>
      <c r="AD160" s="170"/>
      <c r="AE160" s="350"/>
      <c r="AF160" s="350"/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50"/>
      <c r="AS160" s="350"/>
      <c r="AT160" s="350"/>
      <c r="AU160" s="350"/>
      <c r="AV160" s="350"/>
      <c r="AW160" s="350"/>
      <c r="AX160" s="351"/>
      <c r="AY160" s="351"/>
      <c r="AZ160" s="351"/>
      <c r="BA160" s="351"/>
      <c r="BB160" s="351"/>
      <c r="BC160" s="351"/>
    </row>
    <row r="161" spans="1:55" s="346" customFormat="1" ht="12.75" hidden="1" customHeight="1">
      <c r="A161" s="48"/>
      <c r="B161" s="68">
        <v>2015</v>
      </c>
      <c r="C161" s="369" t="s">
        <v>39</v>
      </c>
      <c r="D161" s="247">
        <v>3865</v>
      </c>
      <c r="E161" s="249"/>
      <c r="F161" s="249">
        <v>1002</v>
      </c>
      <c r="G161" s="249"/>
      <c r="H161" s="249">
        <v>825</v>
      </c>
      <c r="I161" s="249"/>
      <c r="J161" s="249">
        <v>470</v>
      </c>
      <c r="K161" s="249"/>
      <c r="L161" s="249">
        <v>403</v>
      </c>
      <c r="M161" s="249"/>
      <c r="N161" s="249">
        <v>274</v>
      </c>
      <c r="O161" s="249"/>
      <c r="P161" s="249">
        <v>43</v>
      </c>
      <c r="Q161" s="249"/>
      <c r="R161" s="249">
        <v>219</v>
      </c>
      <c r="S161" s="249"/>
      <c r="T161" s="249">
        <v>174</v>
      </c>
      <c r="U161" s="249"/>
      <c r="V161" s="249"/>
      <c r="W161" s="249">
        <f>D161+F161+H161+J161+L161+N161+P161+R161+T161</f>
        <v>7275</v>
      </c>
      <c r="X161" s="770"/>
      <c r="Y161" s="768">
        <v>2015</v>
      </c>
      <c r="Z161" s="348" t="s">
        <v>39</v>
      </c>
      <c r="AA161" s="12"/>
      <c r="AB161" s="12"/>
      <c r="AC161" s="369"/>
      <c r="AD161" s="170"/>
      <c r="AE161" s="350"/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50"/>
      <c r="AS161" s="350"/>
      <c r="AT161" s="350"/>
      <c r="AU161" s="350"/>
      <c r="AV161" s="350"/>
      <c r="AW161" s="350"/>
      <c r="AX161" s="351"/>
      <c r="AY161" s="351"/>
      <c r="AZ161" s="351"/>
      <c r="BA161" s="351"/>
      <c r="BB161" s="351"/>
      <c r="BC161" s="351"/>
    </row>
    <row r="162" spans="1:55" s="346" customFormat="1" ht="12.75" hidden="1" customHeight="1">
      <c r="A162" s="48"/>
      <c r="B162" s="68">
        <v>2015</v>
      </c>
      <c r="C162" s="369" t="s">
        <v>32</v>
      </c>
      <c r="D162" s="247">
        <v>5219</v>
      </c>
      <c r="E162" s="249"/>
      <c r="F162" s="249">
        <v>887</v>
      </c>
      <c r="G162" s="249"/>
      <c r="H162" s="249">
        <v>1122</v>
      </c>
      <c r="I162" s="249"/>
      <c r="J162" s="249">
        <v>598</v>
      </c>
      <c r="K162" s="249"/>
      <c r="L162" s="249">
        <v>597</v>
      </c>
      <c r="M162" s="249"/>
      <c r="N162" s="249">
        <v>277</v>
      </c>
      <c r="O162" s="249"/>
      <c r="P162" s="249">
        <v>49</v>
      </c>
      <c r="Q162" s="249"/>
      <c r="R162" s="249">
        <v>234</v>
      </c>
      <c r="S162" s="249"/>
      <c r="T162" s="249">
        <v>165</v>
      </c>
      <c r="U162" s="249"/>
      <c r="V162" s="249"/>
      <c r="W162" s="249">
        <f>D162+F162+H162+J162+L162+N162+P162+R162+T162</f>
        <v>9148</v>
      </c>
      <c r="X162" s="770"/>
      <c r="Y162" s="768">
        <v>2015</v>
      </c>
      <c r="Z162" s="348" t="s">
        <v>32</v>
      </c>
      <c r="AA162" s="12"/>
      <c r="AB162" s="12"/>
      <c r="AC162" s="369"/>
      <c r="AD162" s="17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0"/>
      <c r="AU162" s="350"/>
      <c r="AV162" s="350"/>
      <c r="AW162" s="350"/>
      <c r="AX162" s="351"/>
      <c r="AY162" s="351"/>
      <c r="AZ162" s="351"/>
      <c r="BA162" s="351"/>
      <c r="BB162" s="351"/>
      <c r="BC162" s="351"/>
    </row>
    <row r="163" spans="1:55" s="48" customFormat="1" ht="12.75" hidden="1" customHeight="1">
      <c r="B163" s="68">
        <v>2016</v>
      </c>
      <c r="C163" s="12" t="s">
        <v>260</v>
      </c>
      <c r="D163" s="247">
        <v>4495</v>
      </c>
      <c r="E163" s="249"/>
      <c r="F163" s="249">
        <v>724</v>
      </c>
      <c r="G163" s="249"/>
      <c r="H163" s="249">
        <v>1060</v>
      </c>
      <c r="I163" s="249"/>
      <c r="J163" s="249">
        <v>486</v>
      </c>
      <c r="K163" s="249"/>
      <c r="L163" s="249">
        <v>979</v>
      </c>
      <c r="M163" s="249"/>
      <c r="N163" s="249">
        <v>276</v>
      </c>
      <c r="O163" s="249"/>
      <c r="P163" s="249">
        <v>75</v>
      </c>
      <c r="Q163" s="249"/>
      <c r="R163" s="249">
        <v>174</v>
      </c>
      <c r="S163" s="249"/>
      <c r="T163" s="249">
        <v>210</v>
      </c>
      <c r="U163" s="249"/>
      <c r="V163" s="249"/>
      <c r="W163" s="249">
        <f>D163+F163+H163+J163+L163+N163+P163+R163+T163</f>
        <v>8479</v>
      </c>
      <c r="X163" s="770"/>
      <c r="Y163" s="76">
        <v>2016</v>
      </c>
      <c r="Z163" s="71" t="s">
        <v>33</v>
      </c>
      <c r="AA163" s="12"/>
      <c r="AB163" s="12"/>
      <c r="AC163" s="12"/>
      <c r="AD163" s="170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55" s="48" customFormat="1" ht="12.75" hidden="1" customHeight="1">
      <c r="B164" s="68">
        <v>2016</v>
      </c>
      <c r="C164" s="369" t="s">
        <v>34</v>
      </c>
      <c r="D164" s="247">
        <v>1714</v>
      </c>
      <c r="E164" s="249"/>
      <c r="F164" s="249">
        <v>310</v>
      </c>
      <c r="G164" s="249"/>
      <c r="H164" s="249">
        <v>200</v>
      </c>
      <c r="I164" s="249"/>
      <c r="J164" s="249">
        <v>396</v>
      </c>
      <c r="K164" s="249"/>
      <c r="L164" s="249">
        <v>1027</v>
      </c>
      <c r="M164" s="249"/>
      <c r="N164" s="249">
        <v>180</v>
      </c>
      <c r="O164" s="249"/>
      <c r="P164" s="249">
        <v>67</v>
      </c>
      <c r="Q164" s="249"/>
      <c r="R164" s="249">
        <v>226</v>
      </c>
      <c r="S164" s="249"/>
      <c r="T164" s="249">
        <v>154</v>
      </c>
      <c r="U164" s="249"/>
      <c r="V164" s="249"/>
      <c r="W164" s="249">
        <f>D164+F164+H164+J164+L164+N164+P164+R164+T164</f>
        <v>4274</v>
      </c>
      <c r="X164" s="770"/>
      <c r="Y164" s="76">
        <v>2016</v>
      </c>
      <c r="Z164" s="71" t="s">
        <v>77</v>
      </c>
      <c r="AA164" s="12"/>
      <c r="AB164" s="12"/>
      <c r="AC164" s="12"/>
      <c r="AD164" s="170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</row>
    <row r="165" spans="1:55" s="48" customFormat="1" ht="12.75" hidden="1" customHeight="1">
      <c r="B165" s="68">
        <v>2016</v>
      </c>
      <c r="C165" s="369" t="s">
        <v>29</v>
      </c>
      <c r="D165" s="247">
        <v>2060</v>
      </c>
      <c r="E165" s="249"/>
      <c r="F165" s="249">
        <v>325</v>
      </c>
      <c r="G165" s="249"/>
      <c r="H165" s="249">
        <v>313</v>
      </c>
      <c r="I165" s="249"/>
      <c r="J165" s="249">
        <v>267</v>
      </c>
      <c r="K165" s="249"/>
      <c r="L165" s="249">
        <v>664</v>
      </c>
      <c r="M165" s="249"/>
      <c r="N165" s="249">
        <v>168</v>
      </c>
      <c r="O165" s="249"/>
      <c r="P165" s="249">
        <v>44</v>
      </c>
      <c r="Q165" s="249"/>
      <c r="R165" s="249">
        <v>175</v>
      </c>
      <c r="S165" s="249"/>
      <c r="T165" s="249">
        <v>139</v>
      </c>
      <c r="U165" s="249"/>
      <c r="V165" s="249"/>
      <c r="W165" s="249">
        <f t="shared" ref="W165:W176" si="15">SUM(D165:T165)</f>
        <v>4155</v>
      </c>
      <c r="X165" s="770"/>
      <c r="Y165" s="76">
        <v>2016</v>
      </c>
      <c r="Z165" s="71" t="s">
        <v>29</v>
      </c>
      <c r="AA165" s="12"/>
      <c r="AB165" s="12"/>
      <c r="AC165" s="12"/>
      <c r="AD165" s="170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</row>
    <row r="166" spans="1:55" s="48" customFormat="1" ht="12.75" hidden="1" customHeight="1">
      <c r="B166" s="68">
        <v>2016</v>
      </c>
      <c r="C166" s="12" t="s">
        <v>35</v>
      </c>
      <c r="D166" s="247">
        <v>2749</v>
      </c>
      <c r="E166" s="249"/>
      <c r="F166" s="249">
        <v>636</v>
      </c>
      <c r="G166" s="249"/>
      <c r="H166" s="249">
        <v>478</v>
      </c>
      <c r="I166" s="249"/>
      <c r="J166" s="249">
        <v>344</v>
      </c>
      <c r="K166" s="249"/>
      <c r="L166" s="249">
        <v>1160</v>
      </c>
      <c r="M166" s="249"/>
      <c r="N166" s="249">
        <v>178</v>
      </c>
      <c r="O166" s="249"/>
      <c r="P166" s="249">
        <v>53</v>
      </c>
      <c r="Q166" s="249"/>
      <c r="R166" s="249">
        <v>262</v>
      </c>
      <c r="S166" s="249"/>
      <c r="T166" s="249">
        <v>223</v>
      </c>
      <c r="U166" s="249"/>
      <c r="V166" s="249"/>
      <c r="W166" s="249">
        <f t="shared" si="15"/>
        <v>6083</v>
      </c>
      <c r="X166" s="770"/>
      <c r="Y166" s="76">
        <v>2016</v>
      </c>
      <c r="Z166" s="349" t="s">
        <v>78</v>
      </c>
      <c r="AA166" s="12"/>
      <c r="AB166" s="12"/>
      <c r="AC166" s="12"/>
      <c r="AD166" s="170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</row>
    <row r="167" spans="1:55" s="48" customFormat="1" ht="12.75" hidden="1" customHeight="1">
      <c r="B167" s="68">
        <v>2016</v>
      </c>
      <c r="C167" s="12" t="s">
        <v>4</v>
      </c>
      <c r="D167" s="247">
        <v>2644</v>
      </c>
      <c r="E167" s="249"/>
      <c r="F167" s="249">
        <v>552</v>
      </c>
      <c r="G167" s="249"/>
      <c r="H167" s="249">
        <v>632</v>
      </c>
      <c r="I167" s="249"/>
      <c r="J167" s="249">
        <v>508</v>
      </c>
      <c r="K167" s="249"/>
      <c r="L167" s="249">
        <v>823</v>
      </c>
      <c r="M167" s="249"/>
      <c r="N167" s="249">
        <v>190</v>
      </c>
      <c r="O167" s="249"/>
      <c r="P167" s="249">
        <v>51</v>
      </c>
      <c r="Q167" s="249"/>
      <c r="R167" s="317">
        <v>181</v>
      </c>
      <c r="S167" s="249"/>
      <c r="T167" s="317">
        <v>161</v>
      </c>
      <c r="U167" s="249"/>
      <c r="V167" s="12"/>
      <c r="W167" s="249">
        <f t="shared" si="15"/>
        <v>5742</v>
      </c>
      <c r="X167" s="770"/>
      <c r="Y167" s="76">
        <v>2016</v>
      </c>
      <c r="Z167" s="349" t="s">
        <v>79</v>
      </c>
      <c r="AA167" s="12"/>
      <c r="AB167" s="12"/>
      <c r="AC167" s="96"/>
      <c r="AD167" s="170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</row>
    <row r="168" spans="1:55" s="48" customFormat="1" ht="12.75" hidden="1" customHeight="1">
      <c r="B168" s="68">
        <v>2016</v>
      </c>
      <c r="C168" s="12" t="s">
        <v>30</v>
      </c>
      <c r="D168" s="247">
        <v>5170</v>
      </c>
      <c r="E168" s="249"/>
      <c r="F168" s="249">
        <v>1197</v>
      </c>
      <c r="G168" s="249"/>
      <c r="H168" s="249">
        <v>1143</v>
      </c>
      <c r="I168" s="249"/>
      <c r="J168" s="249">
        <v>402</v>
      </c>
      <c r="K168" s="249"/>
      <c r="L168" s="249">
        <v>495</v>
      </c>
      <c r="M168" s="249"/>
      <c r="N168" s="249">
        <v>306</v>
      </c>
      <c r="O168" s="249"/>
      <c r="P168" s="249">
        <v>70</v>
      </c>
      <c r="Q168" s="249"/>
      <c r="R168" s="317">
        <v>217</v>
      </c>
      <c r="S168" s="249"/>
      <c r="T168" s="317">
        <v>158</v>
      </c>
      <c r="U168" s="249"/>
      <c r="V168" s="12"/>
      <c r="W168" s="249">
        <f t="shared" si="15"/>
        <v>9158</v>
      </c>
      <c r="X168" s="770"/>
      <c r="Y168" s="76">
        <v>2016</v>
      </c>
      <c r="Z168" s="349" t="s">
        <v>80</v>
      </c>
      <c r="AA168" s="12"/>
      <c r="AB168" s="12"/>
      <c r="AC168" s="113"/>
      <c r="AD168" s="170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</row>
    <row r="169" spans="1:55" s="48" customFormat="1" ht="12.75" hidden="1" customHeight="1">
      <c r="B169" s="68">
        <v>2016</v>
      </c>
      <c r="C169" s="12" t="s">
        <v>265</v>
      </c>
      <c r="D169" s="247">
        <v>5803</v>
      </c>
      <c r="E169" s="249"/>
      <c r="F169" s="249">
        <v>1600</v>
      </c>
      <c r="G169" s="249"/>
      <c r="H169" s="249">
        <v>1150</v>
      </c>
      <c r="I169" s="249"/>
      <c r="J169" s="249">
        <v>708</v>
      </c>
      <c r="K169" s="249"/>
      <c r="L169" s="249">
        <v>682</v>
      </c>
      <c r="M169" s="249"/>
      <c r="N169" s="249">
        <v>302</v>
      </c>
      <c r="O169" s="249"/>
      <c r="P169" s="249">
        <v>88</v>
      </c>
      <c r="Q169" s="249"/>
      <c r="R169" s="317">
        <v>266</v>
      </c>
      <c r="S169" s="249"/>
      <c r="T169" s="317">
        <v>265</v>
      </c>
      <c r="U169" s="249"/>
      <c r="V169" s="12"/>
      <c r="W169" s="249">
        <f t="shared" si="15"/>
        <v>10864</v>
      </c>
      <c r="X169" s="770"/>
      <c r="Y169" s="76">
        <v>2016</v>
      </c>
      <c r="Z169" s="349" t="s">
        <v>264</v>
      </c>
      <c r="AA169" s="12"/>
      <c r="AB169" s="12"/>
      <c r="AC169" s="113"/>
      <c r="AD169" s="170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</row>
    <row r="170" spans="1:55" s="48" customFormat="1" ht="12.75" hidden="1" customHeight="1">
      <c r="B170" s="68">
        <v>2016</v>
      </c>
      <c r="C170" s="12" t="s">
        <v>37</v>
      </c>
      <c r="D170" s="247">
        <v>4842</v>
      </c>
      <c r="E170" s="249"/>
      <c r="F170" s="249">
        <v>1592</v>
      </c>
      <c r="G170" s="249"/>
      <c r="H170" s="249">
        <v>814</v>
      </c>
      <c r="I170" s="249"/>
      <c r="J170" s="249">
        <v>467</v>
      </c>
      <c r="K170" s="249"/>
      <c r="L170" s="249">
        <v>1136</v>
      </c>
      <c r="M170" s="249"/>
      <c r="N170" s="249">
        <v>317</v>
      </c>
      <c r="O170" s="249"/>
      <c r="P170" s="249">
        <v>126</v>
      </c>
      <c r="Q170" s="249"/>
      <c r="R170" s="317">
        <v>259</v>
      </c>
      <c r="S170" s="249"/>
      <c r="T170" s="317">
        <v>266</v>
      </c>
      <c r="U170" s="249"/>
      <c r="V170" s="12"/>
      <c r="W170" s="249">
        <f t="shared" si="15"/>
        <v>9819</v>
      </c>
      <c r="X170" s="770"/>
      <c r="Y170" s="76">
        <v>2016</v>
      </c>
      <c r="Z170" s="349" t="s">
        <v>82</v>
      </c>
      <c r="AA170" s="12"/>
      <c r="AB170" s="49"/>
      <c r="AC170" s="371"/>
      <c r="AD170" s="372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</row>
    <row r="171" spans="1:55" s="48" customFormat="1" ht="12.75" hidden="1" customHeight="1">
      <c r="B171" s="68">
        <v>2016</v>
      </c>
      <c r="C171" s="12" t="s">
        <v>31</v>
      </c>
      <c r="D171" s="247">
        <v>5909</v>
      </c>
      <c r="E171" s="249"/>
      <c r="F171" s="249">
        <v>1201</v>
      </c>
      <c r="G171" s="249"/>
      <c r="H171" s="249">
        <v>753</v>
      </c>
      <c r="I171" s="249"/>
      <c r="J171" s="249">
        <v>444</v>
      </c>
      <c r="K171" s="249"/>
      <c r="L171" s="249">
        <v>654</v>
      </c>
      <c r="M171" s="249"/>
      <c r="N171" s="249">
        <v>216</v>
      </c>
      <c r="O171" s="249"/>
      <c r="P171" s="249">
        <v>106</v>
      </c>
      <c r="Q171" s="249"/>
      <c r="R171" s="317">
        <v>184</v>
      </c>
      <c r="S171" s="249"/>
      <c r="T171" s="317">
        <v>205</v>
      </c>
      <c r="U171" s="249"/>
      <c r="V171" s="12"/>
      <c r="W171" s="249">
        <f t="shared" si="15"/>
        <v>9672</v>
      </c>
      <c r="X171" s="770"/>
      <c r="Y171" s="76">
        <v>2016</v>
      </c>
      <c r="Z171" s="349" t="s">
        <v>31</v>
      </c>
      <c r="AA171" s="12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</row>
    <row r="172" spans="1:55" s="48" customFormat="1" ht="12.75" hidden="1" customHeight="1">
      <c r="B172" s="68">
        <v>2016</v>
      </c>
      <c r="C172" s="12" t="s">
        <v>38</v>
      </c>
      <c r="D172" s="247">
        <v>5193</v>
      </c>
      <c r="E172" s="249"/>
      <c r="F172" s="249">
        <v>1047</v>
      </c>
      <c r="G172" s="249"/>
      <c r="H172" s="249">
        <v>820</v>
      </c>
      <c r="I172" s="249"/>
      <c r="J172" s="249">
        <v>565</v>
      </c>
      <c r="K172" s="249"/>
      <c r="L172" s="249">
        <v>1079</v>
      </c>
      <c r="M172" s="249"/>
      <c r="N172" s="249">
        <v>359</v>
      </c>
      <c r="O172" s="249"/>
      <c r="P172" s="249">
        <v>53</v>
      </c>
      <c r="Q172" s="249"/>
      <c r="R172" s="317">
        <v>240</v>
      </c>
      <c r="S172" s="249"/>
      <c r="T172" s="317">
        <v>255</v>
      </c>
      <c r="U172" s="249"/>
      <c r="V172" s="12"/>
      <c r="W172" s="249">
        <f t="shared" si="15"/>
        <v>9611</v>
      </c>
      <c r="X172" s="770"/>
      <c r="Y172" s="76">
        <v>2016</v>
      </c>
      <c r="Z172" s="349" t="s">
        <v>38</v>
      </c>
      <c r="AA172" s="12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</row>
    <row r="173" spans="1:55" s="48" customFormat="1" ht="12.75" hidden="1" customHeight="1">
      <c r="B173" s="68">
        <v>2016</v>
      </c>
      <c r="C173" s="12" t="s">
        <v>39</v>
      </c>
      <c r="D173" s="247">
        <v>3936</v>
      </c>
      <c r="E173" s="249"/>
      <c r="F173" s="249">
        <v>782</v>
      </c>
      <c r="G173" s="249"/>
      <c r="H173" s="249">
        <v>804</v>
      </c>
      <c r="I173" s="249"/>
      <c r="J173" s="249">
        <v>473</v>
      </c>
      <c r="K173" s="249"/>
      <c r="L173" s="249">
        <v>750</v>
      </c>
      <c r="M173" s="249"/>
      <c r="N173" s="249">
        <v>192</v>
      </c>
      <c r="O173" s="249"/>
      <c r="P173" s="249">
        <v>92</v>
      </c>
      <c r="Q173" s="249"/>
      <c r="R173" s="317">
        <v>323</v>
      </c>
      <c r="S173" s="249"/>
      <c r="T173" s="317">
        <v>159</v>
      </c>
      <c r="U173" s="249"/>
      <c r="V173" s="12"/>
      <c r="W173" s="249">
        <f t="shared" si="15"/>
        <v>7511</v>
      </c>
      <c r="X173" s="770"/>
      <c r="Y173" s="76">
        <v>2016</v>
      </c>
      <c r="Z173" s="349" t="s">
        <v>39</v>
      </c>
      <c r="AA173" s="12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</row>
    <row r="174" spans="1:55" s="48" customFormat="1" ht="12.75" hidden="1" customHeight="1">
      <c r="B174" s="68">
        <v>2016</v>
      </c>
      <c r="C174" s="12" t="s">
        <v>32</v>
      </c>
      <c r="D174" s="247">
        <v>5237</v>
      </c>
      <c r="E174" s="249"/>
      <c r="F174" s="249">
        <v>965</v>
      </c>
      <c r="G174" s="249"/>
      <c r="H174" s="249">
        <v>1514</v>
      </c>
      <c r="I174" s="249"/>
      <c r="J174" s="249">
        <v>645</v>
      </c>
      <c r="K174" s="249"/>
      <c r="L174" s="249">
        <v>618</v>
      </c>
      <c r="M174" s="249"/>
      <c r="N174" s="249">
        <v>209</v>
      </c>
      <c r="O174" s="249"/>
      <c r="P174" s="249">
        <v>78</v>
      </c>
      <c r="Q174" s="249"/>
      <c r="R174" s="317">
        <v>229</v>
      </c>
      <c r="S174" s="249"/>
      <c r="T174" s="317">
        <v>254</v>
      </c>
      <c r="U174" s="249"/>
      <c r="V174" s="12"/>
      <c r="W174" s="249">
        <f t="shared" si="15"/>
        <v>9749</v>
      </c>
      <c r="X174" s="770"/>
      <c r="Y174" s="76">
        <v>2016</v>
      </c>
      <c r="Z174" s="349" t="s">
        <v>32</v>
      </c>
      <c r="AA174" s="12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</row>
    <row r="175" spans="1:55" s="48" customFormat="1" ht="12.75" hidden="1" customHeight="1">
      <c r="B175" s="68">
        <v>2017</v>
      </c>
      <c r="C175" s="12" t="s">
        <v>33</v>
      </c>
      <c r="D175" s="247">
        <v>4738</v>
      </c>
      <c r="E175" s="249"/>
      <c r="F175" s="249">
        <v>549</v>
      </c>
      <c r="G175" s="249"/>
      <c r="H175" s="249">
        <v>1742</v>
      </c>
      <c r="I175" s="249"/>
      <c r="J175" s="249">
        <v>439</v>
      </c>
      <c r="K175" s="249"/>
      <c r="L175" s="249">
        <v>602</v>
      </c>
      <c r="M175" s="249"/>
      <c r="N175" s="249">
        <v>180</v>
      </c>
      <c r="O175" s="249"/>
      <c r="P175" s="249">
        <v>75</v>
      </c>
      <c r="Q175" s="249"/>
      <c r="R175" s="317">
        <v>339</v>
      </c>
      <c r="S175" s="249"/>
      <c r="T175" s="317">
        <v>293</v>
      </c>
      <c r="U175" s="249"/>
      <c r="V175" s="12"/>
      <c r="W175" s="249">
        <f t="shared" si="15"/>
        <v>8957</v>
      </c>
      <c r="X175" s="770"/>
      <c r="Y175" s="76">
        <v>2017</v>
      </c>
      <c r="Z175" s="349" t="s">
        <v>33</v>
      </c>
      <c r="AA175" s="12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55" s="48" customFormat="1" ht="12.75" hidden="1" customHeight="1">
      <c r="B176" s="68">
        <v>2017</v>
      </c>
      <c r="C176" s="12" t="s">
        <v>34</v>
      </c>
      <c r="D176" s="247">
        <v>2328</v>
      </c>
      <c r="E176" s="249"/>
      <c r="F176" s="249">
        <v>343</v>
      </c>
      <c r="G176" s="249"/>
      <c r="H176" s="249">
        <v>1062</v>
      </c>
      <c r="I176" s="249"/>
      <c r="J176" s="249">
        <v>612</v>
      </c>
      <c r="K176" s="249"/>
      <c r="L176" s="249">
        <v>520</v>
      </c>
      <c r="M176" s="249"/>
      <c r="N176" s="249">
        <v>197</v>
      </c>
      <c r="O176" s="249"/>
      <c r="P176" s="249">
        <v>59</v>
      </c>
      <c r="Q176" s="249"/>
      <c r="R176" s="317">
        <v>302</v>
      </c>
      <c r="S176" s="249"/>
      <c r="T176" s="317">
        <v>187</v>
      </c>
      <c r="U176" s="249"/>
      <c r="V176" s="12"/>
      <c r="W176" s="249">
        <f t="shared" si="15"/>
        <v>5610</v>
      </c>
      <c r="X176" s="770"/>
      <c r="Y176" s="76">
        <v>2017</v>
      </c>
      <c r="Z176" s="349" t="s">
        <v>77</v>
      </c>
      <c r="AA176" s="12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</row>
    <row r="177" spans="2:49" s="48" customFormat="1" ht="12.75" hidden="1" customHeight="1">
      <c r="B177" s="68">
        <v>2017</v>
      </c>
      <c r="C177" s="12" t="s">
        <v>29</v>
      </c>
      <c r="D177" s="247">
        <v>3304</v>
      </c>
      <c r="E177" s="249"/>
      <c r="F177" s="249">
        <v>454</v>
      </c>
      <c r="G177" s="249"/>
      <c r="H177" s="249">
        <v>939</v>
      </c>
      <c r="I177" s="249"/>
      <c r="J177" s="249">
        <v>405</v>
      </c>
      <c r="K177" s="249"/>
      <c r="L177" s="249">
        <v>445</v>
      </c>
      <c r="M177" s="249"/>
      <c r="N177" s="249">
        <v>224</v>
      </c>
      <c r="O177" s="249"/>
      <c r="P177" s="249">
        <v>72</v>
      </c>
      <c r="Q177" s="249"/>
      <c r="R177" s="317">
        <v>315</v>
      </c>
      <c r="S177" s="249"/>
      <c r="T177" s="317">
        <v>198</v>
      </c>
      <c r="U177" s="249"/>
      <c r="V177" s="12"/>
      <c r="W177" s="249">
        <f t="shared" ref="W177:W182" si="16">SUM(D177:T177)</f>
        <v>6356</v>
      </c>
      <c r="X177" s="770"/>
      <c r="Y177" s="76">
        <v>2017</v>
      </c>
      <c r="Z177" s="349" t="str">
        <f>Z165</f>
        <v>Mar</v>
      </c>
      <c r="AA177" s="12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2:49" s="48" customFormat="1" ht="12.75" hidden="1" customHeight="1">
      <c r="B178" s="68">
        <v>2017</v>
      </c>
      <c r="C178" s="12" t="s">
        <v>35</v>
      </c>
      <c r="D178" s="247">
        <v>4854</v>
      </c>
      <c r="E178" s="249"/>
      <c r="F178" s="249">
        <v>885</v>
      </c>
      <c r="G178" s="249"/>
      <c r="H178" s="249">
        <v>1349</v>
      </c>
      <c r="I178" s="249"/>
      <c r="J178" s="249">
        <v>463</v>
      </c>
      <c r="K178" s="249"/>
      <c r="L178" s="249">
        <v>639</v>
      </c>
      <c r="M178" s="249"/>
      <c r="N178" s="249">
        <v>218</v>
      </c>
      <c r="O178" s="249"/>
      <c r="P178" s="249">
        <v>82</v>
      </c>
      <c r="Q178" s="249"/>
      <c r="R178" s="317">
        <v>213</v>
      </c>
      <c r="S178" s="249"/>
      <c r="T178" s="317">
        <v>232</v>
      </c>
      <c r="U178" s="249"/>
      <c r="V178" s="12"/>
      <c r="W178" s="249">
        <f t="shared" si="16"/>
        <v>8935</v>
      </c>
      <c r="X178" s="686"/>
      <c r="Y178" s="76">
        <v>2017</v>
      </c>
      <c r="Z178" s="349" t="s">
        <v>78</v>
      </c>
      <c r="AA178" s="12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</row>
    <row r="179" spans="2:49" s="48" customFormat="1" ht="12.75" hidden="1" customHeight="1">
      <c r="B179" s="68">
        <v>2017</v>
      </c>
      <c r="C179" s="12" t="s">
        <v>4</v>
      </c>
      <c r="D179" s="247">
        <v>3647</v>
      </c>
      <c r="E179" s="249"/>
      <c r="F179" s="249">
        <v>737</v>
      </c>
      <c r="G179" s="249"/>
      <c r="H179" s="249">
        <v>1017</v>
      </c>
      <c r="I179" s="249"/>
      <c r="J179" s="249">
        <v>486</v>
      </c>
      <c r="K179" s="249"/>
      <c r="L179" s="249">
        <v>491</v>
      </c>
      <c r="M179" s="249"/>
      <c r="N179" s="249">
        <v>257</v>
      </c>
      <c r="O179" s="249"/>
      <c r="P179" s="249">
        <v>55</v>
      </c>
      <c r="Q179" s="249"/>
      <c r="R179" s="317">
        <v>320</v>
      </c>
      <c r="S179" s="249"/>
      <c r="T179" s="317">
        <v>169</v>
      </c>
      <c r="U179" s="249"/>
      <c r="V179" s="12"/>
      <c r="W179" s="249">
        <f t="shared" si="16"/>
        <v>7179</v>
      </c>
      <c r="X179" s="686"/>
      <c r="Y179" s="76">
        <v>2017</v>
      </c>
      <c r="Z179" s="349" t="s">
        <v>79</v>
      </c>
      <c r="AA179" s="12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</row>
    <row r="180" spans="2:49" s="48" customFormat="1" ht="12.75" hidden="1" customHeight="1">
      <c r="B180" s="68">
        <v>2017</v>
      </c>
      <c r="C180" s="12" t="s">
        <v>30</v>
      </c>
      <c r="D180" s="247">
        <v>5104</v>
      </c>
      <c r="E180" s="249"/>
      <c r="F180" s="249">
        <v>1209</v>
      </c>
      <c r="G180" s="249"/>
      <c r="H180" s="249">
        <v>1302</v>
      </c>
      <c r="I180" s="249"/>
      <c r="J180" s="249">
        <v>492</v>
      </c>
      <c r="K180" s="249"/>
      <c r="L180" s="249">
        <v>433</v>
      </c>
      <c r="M180" s="249"/>
      <c r="N180" s="249">
        <v>324</v>
      </c>
      <c r="O180" s="249"/>
      <c r="P180" s="249">
        <v>97</v>
      </c>
      <c r="Q180" s="249"/>
      <c r="R180" s="317">
        <v>317</v>
      </c>
      <c r="S180" s="249"/>
      <c r="T180" s="317">
        <v>222</v>
      </c>
      <c r="U180" s="249"/>
      <c r="V180" s="12"/>
      <c r="W180" s="249">
        <f t="shared" si="16"/>
        <v>9500</v>
      </c>
      <c r="X180" s="686"/>
      <c r="Y180" s="76">
        <v>2017</v>
      </c>
      <c r="Z180" s="349" t="s">
        <v>80</v>
      </c>
      <c r="AA180" s="12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</row>
    <row r="181" spans="2:49" s="48" customFormat="1" ht="12.75" hidden="1" customHeight="1">
      <c r="B181" s="68">
        <v>2017</v>
      </c>
      <c r="C181" s="12" t="s">
        <v>36</v>
      </c>
      <c r="D181" s="247">
        <v>6470</v>
      </c>
      <c r="E181" s="249"/>
      <c r="F181" s="249">
        <v>1834</v>
      </c>
      <c r="G181" s="249"/>
      <c r="H181" s="249">
        <v>1214</v>
      </c>
      <c r="I181" s="249"/>
      <c r="J181" s="249">
        <v>816</v>
      </c>
      <c r="K181" s="249"/>
      <c r="L181" s="249">
        <v>715</v>
      </c>
      <c r="M181" s="249"/>
      <c r="N181" s="249">
        <v>289</v>
      </c>
      <c r="O181" s="249"/>
      <c r="P181" s="249">
        <v>112</v>
      </c>
      <c r="Q181" s="249"/>
      <c r="R181" s="317">
        <v>410</v>
      </c>
      <c r="S181" s="249"/>
      <c r="T181" s="317">
        <v>195</v>
      </c>
      <c r="U181" s="249"/>
      <c r="V181" s="12"/>
      <c r="W181" s="249">
        <f t="shared" si="16"/>
        <v>12055</v>
      </c>
      <c r="X181" s="686"/>
      <c r="Y181" s="76">
        <v>2017</v>
      </c>
      <c r="Z181" s="349" t="s">
        <v>81</v>
      </c>
      <c r="AA181" s="12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</row>
    <row r="182" spans="2:49" s="48" customFormat="1" ht="12.75" hidden="1" customHeight="1">
      <c r="B182" s="68">
        <v>2017</v>
      </c>
      <c r="C182" s="12" t="s">
        <v>37</v>
      </c>
      <c r="D182" s="247">
        <v>4081</v>
      </c>
      <c r="E182" s="249"/>
      <c r="F182" s="249">
        <v>1234</v>
      </c>
      <c r="G182" s="249"/>
      <c r="H182" s="249">
        <v>1278</v>
      </c>
      <c r="I182" s="249"/>
      <c r="J182" s="249">
        <v>317</v>
      </c>
      <c r="K182" s="249"/>
      <c r="L182" s="249">
        <v>537</v>
      </c>
      <c r="M182" s="249"/>
      <c r="N182" s="249">
        <v>236</v>
      </c>
      <c r="O182" s="249"/>
      <c r="P182" s="249">
        <v>157</v>
      </c>
      <c r="Q182" s="249"/>
      <c r="R182" s="317">
        <v>269</v>
      </c>
      <c r="S182" s="249"/>
      <c r="T182" s="317">
        <v>192</v>
      </c>
      <c r="U182" s="249"/>
      <c r="V182" s="12"/>
      <c r="W182" s="249">
        <f t="shared" si="16"/>
        <v>8301</v>
      </c>
      <c r="X182" s="686"/>
      <c r="Y182" s="76">
        <v>2017</v>
      </c>
      <c r="Z182" s="349" t="s">
        <v>82</v>
      </c>
      <c r="AA182" s="12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</row>
    <row r="183" spans="2:49" s="48" customFormat="1" ht="12.75" hidden="1" customHeight="1">
      <c r="B183" s="68">
        <v>2017</v>
      </c>
      <c r="C183" s="12" t="s">
        <v>31</v>
      </c>
      <c r="D183" s="247">
        <v>6655</v>
      </c>
      <c r="E183" s="249"/>
      <c r="F183" s="249">
        <v>1194</v>
      </c>
      <c r="G183" s="249"/>
      <c r="H183" s="249">
        <v>1221</v>
      </c>
      <c r="I183" s="249"/>
      <c r="J183" s="249">
        <v>447</v>
      </c>
      <c r="K183" s="249"/>
      <c r="L183" s="249">
        <v>536</v>
      </c>
      <c r="M183" s="249"/>
      <c r="N183" s="249">
        <v>279</v>
      </c>
      <c r="O183" s="249"/>
      <c r="P183" s="249">
        <v>102</v>
      </c>
      <c r="Q183" s="249"/>
      <c r="R183" s="317">
        <v>269</v>
      </c>
      <c r="S183" s="249"/>
      <c r="T183" s="317">
        <v>174</v>
      </c>
      <c r="U183" s="249"/>
      <c r="V183" s="12"/>
      <c r="W183" s="249">
        <f t="shared" ref="W183:W188" si="17">SUM(D183:T183)</f>
        <v>10877</v>
      </c>
      <c r="X183" s="686"/>
      <c r="Y183" s="76">
        <v>2017</v>
      </c>
      <c r="Z183" s="349" t="s">
        <v>31</v>
      </c>
      <c r="AA183" s="12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</row>
    <row r="184" spans="2:49" s="48" customFormat="1" ht="12.75" hidden="1" customHeight="1">
      <c r="B184" s="68">
        <v>2017</v>
      </c>
      <c r="C184" s="12" t="s">
        <v>38</v>
      </c>
      <c r="D184" s="247">
        <v>5456</v>
      </c>
      <c r="E184" s="249"/>
      <c r="F184" s="249">
        <v>1208</v>
      </c>
      <c r="G184" s="249"/>
      <c r="H184" s="249">
        <v>1728</v>
      </c>
      <c r="I184" s="249"/>
      <c r="J184" s="249">
        <v>646</v>
      </c>
      <c r="K184" s="249"/>
      <c r="L184" s="249">
        <v>611</v>
      </c>
      <c r="M184" s="249"/>
      <c r="N184" s="249">
        <v>281</v>
      </c>
      <c r="O184" s="249"/>
      <c r="P184" s="249">
        <v>112</v>
      </c>
      <c r="Q184" s="249"/>
      <c r="R184" s="317">
        <v>318</v>
      </c>
      <c r="S184" s="249"/>
      <c r="T184" s="317">
        <v>251</v>
      </c>
      <c r="U184" s="249"/>
      <c r="V184" s="12"/>
      <c r="W184" s="249">
        <f t="shared" si="17"/>
        <v>10611</v>
      </c>
      <c r="X184" s="686"/>
      <c r="Y184" s="76">
        <v>2017</v>
      </c>
      <c r="Z184" s="349" t="s">
        <v>38</v>
      </c>
      <c r="AA184" s="11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</row>
    <row r="185" spans="2:49" s="48" customFormat="1" ht="12.75" hidden="1" customHeight="1">
      <c r="B185" s="68">
        <v>2017</v>
      </c>
      <c r="C185" s="12" t="s">
        <v>39</v>
      </c>
      <c r="D185" s="247">
        <v>4152</v>
      </c>
      <c r="E185" s="249"/>
      <c r="F185" s="249">
        <v>809</v>
      </c>
      <c r="G185" s="249"/>
      <c r="H185" s="249">
        <v>1076</v>
      </c>
      <c r="I185" s="249"/>
      <c r="J185" s="249">
        <v>1031</v>
      </c>
      <c r="K185" s="249"/>
      <c r="L185" s="249">
        <v>604</v>
      </c>
      <c r="M185" s="249"/>
      <c r="N185" s="249">
        <v>219</v>
      </c>
      <c r="O185" s="249"/>
      <c r="P185" s="249">
        <v>71</v>
      </c>
      <c r="Q185" s="249"/>
      <c r="R185" s="317">
        <v>213</v>
      </c>
      <c r="S185" s="249"/>
      <c r="T185" s="317">
        <v>331</v>
      </c>
      <c r="U185" s="249"/>
      <c r="V185" s="12"/>
      <c r="W185" s="249">
        <f t="shared" si="17"/>
        <v>8506</v>
      </c>
      <c r="X185" s="686"/>
      <c r="Y185" s="76">
        <v>2017</v>
      </c>
      <c r="Z185" s="349" t="s">
        <v>39</v>
      </c>
      <c r="AA185" s="12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</row>
    <row r="186" spans="2:49" s="48" customFormat="1" ht="12.75" hidden="1" customHeight="1">
      <c r="B186" s="68">
        <v>2017</v>
      </c>
      <c r="C186" s="12" t="s">
        <v>32</v>
      </c>
      <c r="D186" s="247">
        <v>6598</v>
      </c>
      <c r="E186" s="249"/>
      <c r="F186" s="249">
        <v>1098</v>
      </c>
      <c r="G186" s="249"/>
      <c r="H186" s="249">
        <v>1952</v>
      </c>
      <c r="I186" s="249"/>
      <c r="J186" s="249">
        <v>993</v>
      </c>
      <c r="K186" s="249"/>
      <c r="L186" s="249">
        <v>673</v>
      </c>
      <c r="M186" s="249"/>
      <c r="N186" s="249">
        <v>312</v>
      </c>
      <c r="O186" s="249"/>
      <c r="P186" s="249">
        <v>82</v>
      </c>
      <c r="Q186" s="249"/>
      <c r="R186" s="317">
        <v>327</v>
      </c>
      <c r="S186" s="249"/>
      <c r="T186" s="317">
        <v>248</v>
      </c>
      <c r="U186" s="249"/>
      <c r="V186" s="12"/>
      <c r="W186" s="249">
        <f t="shared" si="17"/>
        <v>12283</v>
      </c>
      <c r="X186" s="686"/>
      <c r="Y186" s="76">
        <v>2017</v>
      </c>
      <c r="Z186" s="349" t="s">
        <v>32</v>
      </c>
      <c r="AA186" s="12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</row>
    <row r="187" spans="2:49" s="48" customFormat="1" ht="12.75" hidden="1" customHeight="1">
      <c r="B187" s="68">
        <v>2018</v>
      </c>
      <c r="C187" s="12" t="s">
        <v>33</v>
      </c>
      <c r="D187" s="247">
        <v>5206</v>
      </c>
      <c r="E187" s="249"/>
      <c r="F187" s="249">
        <v>804</v>
      </c>
      <c r="G187" s="249"/>
      <c r="H187" s="249">
        <v>2129</v>
      </c>
      <c r="I187" s="249"/>
      <c r="J187" s="249">
        <v>528</v>
      </c>
      <c r="K187" s="249"/>
      <c r="L187" s="249">
        <v>570</v>
      </c>
      <c r="M187" s="249"/>
      <c r="N187" s="249">
        <v>251</v>
      </c>
      <c r="O187" s="249"/>
      <c r="P187" s="249">
        <v>63</v>
      </c>
      <c r="Q187" s="249"/>
      <c r="R187" s="317">
        <v>317</v>
      </c>
      <c r="S187" s="249"/>
      <c r="T187" s="317">
        <v>262</v>
      </c>
      <c r="U187" s="249"/>
      <c r="V187" s="12"/>
      <c r="W187" s="249">
        <f t="shared" si="17"/>
        <v>10130</v>
      </c>
      <c r="X187" s="686"/>
      <c r="Y187" s="76">
        <v>2018</v>
      </c>
      <c r="Z187" s="349" t="s">
        <v>33</v>
      </c>
      <c r="AA187" s="12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</row>
    <row r="188" spans="2:49" s="48" customFormat="1" ht="12.75" hidden="1" customHeight="1">
      <c r="B188" s="68">
        <v>2018</v>
      </c>
      <c r="C188" s="12" t="s">
        <v>34</v>
      </c>
      <c r="D188" s="247">
        <v>2606</v>
      </c>
      <c r="E188" s="249"/>
      <c r="F188" s="249">
        <v>381</v>
      </c>
      <c r="G188" s="249"/>
      <c r="H188" s="249">
        <v>1238</v>
      </c>
      <c r="I188" s="249"/>
      <c r="J188" s="249">
        <v>606</v>
      </c>
      <c r="K188" s="249"/>
      <c r="L188" s="249">
        <v>490</v>
      </c>
      <c r="M188" s="249"/>
      <c r="N188" s="249">
        <v>229</v>
      </c>
      <c r="O188" s="249"/>
      <c r="P188" s="249">
        <v>63</v>
      </c>
      <c r="Q188" s="249"/>
      <c r="R188" s="317">
        <v>385</v>
      </c>
      <c r="S188" s="249"/>
      <c r="T188" s="317">
        <v>268</v>
      </c>
      <c r="U188" s="249"/>
      <c r="V188" s="12"/>
      <c r="W188" s="249">
        <f t="shared" si="17"/>
        <v>6266</v>
      </c>
      <c r="X188" s="686"/>
      <c r="Y188" s="76">
        <v>2018</v>
      </c>
      <c r="Z188" s="349" t="s">
        <v>77</v>
      </c>
      <c r="AA188" s="12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</row>
    <row r="189" spans="2:49" s="48" customFormat="1" ht="12.75" hidden="1" customHeight="1">
      <c r="B189" s="68">
        <v>2018</v>
      </c>
      <c r="C189" s="12" t="s">
        <v>29</v>
      </c>
      <c r="D189" s="247">
        <v>3819</v>
      </c>
      <c r="E189" s="249"/>
      <c r="F189" s="249">
        <v>523</v>
      </c>
      <c r="G189" s="249"/>
      <c r="H189" s="249">
        <v>1000</v>
      </c>
      <c r="I189" s="249"/>
      <c r="J189" s="249">
        <v>424</v>
      </c>
      <c r="K189" s="249"/>
      <c r="L189" s="249">
        <v>465</v>
      </c>
      <c r="M189" s="249"/>
      <c r="N189" s="249">
        <v>219</v>
      </c>
      <c r="O189" s="249"/>
      <c r="P189" s="249">
        <v>60</v>
      </c>
      <c r="Q189" s="249"/>
      <c r="R189" s="317">
        <v>321</v>
      </c>
      <c r="S189" s="249"/>
      <c r="T189" s="317">
        <v>285</v>
      </c>
      <c r="U189" s="249"/>
      <c r="V189" s="12"/>
      <c r="W189" s="249">
        <f t="shared" ref="W189:W194" si="18">SUM(D189:T189)</f>
        <v>7116</v>
      </c>
      <c r="X189" s="686"/>
      <c r="Y189" s="76">
        <v>2018</v>
      </c>
      <c r="Z189" s="349" t="s">
        <v>29</v>
      </c>
      <c r="AA189" s="12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</row>
    <row r="190" spans="2:49" s="48" customFormat="1" ht="12.75" hidden="1" customHeight="1">
      <c r="B190" s="68">
        <v>2018</v>
      </c>
      <c r="C190" s="12" t="s">
        <v>35</v>
      </c>
      <c r="D190" s="247">
        <v>4878</v>
      </c>
      <c r="E190" s="249"/>
      <c r="F190" s="249">
        <v>820</v>
      </c>
      <c r="G190" s="249"/>
      <c r="H190" s="249">
        <v>1308</v>
      </c>
      <c r="I190" s="249"/>
      <c r="J190" s="249">
        <v>491</v>
      </c>
      <c r="K190" s="249"/>
      <c r="L190" s="249">
        <v>589</v>
      </c>
      <c r="M190" s="249"/>
      <c r="N190" s="249">
        <v>319</v>
      </c>
      <c r="O190" s="249"/>
      <c r="P190" s="249">
        <v>105</v>
      </c>
      <c r="Q190" s="249"/>
      <c r="R190" s="317">
        <v>392</v>
      </c>
      <c r="S190" s="249"/>
      <c r="T190" s="317">
        <v>291</v>
      </c>
      <c r="U190" s="249"/>
      <c r="V190" s="12"/>
      <c r="W190" s="249">
        <f t="shared" si="18"/>
        <v>9193</v>
      </c>
      <c r="X190" s="686"/>
      <c r="Y190" s="76">
        <v>2018</v>
      </c>
      <c r="Z190" s="349" t="s">
        <v>78</v>
      </c>
      <c r="AA190" s="12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</row>
    <row r="191" spans="2:49" s="48" customFormat="1" ht="12.75" hidden="1" customHeight="1">
      <c r="B191" s="68">
        <v>2018</v>
      </c>
      <c r="C191" s="12" t="s">
        <v>4</v>
      </c>
      <c r="D191" s="247">
        <v>4456</v>
      </c>
      <c r="E191" s="249"/>
      <c r="F191" s="249">
        <v>996</v>
      </c>
      <c r="G191" s="249"/>
      <c r="H191" s="249">
        <v>1173</v>
      </c>
      <c r="I191" s="249"/>
      <c r="J191" s="249">
        <v>667</v>
      </c>
      <c r="K191" s="249"/>
      <c r="L191" s="249">
        <v>554</v>
      </c>
      <c r="M191" s="249"/>
      <c r="N191" s="249">
        <v>271</v>
      </c>
      <c r="O191" s="249"/>
      <c r="P191" s="249">
        <v>93</v>
      </c>
      <c r="Q191" s="249"/>
      <c r="R191" s="317">
        <v>320</v>
      </c>
      <c r="S191" s="249"/>
      <c r="T191" s="317">
        <v>323</v>
      </c>
      <c r="U191" s="249"/>
      <c r="V191" s="12"/>
      <c r="W191" s="249">
        <f t="shared" si="18"/>
        <v>8853</v>
      </c>
      <c r="X191" s="686"/>
      <c r="Y191" s="76">
        <v>2018</v>
      </c>
      <c r="Z191" s="349" t="s">
        <v>79</v>
      </c>
      <c r="AA191" s="12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</row>
    <row r="192" spans="2:49" s="48" customFormat="1" ht="12.75" hidden="1" customHeight="1">
      <c r="B192" s="68">
        <v>2018</v>
      </c>
      <c r="C192" s="12" t="s">
        <v>30</v>
      </c>
      <c r="D192" s="247">
        <v>5563</v>
      </c>
      <c r="E192" s="249"/>
      <c r="F192" s="249">
        <v>1409</v>
      </c>
      <c r="G192" s="249"/>
      <c r="H192" s="249">
        <v>1398</v>
      </c>
      <c r="I192" s="249"/>
      <c r="J192" s="249">
        <v>524</v>
      </c>
      <c r="K192" s="249"/>
      <c r="L192" s="249">
        <v>631</v>
      </c>
      <c r="M192" s="249"/>
      <c r="N192" s="249">
        <v>372</v>
      </c>
      <c r="O192" s="249"/>
      <c r="P192" s="249">
        <v>56</v>
      </c>
      <c r="Q192" s="249"/>
      <c r="R192" s="317">
        <v>299</v>
      </c>
      <c r="S192" s="249"/>
      <c r="T192" s="317">
        <v>321</v>
      </c>
      <c r="U192" s="249"/>
      <c r="V192" s="12"/>
      <c r="W192" s="249">
        <f t="shared" si="18"/>
        <v>10573</v>
      </c>
      <c r="X192" s="686"/>
      <c r="Y192" s="76">
        <v>2018</v>
      </c>
      <c r="Z192" s="349" t="s">
        <v>80</v>
      </c>
      <c r="AA192" s="12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</row>
    <row r="193" spans="2:49" s="48" customFormat="1" ht="12.75" hidden="1" customHeight="1">
      <c r="B193" s="68">
        <v>2018</v>
      </c>
      <c r="C193" s="12" t="s">
        <v>36</v>
      </c>
      <c r="D193" s="247">
        <v>7056</v>
      </c>
      <c r="E193" s="249"/>
      <c r="F193" s="249">
        <v>2135</v>
      </c>
      <c r="G193" s="249"/>
      <c r="H193" s="249">
        <v>1129</v>
      </c>
      <c r="I193" s="249"/>
      <c r="J193" s="249">
        <v>728</v>
      </c>
      <c r="K193" s="249"/>
      <c r="L193" s="249">
        <v>835</v>
      </c>
      <c r="M193" s="249"/>
      <c r="N193" s="249">
        <v>436</v>
      </c>
      <c r="O193" s="249"/>
      <c r="P193" s="249">
        <v>93</v>
      </c>
      <c r="Q193" s="249"/>
      <c r="R193" s="317">
        <v>366</v>
      </c>
      <c r="S193" s="249"/>
      <c r="T193" s="317">
        <v>406</v>
      </c>
      <c r="U193" s="249"/>
      <c r="V193" s="12"/>
      <c r="W193" s="249">
        <f t="shared" si="18"/>
        <v>13184</v>
      </c>
      <c r="X193" s="686"/>
      <c r="Y193" s="76">
        <v>2018</v>
      </c>
      <c r="Z193" s="107" t="s">
        <v>81</v>
      </c>
      <c r="AA193" s="12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</row>
    <row r="194" spans="2:49" s="48" customFormat="1" ht="12.75" hidden="1" customHeight="1">
      <c r="B194" s="68">
        <v>2018</v>
      </c>
      <c r="C194" s="12" t="s">
        <v>271</v>
      </c>
      <c r="D194" s="247">
        <v>4071</v>
      </c>
      <c r="E194" s="249"/>
      <c r="F194" s="249">
        <v>1483</v>
      </c>
      <c r="G194" s="249"/>
      <c r="H194" s="249">
        <v>1195</v>
      </c>
      <c r="I194" s="249"/>
      <c r="J194" s="249">
        <v>424</v>
      </c>
      <c r="K194" s="249"/>
      <c r="L194" s="249">
        <v>737</v>
      </c>
      <c r="M194" s="249"/>
      <c r="N194" s="249">
        <v>278</v>
      </c>
      <c r="O194" s="249"/>
      <c r="P194" s="249">
        <v>102</v>
      </c>
      <c r="Q194" s="249"/>
      <c r="R194" s="317">
        <v>385</v>
      </c>
      <c r="S194" s="249"/>
      <c r="T194" s="317">
        <v>297</v>
      </c>
      <c r="U194" s="249"/>
      <c r="V194" s="12"/>
      <c r="W194" s="249">
        <f t="shared" si="18"/>
        <v>8972</v>
      </c>
      <c r="X194" s="686"/>
      <c r="Y194" s="76">
        <v>2018</v>
      </c>
      <c r="Z194" s="349" t="str">
        <f>Z182</f>
        <v>Aoû</v>
      </c>
      <c r="AA194" s="12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</row>
    <row r="195" spans="2:49" s="48" customFormat="1" ht="12.75" hidden="1" customHeight="1">
      <c r="B195" s="68">
        <v>2018</v>
      </c>
      <c r="C195" s="12" t="s">
        <v>31</v>
      </c>
      <c r="D195" s="247">
        <v>6330</v>
      </c>
      <c r="E195" s="249"/>
      <c r="F195" s="249">
        <v>1658</v>
      </c>
      <c r="G195" s="249"/>
      <c r="H195" s="249">
        <v>888</v>
      </c>
      <c r="I195" s="249"/>
      <c r="J195" s="249">
        <v>491</v>
      </c>
      <c r="K195" s="249"/>
      <c r="L195" s="249">
        <v>1023</v>
      </c>
      <c r="M195" s="249"/>
      <c r="N195" s="249">
        <v>221</v>
      </c>
      <c r="O195" s="249"/>
      <c r="P195" s="249">
        <v>122</v>
      </c>
      <c r="Q195" s="249"/>
      <c r="R195" s="317">
        <v>328</v>
      </c>
      <c r="S195" s="249"/>
      <c r="T195" s="317">
        <v>365</v>
      </c>
      <c r="U195" s="249"/>
      <c r="V195" s="12"/>
      <c r="W195" s="249">
        <f t="shared" ref="W195:W201" si="19">SUM(D195:T195)</f>
        <v>11426</v>
      </c>
      <c r="X195" s="686"/>
      <c r="Y195" s="76">
        <v>2018</v>
      </c>
      <c r="Z195" s="349" t="s">
        <v>31</v>
      </c>
      <c r="AA195" s="12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</row>
    <row r="196" spans="2:49" s="48" customFormat="1" ht="12.75" hidden="1" customHeight="1">
      <c r="B196" s="68">
        <v>2018</v>
      </c>
      <c r="C196" s="12" t="s">
        <v>38</v>
      </c>
      <c r="D196" s="247">
        <v>5731</v>
      </c>
      <c r="E196" s="249"/>
      <c r="F196" s="249">
        <v>1302</v>
      </c>
      <c r="G196" s="249"/>
      <c r="H196" s="249">
        <v>1246</v>
      </c>
      <c r="I196" s="249"/>
      <c r="J196" s="249">
        <v>551</v>
      </c>
      <c r="K196" s="249"/>
      <c r="L196" s="249">
        <v>679</v>
      </c>
      <c r="M196" s="249"/>
      <c r="N196" s="249">
        <v>273</v>
      </c>
      <c r="O196" s="249"/>
      <c r="P196" s="249">
        <v>65</v>
      </c>
      <c r="Q196" s="249"/>
      <c r="R196" s="317">
        <v>292</v>
      </c>
      <c r="S196" s="249"/>
      <c r="T196" s="317">
        <v>270</v>
      </c>
      <c r="U196" s="249"/>
      <c r="V196" s="12"/>
      <c r="W196" s="249">
        <f t="shared" si="19"/>
        <v>10409</v>
      </c>
      <c r="X196" s="686"/>
      <c r="Y196" s="76">
        <v>2018</v>
      </c>
      <c r="Z196" s="349" t="s">
        <v>38</v>
      </c>
      <c r="AA196" s="12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</row>
    <row r="197" spans="2:49" s="48" customFormat="1" ht="12.75" hidden="1" customHeight="1">
      <c r="B197" s="68">
        <v>2018</v>
      </c>
      <c r="C197" s="12" t="s">
        <v>39</v>
      </c>
      <c r="D197" s="247">
        <v>4754</v>
      </c>
      <c r="E197" s="249"/>
      <c r="F197" s="249">
        <v>854</v>
      </c>
      <c r="G197" s="249"/>
      <c r="H197" s="249">
        <v>916</v>
      </c>
      <c r="I197" s="249"/>
      <c r="J197" s="249">
        <v>660</v>
      </c>
      <c r="K197" s="249"/>
      <c r="L197" s="249">
        <v>946</v>
      </c>
      <c r="M197" s="249"/>
      <c r="N197" s="249">
        <v>269</v>
      </c>
      <c r="O197" s="249"/>
      <c r="P197" s="249">
        <v>57</v>
      </c>
      <c r="Q197" s="249"/>
      <c r="R197" s="317">
        <v>284</v>
      </c>
      <c r="S197" s="249"/>
      <c r="T197" s="317">
        <v>304</v>
      </c>
      <c r="U197" s="249"/>
      <c r="V197" s="12"/>
      <c r="W197" s="249">
        <f t="shared" si="19"/>
        <v>9044</v>
      </c>
      <c r="X197" s="686"/>
      <c r="Y197" s="76">
        <v>2018</v>
      </c>
      <c r="Z197" s="349" t="s">
        <v>39</v>
      </c>
      <c r="AA197" s="12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</row>
    <row r="198" spans="2:49" s="48" customFormat="1" ht="12.75" hidden="1" customHeight="1">
      <c r="B198" s="68">
        <v>2018</v>
      </c>
      <c r="C198" s="12" t="s">
        <v>32</v>
      </c>
      <c r="D198" s="247">
        <v>6146</v>
      </c>
      <c r="E198" s="249"/>
      <c r="F198" s="249">
        <v>1067</v>
      </c>
      <c r="G198" s="249"/>
      <c r="H198" s="249">
        <v>1485</v>
      </c>
      <c r="I198" s="249"/>
      <c r="J198" s="249">
        <v>451</v>
      </c>
      <c r="K198" s="249"/>
      <c r="L198" s="249">
        <v>504</v>
      </c>
      <c r="M198" s="249"/>
      <c r="N198" s="249">
        <v>209</v>
      </c>
      <c r="O198" s="249"/>
      <c r="P198" s="249">
        <v>84</v>
      </c>
      <c r="Q198" s="249"/>
      <c r="R198" s="317">
        <v>318</v>
      </c>
      <c r="S198" s="249"/>
      <c r="T198" s="317">
        <v>204</v>
      </c>
      <c r="U198" s="249"/>
      <c r="V198" s="12"/>
      <c r="W198" s="249">
        <f t="shared" si="19"/>
        <v>10468</v>
      </c>
      <c r="X198" s="686"/>
      <c r="Y198" s="76">
        <v>2018</v>
      </c>
      <c r="Z198" s="349" t="s">
        <v>32</v>
      </c>
      <c r="AA198" s="12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</row>
    <row r="199" spans="2:49" s="48" customFormat="1" ht="12.75" hidden="1" customHeight="1">
      <c r="B199" s="68">
        <v>2019</v>
      </c>
      <c r="C199" s="12" t="s">
        <v>260</v>
      </c>
      <c r="D199" s="247">
        <v>5251</v>
      </c>
      <c r="E199" s="249"/>
      <c r="F199" s="249">
        <v>767</v>
      </c>
      <c r="G199" s="249"/>
      <c r="H199" s="249">
        <v>1786</v>
      </c>
      <c r="I199" s="249"/>
      <c r="J199" s="249">
        <v>481</v>
      </c>
      <c r="K199" s="249"/>
      <c r="L199" s="249">
        <v>523</v>
      </c>
      <c r="M199" s="249"/>
      <c r="N199" s="249">
        <v>229</v>
      </c>
      <c r="O199" s="249"/>
      <c r="P199" s="249">
        <v>61</v>
      </c>
      <c r="Q199" s="249"/>
      <c r="R199" s="317">
        <v>284</v>
      </c>
      <c r="S199" s="249"/>
      <c r="T199" s="317">
        <v>166</v>
      </c>
      <c r="U199" s="249"/>
      <c r="V199" s="12"/>
      <c r="W199" s="249">
        <f t="shared" si="19"/>
        <v>9548</v>
      </c>
      <c r="X199" s="686"/>
      <c r="Y199" s="76">
        <v>2019</v>
      </c>
      <c r="Z199" s="107" t="s">
        <v>260</v>
      </c>
      <c r="AA199" s="12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2:49" s="48" customFormat="1" ht="12.75" hidden="1" customHeight="1">
      <c r="B200" s="68">
        <v>2019</v>
      </c>
      <c r="C200" s="605" t="s">
        <v>34</v>
      </c>
      <c r="D200" s="247">
        <v>2740</v>
      </c>
      <c r="E200" s="249"/>
      <c r="F200" s="249">
        <v>503</v>
      </c>
      <c r="G200" s="249"/>
      <c r="H200" s="249">
        <v>923</v>
      </c>
      <c r="I200" s="249"/>
      <c r="J200" s="249">
        <v>526</v>
      </c>
      <c r="K200" s="249"/>
      <c r="L200" s="249">
        <v>456</v>
      </c>
      <c r="M200" s="249"/>
      <c r="N200" s="249">
        <v>152</v>
      </c>
      <c r="O200" s="249"/>
      <c r="P200" s="249">
        <v>57</v>
      </c>
      <c r="Q200" s="249"/>
      <c r="R200" s="317">
        <v>326</v>
      </c>
      <c r="S200" s="249"/>
      <c r="T200" s="317">
        <v>152</v>
      </c>
      <c r="U200" s="249"/>
      <c r="V200" s="12"/>
      <c r="W200" s="249">
        <f t="shared" si="19"/>
        <v>5835</v>
      </c>
      <c r="X200" s="686"/>
      <c r="Y200" s="76">
        <v>2019</v>
      </c>
      <c r="Z200" s="107" t="s">
        <v>77</v>
      </c>
      <c r="AA200" s="12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</row>
    <row r="201" spans="2:49" s="48" customFormat="1" ht="12.75" hidden="1" customHeight="1">
      <c r="B201" s="68">
        <v>2019</v>
      </c>
      <c r="C201" s="605" t="s">
        <v>65</v>
      </c>
      <c r="D201" s="247">
        <v>3864</v>
      </c>
      <c r="E201" s="249"/>
      <c r="F201" s="249">
        <v>611</v>
      </c>
      <c r="G201" s="249"/>
      <c r="H201" s="249">
        <v>949</v>
      </c>
      <c r="I201" s="249"/>
      <c r="J201" s="249">
        <v>411</v>
      </c>
      <c r="K201" s="249"/>
      <c r="L201" s="249">
        <v>413</v>
      </c>
      <c r="M201" s="249"/>
      <c r="N201" s="249">
        <v>209</v>
      </c>
      <c r="O201" s="249"/>
      <c r="P201" s="249">
        <v>71</v>
      </c>
      <c r="Q201" s="249"/>
      <c r="R201" s="317">
        <v>331</v>
      </c>
      <c r="S201" s="249"/>
      <c r="T201" s="317">
        <v>167</v>
      </c>
      <c r="U201" s="249"/>
      <c r="V201" s="12"/>
      <c r="W201" s="249">
        <f t="shared" si="19"/>
        <v>7026</v>
      </c>
      <c r="X201" s="686"/>
      <c r="Y201" s="76">
        <v>2019</v>
      </c>
      <c r="Z201" s="349" t="s">
        <v>65</v>
      </c>
      <c r="AA201" s="12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</row>
    <row r="202" spans="2:49" s="48" customFormat="1" ht="12.75" hidden="1" customHeight="1">
      <c r="B202" s="68">
        <v>2019</v>
      </c>
      <c r="C202" s="605" t="s">
        <v>35</v>
      </c>
      <c r="D202" s="247">
        <v>5195</v>
      </c>
      <c r="E202" s="249"/>
      <c r="F202" s="249">
        <v>1010</v>
      </c>
      <c r="G202" s="249"/>
      <c r="H202" s="249">
        <v>1164</v>
      </c>
      <c r="I202" s="249"/>
      <c r="J202" s="249">
        <v>507</v>
      </c>
      <c r="K202" s="249"/>
      <c r="L202" s="249">
        <v>731</v>
      </c>
      <c r="M202" s="249"/>
      <c r="N202" s="249">
        <v>180</v>
      </c>
      <c r="O202" s="249"/>
      <c r="P202" s="249">
        <v>102</v>
      </c>
      <c r="Q202" s="249"/>
      <c r="R202" s="317">
        <v>294</v>
      </c>
      <c r="S202" s="249"/>
      <c r="T202" s="317">
        <v>262</v>
      </c>
      <c r="U202" s="249"/>
      <c r="V202" s="12"/>
      <c r="W202" s="249">
        <f t="shared" ref="W202:W207" si="20">SUM(D202:T202)</f>
        <v>9445</v>
      </c>
      <c r="X202" s="686"/>
      <c r="Y202" s="76">
        <v>2019</v>
      </c>
      <c r="Z202" s="349" t="s">
        <v>78</v>
      </c>
      <c r="AA202" s="12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</row>
    <row r="203" spans="2:49" s="48" customFormat="1" ht="12.75" hidden="1" customHeight="1">
      <c r="B203" s="68">
        <v>2019</v>
      </c>
      <c r="C203" s="605" t="s">
        <v>4</v>
      </c>
      <c r="D203" s="247">
        <v>3919</v>
      </c>
      <c r="E203" s="249"/>
      <c r="F203" s="249">
        <v>868</v>
      </c>
      <c r="G203" s="249"/>
      <c r="H203" s="249">
        <v>1139</v>
      </c>
      <c r="I203" s="249"/>
      <c r="J203" s="249">
        <v>552</v>
      </c>
      <c r="K203" s="249"/>
      <c r="L203" s="249">
        <v>806</v>
      </c>
      <c r="M203" s="249"/>
      <c r="N203" s="249">
        <v>294</v>
      </c>
      <c r="O203" s="249"/>
      <c r="P203" s="249">
        <v>60</v>
      </c>
      <c r="Q203" s="249"/>
      <c r="R203" s="317">
        <v>425</v>
      </c>
      <c r="S203" s="249"/>
      <c r="T203" s="317">
        <v>296</v>
      </c>
      <c r="U203" s="249"/>
      <c r="V203" s="12"/>
      <c r="W203" s="249">
        <f t="shared" si="20"/>
        <v>8359</v>
      </c>
      <c r="X203" s="686"/>
      <c r="Y203" s="76">
        <v>2019</v>
      </c>
      <c r="Z203" s="349" t="s">
        <v>79</v>
      </c>
      <c r="AA203" s="12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</row>
    <row r="204" spans="2:49" s="48" customFormat="1" ht="12.75" hidden="1" customHeight="1">
      <c r="B204" s="68">
        <v>2019</v>
      </c>
      <c r="C204" s="605" t="s">
        <v>30</v>
      </c>
      <c r="D204" s="247">
        <v>5525</v>
      </c>
      <c r="E204" s="249"/>
      <c r="F204" s="249">
        <v>1581</v>
      </c>
      <c r="G204" s="249"/>
      <c r="H204" s="249">
        <v>1101</v>
      </c>
      <c r="I204" s="249"/>
      <c r="J204" s="249">
        <v>607</v>
      </c>
      <c r="K204" s="249"/>
      <c r="L204" s="249">
        <v>808</v>
      </c>
      <c r="M204" s="249"/>
      <c r="N204" s="249">
        <v>256</v>
      </c>
      <c r="O204" s="249"/>
      <c r="P204" s="249">
        <v>52</v>
      </c>
      <c r="Q204" s="249"/>
      <c r="R204" s="317">
        <v>390</v>
      </c>
      <c r="S204" s="249"/>
      <c r="T204" s="317">
        <v>287</v>
      </c>
      <c r="U204" s="249"/>
      <c r="V204" s="12"/>
      <c r="W204" s="249">
        <f t="shared" si="20"/>
        <v>10607</v>
      </c>
      <c r="X204" s="686"/>
      <c r="Y204" s="76">
        <v>2019</v>
      </c>
      <c r="Z204" s="349" t="s">
        <v>80</v>
      </c>
      <c r="AA204" s="12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</row>
    <row r="205" spans="2:49" s="48" customFormat="1" ht="12.75" hidden="1" customHeight="1">
      <c r="B205" s="68">
        <v>2019</v>
      </c>
      <c r="C205" s="605" t="s">
        <v>266</v>
      </c>
      <c r="D205" s="247">
        <v>6533</v>
      </c>
      <c r="E205" s="249"/>
      <c r="F205" s="249">
        <v>2344</v>
      </c>
      <c r="G205" s="249"/>
      <c r="H205" s="249">
        <v>1019</v>
      </c>
      <c r="I205" s="249"/>
      <c r="J205" s="249">
        <v>578</v>
      </c>
      <c r="K205" s="249"/>
      <c r="L205" s="249">
        <v>939</v>
      </c>
      <c r="M205" s="249"/>
      <c r="N205" s="249">
        <v>295</v>
      </c>
      <c r="O205" s="249"/>
      <c r="P205" s="249">
        <v>97</v>
      </c>
      <c r="Q205" s="249"/>
      <c r="R205" s="317">
        <v>477</v>
      </c>
      <c r="S205" s="249"/>
      <c r="T205" s="317">
        <v>330</v>
      </c>
      <c r="U205" s="249"/>
      <c r="V205" s="12"/>
      <c r="W205" s="249">
        <f t="shared" si="20"/>
        <v>12612</v>
      </c>
      <c r="X205" s="686"/>
      <c r="Y205" s="76">
        <v>2019</v>
      </c>
      <c r="Z205" s="107" t="s">
        <v>264</v>
      </c>
      <c r="AA205" s="12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</row>
    <row r="206" spans="2:49" s="48" customFormat="1" ht="12.75" hidden="1" customHeight="1">
      <c r="B206" s="68">
        <v>2019</v>
      </c>
      <c r="C206" s="605" t="s">
        <v>37</v>
      </c>
      <c r="D206" s="247">
        <v>5700</v>
      </c>
      <c r="E206" s="249"/>
      <c r="F206" s="249">
        <v>2048</v>
      </c>
      <c r="G206" s="249"/>
      <c r="H206" s="249">
        <v>1354</v>
      </c>
      <c r="I206" s="249"/>
      <c r="J206" s="249">
        <v>753</v>
      </c>
      <c r="K206" s="249"/>
      <c r="L206" s="249">
        <v>931</v>
      </c>
      <c r="M206" s="249"/>
      <c r="N206" s="249">
        <v>322</v>
      </c>
      <c r="O206" s="249"/>
      <c r="P206" s="249">
        <v>157</v>
      </c>
      <c r="Q206" s="249"/>
      <c r="R206" s="317">
        <v>531</v>
      </c>
      <c r="S206" s="249"/>
      <c r="T206" s="317">
        <v>479</v>
      </c>
      <c r="U206" s="249"/>
      <c r="V206" s="12"/>
      <c r="W206" s="249">
        <f t="shared" si="20"/>
        <v>12275</v>
      </c>
      <c r="X206" s="686"/>
      <c r="Y206" s="76">
        <v>2019</v>
      </c>
      <c r="Z206" s="107" t="s">
        <v>356</v>
      </c>
      <c r="AA206" s="12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</row>
    <row r="207" spans="2:49" s="48" customFormat="1" ht="12.75" hidden="1" customHeight="1">
      <c r="B207" s="68">
        <v>2019</v>
      </c>
      <c r="C207" s="605" t="s">
        <v>31</v>
      </c>
      <c r="D207" s="247">
        <v>6936</v>
      </c>
      <c r="E207" s="249"/>
      <c r="F207" s="249">
        <v>1526</v>
      </c>
      <c r="G207" s="249"/>
      <c r="H207" s="249">
        <v>1042</v>
      </c>
      <c r="I207" s="249"/>
      <c r="J207" s="249">
        <v>397</v>
      </c>
      <c r="K207" s="249"/>
      <c r="L207" s="249">
        <v>692</v>
      </c>
      <c r="M207" s="249"/>
      <c r="N207" s="249">
        <v>251</v>
      </c>
      <c r="O207" s="249"/>
      <c r="P207" s="249">
        <v>158</v>
      </c>
      <c r="Q207" s="249"/>
      <c r="R207" s="317">
        <v>428</v>
      </c>
      <c r="S207" s="249"/>
      <c r="T207" s="317">
        <v>270</v>
      </c>
      <c r="U207" s="249"/>
      <c r="V207" s="12"/>
      <c r="W207" s="249">
        <f t="shared" si="20"/>
        <v>11700</v>
      </c>
      <c r="X207" s="686"/>
      <c r="Y207" s="76">
        <v>2019</v>
      </c>
      <c r="Z207" s="107" t="s">
        <v>31</v>
      </c>
      <c r="AA207" s="12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</row>
    <row r="208" spans="2:49" s="48" customFormat="1" ht="12.75" hidden="1" customHeight="1">
      <c r="B208" s="68">
        <v>2019</v>
      </c>
      <c r="C208" s="605" t="s">
        <v>50</v>
      </c>
      <c r="D208" s="247">
        <v>5679</v>
      </c>
      <c r="E208" s="249"/>
      <c r="F208" s="249">
        <v>1487</v>
      </c>
      <c r="G208" s="249"/>
      <c r="H208" s="249">
        <v>1307</v>
      </c>
      <c r="I208" s="249"/>
      <c r="J208" s="249">
        <v>567</v>
      </c>
      <c r="K208" s="249"/>
      <c r="L208" s="249">
        <v>795</v>
      </c>
      <c r="M208" s="249"/>
      <c r="N208" s="249">
        <v>305</v>
      </c>
      <c r="O208" s="249"/>
      <c r="P208" s="249">
        <v>69</v>
      </c>
      <c r="Q208" s="249"/>
      <c r="R208" s="317">
        <v>414</v>
      </c>
      <c r="S208" s="249"/>
      <c r="T208" s="317">
        <v>257</v>
      </c>
      <c r="U208" s="249"/>
      <c r="V208" s="12"/>
      <c r="W208" s="249">
        <f t="shared" ref="W208:W213" si="21">SUM(D208:T208)</f>
        <v>10880</v>
      </c>
      <c r="X208" s="686"/>
      <c r="Y208" s="76">
        <v>2019</v>
      </c>
      <c r="Z208" s="107" t="s">
        <v>50</v>
      </c>
      <c r="AA208" s="12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</row>
    <row r="209" spans="2:49" s="48" customFormat="1" ht="12.75" hidden="1" customHeight="1">
      <c r="B209" s="68">
        <v>2019</v>
      </c>
      <c r="C209" s="605" t="s">
        <v>348</v>
      </c>
      <c r="D209" s="247">
        <v>4859</v>
      </c>
      <c r="E209" s="249"/>
      <c r="F209" s="249">
        <v>1010</v>
      </c>
      <c r="G209" s="249"/>
      <c r="H209" s="249">
        <v>1281</v>
      </c>
      <c r="I209" s="249"/>
      <c r="J209" s="249">
        <v>667</v>
      </c>
      <c r="K209" s="249"/>
      <c r="L209" s="249">
        <v>903</v>
      </c>
      <c r="M209" s="249"/>
      <c r="N209" s="249">
        <v>364</v>
      </c>
      <c r="O209" s="249"/>
      <c r="P209" s="249">
        <v>73</v>
      </c>
      <c r="Q209" s="249"/>
      <c r="R209" s="317">
        <v>403</v>
      </c>
      <c r="S209" s="249"/>
      <c r="T209" s="317">
        <v>300</v>
      </c>
      <c r="U209" s="249"/>
      <c r="V209" s="12"/>
      <c r="W209" s="249">
        <f t="shared" si="21"/>
        <v>9860</v>
      </c>
      <c r="X209" s="686"/>
      <c r="Y209" s="76">
        <v>2019</v>
      </c>
      <c r="Z209" s="107" t="s">
        <v>348</v>
      </c>
      <c r="AA209" s="12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</row>
    <row r="210" spans="2:49" s="48" customFormat="1" ht="12.75" hidden="1" customHeight="1">
      <c r="B210" s="68">
        <v>2019</v>
      </c>
      <c r="C210" s="605" t="s">
        <v>349</v>
      </c>
      <c r="D210" s="247">
        <v>6921</v>
      </c>
      <c r="E210" s="249"/>
      <c r="F210" s="249">
        <v>1330</v>
      </c>
      <c r="G210" s="249"/>
      <c r="H210" s="249">
        <v>1673</v>
      </c>
      <c r="I210" s="249"/>
      <c r="J210" s="249">
        <v>514</v>
      </c>
      <c r="K210" s="249"/>
      <c r="L210" s="249">
        <v>995</v>
      </c>
      <c r="M210" s="249"/>
      <c r="N210" s="249">
        <v>263</v>
      </c>
      <c r="O210" s="249"/>
      <c r="P210" s="249">
        <v>150</v>
      </c>
      <c r="Q210" s="249"/>
      <c r="R210" s="317">
        <v>368</v>
      </c>
      <c r="S210" s="249"/>
      <c r="T210" s="317">
        <v>267</v>
      </c>
      <c r="U210" s="249"/>
      <c r="V210" s="12"/>
      <c r="W210" s="249">
        <f t="shared" si="21"/>
        <v>12481</v>
      </c>
      <c r="X210" s="686"/>
      <c r="Y210" s="76">
        <v>2019</v>
      </c>
      <c r="Z210" s="71" t="s">
        <v>362</v>
      </c>
      <c r="AA210" s="12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</row>
    <row r="211" spans="2:49" s="48" customFormat="1" ht="12.75" hidden="1" customHeight="1">
      <c r="B211" s="68">
        <v>2020</v>
      </c>
      <c r="C211" s="605" t="s">
        <v>260</v>
      </c>
      <c r="D211" s="247">
        <v>6425</v>
      </c>
      <c r="E211" s="249"/>
      <c r="F211" s="249">
        <v>943</v>
      </c>
      <c r="G211" s="249"/>
      <c r="H211" s="249">
        <v>2087</v>
      </c>
      <c r="I211" s="249"/>
      <c r="J211" s="249">
        <v>402</v>
      </c>
      <c r="K211" s="249"/>
      <c r="L211" s="249">
        <v>837</v>
      </c>
      <c r="M211" s="249"/>
      <c r="N211" s="249">
        <v>335</v>
      </c>
      <c r="O211" s="249"/>
      <c r="P211" s="249">
        <v>89</v>
      </c>
      <c r="Q211" s="249"/>
      <c r="R211" s="317">
        <v>522</v>
      </c>
      <c r="S211" s="249"/>
      <c r="T211" s="317">
        <v>293</v>
      </c>
      <c r="U211" s="249"/>
      <c r="V211" s="12"/>
      <c r="W211" s="249">
        <f t="shared" si="21"/>
        <v>11933</v>
      </c>
      <c r="X211" s="686"/>
      <c r="Y211" s="76">
        <v>2020</v>
      </c>
      <c r="Z211" s="349" t="s">
        <v>260</v>
      </c>
      <c r="AA211" s="12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</row>
    <row r="212" spans="2:49" ht="12.75" hidden="1" customHeight="1">
      <c r="B212" s="68">
        <v>2020</v>
      </c>
      <c r="C212" s="605" t="s">
        <v>350</v>
      </c>
      <c r="D212" s="247">
        <v>3015</v>
      </c>
      <c r="E212" s="249"/>
      <c r="F212" s="249">
        <v>525</v>
      </c>
      <c r="G212" s="249"/>
      <c r="H212" s="249">
        <v>1253</v>
      </c>
      <c r="I212" s="249"/>
      <c r="J212" s="249">
        <v>579</v>
      </c>
      <c r="K212" s="249"/>
      <c r="L212" s="249">
        <v>591</v>
      </c>
      <c r="M212" s="249"/>
      <c r="N212" s="249">
        <v>223</v>
      </c>
      <c r="O212" s="249"/>
      <c r="P212" s="249">
        <v>74</v>
      </c>
      <c r="Q212" s="249"/>
      <c r="R212" s="317">
        <v>107</v>
      </c>
      <c r="S212" s="249"/>
      <c r="T212" s="317">
        <v>227</v>
      </c>
      <c r="U212" s="249"/>
      <c r="V212" s="12"/>
      <c r="W212" s="249">
        <f t="shared" si="21"/>
        <v>6594</v>
      </c>
      <c r="X212" s="686"/>
      <c r="Y212" s="76">
        <v>2020</v>
      </c>
      <c r="Z212" s="349" t="s">
        <v>357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2:49" ht="12.75" hidden="1" customHeight="1">
      <c r="B213" s="68">
        <v>2020</v>
      </c>
      <c r="C213" s="605" t="s">
        <v>29</v>
      </c>
      <c r="D213" s="247">
        <v>1808</v>
      </c>
      <c r="E213" s="249"/>
      <c r="F213" s="249">
        <v>351</v>
      </c>
      <c r="G213" s="249"/>
      <c r="H213" s="249">
        <v>438</v>
      </c>
      <c r="I213" s="249"/>
      <c r="J213" s="249">
        <v>260</v>
      </c>
      <c r="K213" s="249"/>
      <c r="L213" s="249">
        <v>300</v>
      </c>
      <c r="M213" s="249"/>
      <c r="N213" s="249">
        <v>134</v>
      </c>
      <c r="O213" s="249"/>
      <c r="P213" s="249">
        <v>8</v>
      </c>
      <c r="Q213" s="249"/>
      <c r="R213" s="317">
        <v>51</v>
      </c>
      <c r="S213" s="249"/>
      <c r="T213" s="317">
        <v>88</v>
      </c>
      <c r="U213" s="249"/>
      <c r="V213" s="12"/>
      <c r="W213" s="249">
        <f t="shared" si="21"/>
        <v>3438</v>
      </c>
      <c r="X213" s="686"/>
      <c r="Y213" s="76">
        <v>2020</v>
      </c>
      <c r="Z213" s="349" t="s">
        <v>65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2:49" ht="12.75" hidden="1" customHeight="1">
      <c r="B214" s="68">
        <v>2020</v>
      </c>
      <c r="C214" s="605" t="s">
        <v>351</v>
      </c>
      <c r="D214" s="247">
        <v>0</v>
      </c>
      <c r="E214" s="249"/>
      <c r="F214" s="249">
        <v>0</v>
      </c>
      <c r="G214" s="249"/>
      <c r="H214" s="249">
        <v>0</v>
      </c>
      <c r="I214" s="249"/>
      <c r="J214" s="249">
        <v>0</v>
      </c>
      <c r="K214" s="249"/>
      <c r="L214" s="249">
        <v>0</v>
      </c>
      <c r="M214" s="249"/>
      <c r="N214" s="249">
        <v>0</v>
      </c>
      <c r="O214" s="249"/>
      <c r="P214" s="249">
        <v>0</v>
      </c>
      <c r="Q214" s="249"/>
      <c r="R214" s="673">
        <v>0</v>
      </c>
      <c r="S214" s="249"/>
      <c r="T214" s="674">
        <v>0</v>
      </c>
      <c r="U214" s="249"/>
      <c r="V214" s="674"/>
      <c r="W214" s="249">
        <f t="shared" ref="W214:W222" si="22">SUM(D214:T214)</f>
        <v>0</v>
      </c>
      <c r="X214" s="686"/>
      <c r="Y214" s="76">
        <v>2020</v>
      </c>
      <c r="Z214" s="349" t="s">
        <v>353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2:49" ht="12.75" hidden="1" customHeight="1">
      <c r="B215" s="68">
        <v>2020</v>
      </c>
      <c r="C215" s="605" t="s">
        <v>4</v>
      </c>
      <c r="D215" s="247">
        <v>0</v>
      </c>
      <c r="E215" s="249"/>
      <c r="F215" s="249">
        <v>0</v>
      </c>
      <c r="G215" s="249"/>
      <c r="H215" s="249">
        <v>0</v>
      </c>
      <c r="I215" s="249"/>
      <c r="J215" s="249">
        <v>0</v>
      </c>
      <c r="K215" s="249"/>
      <c r="L215" s="249">
        <v>0</v>
      </c>
      <c r="M215" s="249"/>
      <c r="N215" s="249">
        <v>0</v>
      </c>
      <c r="O215" s="249"/>
      <c r="P215" s="249">
        <v>0</v>
      </c>
      <c r="Q215" s="249"/>
      <c r="R215" s="673">
        <v>0</v>
      </c>
      <c r="S215" s="249"/>
      <c r="T215" s="674">
        <v>0</v>
      </c>
      <c r="U215" s="249"/>
      <c r="V215" s="12"/>
      <c r="W215" s="249">
        <f t="shared" si="22"/>
        <v>0</v>
      </c>
      <c r="X215" s="686"/>
      <c r="Y215" s="76">
        <v>2020</v>
      </c>
      <c r="Z215" s="349" t="s">
        <v>354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2:49" ht="12.75" hidden="1" customHeight="1">
      <c r="B216" s="68">
        <v>2020</v>
      </c>
      <c r="C216" s="605" t="s">
        <v>352</v>
      </c>
      <c r="D216" s="247">
        <v>0</v>
      </c>
      <c r="E216" s="249"/>
      <c r="F216" s="249">
        <v>0</v>
      </c>
      <c r="G216" s="249"/>
      <c r="H216" s="249">
        <v>0</v>
      </c>
      <c r="I216" s="249"/>
      <c r="J216" s="249">
        <v>0</v>
      </c>
      <c r="K216" s="249"/>
      <c r="L216" s="249">
        <v>0</v>
      </c>
      <c r="M216" s="249"/>
      <c r="N216" s="249">
        <v>0</v>
      </c>
      <c r="O216" s="249"/>
      <c r="P216" s="249">
        <v>0</v>
      </c>
      <c r="Q216" s="249"/>
      <c r="R216" s="673">
        <v>0</v>
      </c>
      <c r="S216" s="249"/>
      <c r="T216" s="674">
        <v>0</v>
      </c>
      <c r="U216" s="249"/>
      <c r="V216" s="12"/>
      <c r="W216" s="249">
        <f t="shared" si="22"/>
        <v>0</v>
      </c>
      <c r="X216" s="686"/>
      <c r="Y216" s="76">
        <v>2020</v>
      </c>
      <c r="Z216" s="349" t="s">
        <v>355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2:49" ht="12.75" hidden="1" customHeight="1">
      <c r="B217" s="68">
        <v>2020</v>
      </c>
      <c r="C217" s="605" t="s">
        <v>266</v>
      </c>
      <c r="D217" s="247">
        <v>0</v>
      </c>
      <c r="E217" s="249"/>
      <c r="F217" s="249">
        <v>0</v>
      </c>
      <c r="G217" s="249"/>
      <c r="H217" s="249">
        <v>0</v>
      </c>
      <c r="I217" s="249"/>
      <c r="J217" s="249">
        <v>0</v>
      </c>
      <c r="K217" s="249"/>
      <c r="L217" s="249">
        <v>0</v>
      </c>
      <c r="M217" s="249"/>
      <c r="N217" s="249">
        <v>0</v>
      </c>
      <c r="O217" s="249"/>
      <c r="P217" s="249">
        <v>0</v>
      </c>
      <c r="Q217" s="249"/>
      <c r="R217" s="673">
        <v>0</v>
      </c>
      <c r="S217" s="249"/>
      <c r="T217" s="674">
        <v>0</v>
      </c>
      <c r="U217" s="249"/>
      <c r="V217" s="12"/>
      <c r="W217" s="249">
        <f t="shared" si="22"/>
        <v>0</v>
      </c>
      <c r="X217" s="686"/>
      <c r="Y217" s="76">
        <v>2020</v>
      </c>
      <c r="Z217" s="349" t="s">
        <v>264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2:49" ht="12.75" hidden="1" customHeight="1">
      <c r="B218" s="68">
        <v>2020</v>
      </c>
      <c r="C218" s="605" t="s">
        <v>271</v>
      </c>
      <c r="D218" s="247">
        <v>0</v>
      </c>
      <c r="E218" s="249"/>
      <c r="F218" s="249">
        <v>0</v>
      </c>
      <c r="G218" s="249"/>
      <c r="H218" s="249">
        <v>0</v>
      </c>
      <c r="I218" s="249"/>
      <c r="J218" s="249">
        <v>0</v>
      </c>
      <c r="K218" s="249"/>
      <c r="L218" s="249">
        <v>0</v>
      </c>
      <c r="M218" s="249"/>
      <c r="N218" s="249">
        <v>0</v>
      </c>
      <c r="O218" s="249"/>
      <c r="P218" s="249">
        <v>0</v>
      </c>
      <c r="Q218" s="249"/>
      <c r="R218" s="673">
        <v>0</v>
      </c>
      <c r="S218" s="249"/>
      <c r="T218" s="674">
        <v>0</v>
      </c>
      <c r="U218" s="249"/>
      <c r="V218" s="12"/>
      <c r="W218" s="249">
        <f t="shared" si="22"/>
        <v>0</v>
      </c>
      <c r="X218" s="686"/>
      <c r="Y218" s="76">
        <v>2020</v>
      </c>
      <c r="Z218" s="107" t="s">
        <v>356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2:49" ht="12.75" hidden="1" customHeight="1">
      <c r="B219" s="68">
        <v>2020</v>
      </c>
      <c r="C219" s="605" t="s">
        <v>347</v>
      </c>
      <c r="D219" s="247">
        <v>0</v>
      </c>
      <c r="E219" s="249"/>
      <c r="F219" s="249">
        <v>0</v>
      </c>
      <c r="G219" s="249"/>
      <c r="H219" s="249">
        <v>0</v>
      </c>
      <c r="I219" s="249"/>
      <c r="J219" s="249">
        <v>0</v>
      </c>
      <c r="K219" s="249"/>
      <c r="L219" s="249">
        <v>0</v>
      </c>
      <c r="M219" s="249"/>
      <c r="N219" s="249">
        <v>0</v>
      </c>
      <c r="O219" s="249"/>
      <c r="P219" s="249">
        <v>0</v>
      </c>
      <c r="Q219" s="249"/>
      <c r="R219" s="673">
        <v>0</v>
      </c>
      <c r="S219" s="249"/>
      <c r="T219" s="674">
        <v>0</v>
      </c>
      <c r="U219" s="249"/>
      <c r="V219" s="12"/>
      <c r="W219" s="249">
        <f t="shared" si="22"/>
        <v>0</v>
      </c>
      <c r="X219" s="686"/>
      <c r="Y219" s="76">
        <v>2020</v>
      </c>
      <c r="Z219" s="107" t="s">
        <v>347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2:49" ht="12.75" hidden="1" customHeight="1">
      <c r="B220" s="68">
        <v>2020</v>
      </c>
      <c r="C220" s="605" t="s">
        <v>50</v>
      </c>
      <c r="D220" s="247">
        <v>0</v>
      </c>
      <c r="E220" s="249"/>
      <c r="F220" s="249">
        <v>0</v>
      </c>
      <c r="G220" s="249"/>
      <c r="H220" s="249">
        <v>0</v>
      </c>
      <c r="I220" s="249"/>
      <c r="J220" s="249">
        <v>0</v>
      </c>
      <c r="K220" s="249"/>
      <c r="L220" s="249">
        <v>0</v>
      </c>
      <c r="M220" s="249"/>
      <c r="N220" s="249">
        <v>0</v>
      </c>
      <c r="O220" s="249"/>
      <c r="P220" s="249">
        <v>0</v>
      </c>
      <c r="Q220" s="249"/>
      <c r="R220" s="673">
        <v>0</v>
      </c>
      <c r="S220" s="249"/>
      <c r="T220" s="674">
        <v>0</v>
      </c>
      <c r="U220" s="249"/>
      <c r="V220" s="12"/>
      <c r="W220" s="249">
        <f t="shared" si="22"/>
        <v>0</v>
      </c>
      <c r="X220" s="686"/>
      <c r="Y220" s="76">
        <v>2020</v>
      </c>
      <c r="Z220" s="107" t="s">
        <v>50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2:49" ht="12.75" hidden="1" customHeight="1">
      <c r="B221" s="68">
        <v>2020</v>
      </c>
      <c r="C221" s="605" t="s">
        <v>348</v>
      </c>
      <c r="D221" s="247">
        <v>0</v>
      </c>
      <c r="E221" s="249"/>
      <c r="F221" s="249">
        <v>0</v>
      </c>
      <c r="G221" s="249"/>
      <c r="H221" s="249">
        <v>0</v>
      </c>
      <c r="I221" s="249"/>
      <c r="J221" s="249">
        <v>0</v>
      </c>
      <c r="K221" s="249"/>
      <c r="L221" s="249">
        <v>0</v>
      </c>
      <c r="M221" s="249"/>
      <c r="N221" s="249">
        <v>0</v>
      </c>
      <c r="O221" s="249"/>
      <c r="P221" s="249">
        <v>0</v>
      </c>
      <c r="Q221" s="249"/>
      <c r="R221" s="673">
        <v>0</v>
      </c>
      <c r="S221" s="249"/>
      <c r="T221" s="674">
        <v>0</v>
      </c>
      <c r="U221" s="249"/>
      <c r="V221" s="12"/>
      <c r="W221" s="249">
        <f t="shared" si="22"/>
        <v>0</v>
      </c>
      <c r="X221" s="686"/>
      <c r="Y221" s="76">
        <v>2020</v>
      </c>
      <c r="Z221" s="107" t="s">
        <v>348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2:49" ht="12.75" hidden="1" customHeight="1">
      <c r="B222" s="68">
        <v>2020</v>
      </c>
      <c r="C222" s="605" t="s">
        <v>349</v>
      </c>
      <c r="D222" s="247">
        <v>0</v>
      </c>
      <c r="E222" s="249"/>
      <c r="F222" s="249">
        <v>0</v>
      </c>
      <c r="G222" s="249"/>
      <c r="H222" s="249">
        <v>0</v>
      </c>
      <c r="I222" s="249"/>
      <c r="J222" s="249">
        <v>0</v>
      </c>
      <c r="K222" s="249"/>
      <c r="L222" s="249">
        <v>0</v>
      </c>
      <c r="M222" s="249"/>
      <c r="N222" s="249">
        <v>0</v>
      </c>
      <c r="O222" s="249"/>
      <c r="P222" s="249">
        <v>0</v>
      </c>
      <c r="Q222" s="249"/>
      <c r="R222" s="673">
        <v>0</v>
      </c>
      <c r="S222" s="249"/>
      <c r="T222" s="674">
        <v>0</v>
      </c>
      <c r="U222" s="249"/>
      <c r="V222" s="103"/>
      <c r="W222" s="249">
        <f t="shared" si="22"/>
        <v>0</v>
      </c>
      <c r="X222" s="686"/>
      <c r="Y222" s="76">
        <v>2020</v>
      </c>
      <c r="Z222" s="107" t="s">
        <v>362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2:49" ht="12.75" hidden="1" customHeight="1">
      <c r="B223" s="68">
        <v>2021</v>
      </c>
      <c r="C223" s="605" t="s">
        <v>260</v>
      </c>
      <c r="D223" s="247">
        <v>0</v>
      </c>
      <c r="E223" s="249"/>
      <c r="F223" s="249">
        <v>0</v>
      </c>
      <c r="G223" s="249"/>
      <c r="H223" s="249">
        <v>0</v>
      </c>
      <c r="I223" s="249"/>
      <c r="J223" s="249">
        <v>0</v>
      </c>
      <c r="K223" s="249"/>
      <c r="L223" s="249">
        <v>0</v>
      </c>
      <c r="M223" s="249"/>
      <c r="N223" s="249">
        <v>0</v>
      </c>
      <c r="O223" s="249"/>
      <c r="P223" s="249">
        <v>0</v>
      </c>
      <c r="Q223" s="249"/>
      <c r="R223" s="673">
        <v>0</v>
      </c>
      <c r="S223" s="249"/>
      <c r="T223" s="674">
        <v>0</v>
      </c>
      <c r="U223" s="249"/>
      <c r="V223" s="103"/>
      <c r="W223" s="249">
        <v>0</v>
      </c>
      <c r="X223" s="686"/>
      <c r="Y223" s="76">
        <v>2021</v>
      </c>
      <c r="Z223" s="107" t="s">
        <v>260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2:49" ht="12.75" hidden="1" customHeight="1">
      <c r="B224" s="68">
        <v>2021</v>
      </c>
      <c r="C224" s="605" t="s">
        <v>34</v>
      </c>
      <c r="D224" s="247">
        <v>0</v>
      </c>
      <c r="E224" s="249"/>
      <c r="F224" s="249">
        <v>0</v>
      </c>
      <c r="G224" s="249"/>
      <c r="H224" s="249">
        <v>0</v>
      </c>
      <c r="I224" s="249"/>
      <c r="J224" s="249">
        <v>0</v>
      </c>
      <c r="K224" s="249"/>
      <c r="L224" s="249">
        <v>0</v>
      </c>
      <c r="M224" s="249"/>
      <c r="N224" s="249">
        <v>0</v>
      </c>
      <c r="O224" s="249"/>
      <c r="P224" s="249">
        <v>0</v>
      </c>
      <c r="Q224" s="249"/>
      <c r="R224" s="673">
        <v>0</v>
      </c>
      <c r="S224" s="249"/>
      <c r="T224" s="674">
        <v>0</v>
      </c>
      <c r="U224" s="249"/>
      <c r="V224" s="103"/>
      <c r="W224" s="249">
        <f t="shared" ref="W224:W229" si="23">SUM(D224:T224)</f>
        <v>0</v>
      </c>
      <c r="X224" s="686"/>
      <c r="Y224" s="76">
        <v>2021</v>
      </c>
      <c r="Z224" s="349" t="s">
        <v>357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2:49" ht="12.75" hidden="1" customHeight="1">
      <c r="B225" s="68">
        <v>2021</v>
      </c>
      <c r="C225" s="605" t="s">
        <v>65</v>
      </c>
      <c r="D225" s="247">
        <v>0</v>
      </c>
      <c r="E225" s="249"/>
      <c r="F225" s="249">
        <v>0</v>
      </c>
      <c r="G225" s="249"/>
      <c r="H225" s="249">
        <v>0</v>
      </c>
      <c r="I225" s="249"/>
      <c r="J225" s="249">
        <v>0</v>
      </c>
      <c r="K225" s="249"/>
      <c r="L225" s="249">
        <v>0</v>
      </c>
      <c r="M225" s="249"/>
      <c r="N225" s="249">
        <v>0</v>
      </c>
      <c r="O225" s="249"/>
      <c r="P225" s="249">
        <v>0</v>
      </c>
      <c r="Q225" s="249"/>
      <c r="R225" s="673">
        <v>0</v>
      </c>
      <c r="S225" s="249"/>
      <c r="T225" s="674">
        <v>0</v>
      </c>
      <c r="U225" s="249"/>
      <c r="V225" s="103"/>
      <c r="W225" s="249">
        <f t="shared" si="23"/>
        <v>0</v>
      </c>
      <c r="X225" s="686"/>
      <c r="Y225" s="76">
        <v>2021</v>
      </c>
      <c r="Z225" s="349" t="s">
        <v>29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2:49" ht="12.75" hidden="1" customHeight="1">
      <c r="B226" s="68">
        <v>2021</v>
      </c>
      <c r="C226" s="605" t="s">
        <v>351</v>
      </c>
      <c r="D226" s="247">
        <v>0</v>
      </c>
      <c r="E226" s="249"/>
      <c r="F226" s="249">
        <v>0</v>
      </c>
      <c r="G226" s="249"/>
      <c r="H226" s="249">
        <v>0</v>
      </c>
      <c r="I226" s="249"/>
      <c r="J226" s="249">
        <v>0</v>
      </c>
      <c r="K226" s="249"/>
      <c r="L226" s="249">
        <v>0</v>
      </c>
      <c r="M226" s="249"/>
      <c r="N226" s="249">
        <v>0</v>
      </c>
      <c r="O226" s="249"/>
      <c r="P226" s="249">
        <v>0</v>
      </c>
      <c r="Q226" s="249"/>
      <c r="R226" s="673">
        <v>0</v>
      </c>
      <c r="S226" s="249"/>
      <c r="T226" s="674">
        <v>0</v>
      </c>
      <c r="U226" s="249"/>
      <c r="V226" s="103"/>
      <c r="W226" s="249">
        <f t="shared" si="23"/>
        <v>0</v>
      </c>
      <c r="X226" s="686"/>
      <c r="Y226" s="76">
        <v>2021</v>
      </c>
      <c r="Z226" s="349" t="s">
        <v>353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2:49" ht="12.75" hidden="1" customHeight="1">
      <c r="B227" s="68">
        <v>2021</v>
      </c>
      <c r="C227" s="605" t="s">
        <v>263</v>
      </c>
      <c r="D227" s="247">
        <v>0</v>
      </c>
      <c r="E227" s="249"/>
      <c r="F227" s="249">
        <v>0</v>
      </c>
      <c r="G227" s="249"/>
      <c r="H227" s="249">
        <v>0</v>
      </c>
      <c r="I227" s="249"/>
      <c r="J227" s="249">
        <v>0</v>
      </c>
      <c r="K227" s="249"/>
      <c r="L227" s="249">
        <v>0</v>
      </c>
      <c r="M227" s="249"/>
      <c r="N227" s="249">
        <v>0</v>
      </c>
      <c r="O227" s="249"/>
      <c r="P227" s="249">
        <v>0</v>
      </c>
      <c r="Q227" s="249"/>
      <c r="R227" s="673">
        <v>0</v>
      </c>
      <c r="S227" s="249"/>
      <c r="T227" s="674">
        <v>0</v>
      </c>
      <c r="U227" s="249"/>
      <c r="V227" s="12"/>
      <c r="W227" s="249">
        <f t="shared" si="23"/>
        <v>0</v>
      </c>
      <c r="X227" s="686"/>
      <c r="Y227" s="76">
        <v>2021</v>
      </c>
      <c r="Z227" s="349" t="s">
        <v>354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2:49" ht="12.75" hidden="1" customHeight="1">
      <c r="B228" s="68">
        <v>2021</v>
      </c>
      <c r="C228" s="605" t="s">
        <v>361</v>
      </c>
      <c r="D228" s="247">
        <v>0</v>
      </c>
      <c r="E228" s="249"/>
      <c r="F228" s="249">
        <v>0</v>
      </c>
      <c r="G228" s="249"/>
      <c r="H228" s="249">
        <v>0</v>
      </c>
      <c r="I228" s="249"/>
      <c r="J228" s="249">
        <v>0</v>
      </c>
      <c r="K228" s="249"/>
      <c r="L228" s="249">
        <v>0</v>
      </c>
      <c r="M228" s="249"/>
      <c r="N228" s="249">
        <v>0</v>
      </c>
      <c r="O228" s="249"/>
      <c r="P228" s="249">
        <v>0</v>
      </c>
      <c r="Q228" s="249"/>
      <c r="R228" s="673">
        <v>0</v>
      </c>
      <c r="S228" s="249"/>
      <c r="T228" s="674">
        <v>0</v>
      </c>
      <c r="U228" s="249"/>
      <c r="V228" s="249"/>
      <c r="W228" s="249">
        <f t="shared" si="23"/>
        <v>0</v>
      </c>
      <c r="X228" s="686"/>
      <c r="Y228" s="76">
        <v>2021</v>
      </c>
      <c r="Z228" s="349" t="s">
        <v>355</v>
      </c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2:49" ht="12.75" hidden="1" customHeight="1">
      <c r="B229" s="68">
        <v>2021</v>
      </c>
      <c r="C229" s="605" t="s">
        <v>266</v>
      </c>
      <c r="D229" s="247">
        <v>0</v>
      </c>
      <c r="E229" s="249"/>
      <c r="F229" s="249">
        <v>0</v>
      </c>
      <c r="G229" s="249"/>
      <c r="H229" s="249">
        <v>0</v>
      </c>
      <c r="I229" s="249"/>
      <c r="J229" s="249">
        <v>0</v>
      </c>
      <c r="K229" s="249"/>
      <c r="L229" s="249">
        <v>0</v>
      </c>
      <c r="M229" s="249"/>
      <c r="N229" s="249">
        <v>0</v>
      </c>
      <c r="O229" s="249"/>
      <c r="P229" s="249">
        <v>0</v>
      </c>
      <c r="Q229" s="249"/>
      <c r="R229" s="673">
        <v>0</v>
      </c>
      <c r="S229" s="249"/>
      <c r="T229" s="674">
        <v>0</v>
      </c>
      <c r="U229" s="249"/>
      <c r="V229" s="249"/>
      <c r="W229" s="249">
        <f t="shared" si="23"/>
        <v>0</v>
      </c>
      <c r="X229" s="686"/>
      <c r="Y229" s="76">
        <v>2021</v>
      </c>
      <c r="Z229" s="349" t="s">
        <v>264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2:49" ht="12.75" hidden="1" customHeight="1">
      <c r="B230" s="68">
        <v>2021</v>
      </c>
      <c r="C230" s="605" t="s">
        <v>271</v>
      </c>
      <c r="D230" s="247">
        <v>0</v>
      </c>
      <c r="E230" s="249"/>
      <c r="F230" s="249">
        <v>0</v>
      </c>
      <c r="G230" s="249"/>
      <c r="H230" s="249">
        <v>0</v>
      </c>
      <c r="I230" s="249"/>
      <c r="J230" s="249">
        <v>0</v>
      </c>
      <c r="K230" s="249"/>
      <c r="L230" s="249">
        <v>0</v>
      </c>
      <c r="M230" s="249"/>
      <c r="N230" s="249">
        <v>0</v>
      </c>
      <c r="O230" s="249"/>
      <c r="P230" s="249">
        <v>0</v>
      </c>
      <c r="Q230" s="249"/>
      <c r="R230" s="673">
        <v>0</v>
      </c>
      <c r="S230" s="249"/>
      <c r="T230" s="674">
        <v>0</v>
      </c>
      <c r="U230" s="249"/>
      <c r="V230" s="727"/>
      <c r="W230" s="249">
        <f t="shared" ref="W230:W235" si="24">SUM(D230:T230)</f>
        <v>0</v>
      </c>
      <c r="X230" s="686"/>
      <c r="Y230" s="76">
        <v>2021</v>
      </c>
      <c r="Z230" s="349" t="s">
        <v>356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2:49" ht="12.75" hidden="1" customHeight="1">
      <c r="B231" s="68">
        <v>2021</v>
      </c>
      <c r="C231" s="605" t="s">
        <v>347</v>
      </c>
      <c r="D231" s="247">
        <v>0</v>
      </c>
      <c r="E231" s="249"/>
      <c r="F231" s="249">
        <v>0</v>
      </c>
      <c r="G231" s="249"/>
      <c r="H231" s="249">
        <v>0</v>
      </c>
      <c r="I231" s="249"/>
      <c r="J231" s="249">
        <v>0</v>
      </c>
      <c r="K231" s="249"/>
      <c r="L231" s="249">
        <v>0</v>
      </c>
      <c r="M231" s="249"/>
      <c r="N231" s="249">
        <v>0</v>
      </c>
      <c r="O231" s="249"/>
      <c r="P231" s="249">
        <v>0</v>
      </c>
      <c r="Q231" s="249"/>
      <c r="R231" s="673">
        <v>0</v>
      </c>
      <c r="S231" s="249"/>
      <c r="T231" s="674">
        <v>0</v>
      </c>
      <c r="U231" s="249"/>
      <c r="V231" s="249"/>
      <c r="W231" s="249">
        <f t="shared" si="24"/>
        <v>0</v>
      </c>
      <c r="X231" s="686"/>
      <c r="Y231" s="76">
        <v>2021</v>
      </c>
      <c r="Z231" s="107" t="s">
        <v>347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2:49" ht="12.75" hidden="1" customHeight="1">
      <c r="B232" s="68">
        <v>2021</v>
      </c>
      <c r="C232" s="107" t="s">
        <v>50</v>
      </c>
      <c r="D232" s="249">
        <v>0</v>
      </c>
      <c r="E232" s="249"/>
      <c r="F232" s="249">
        <v>0</v>
      </c>
      <c r="G232" s="249"/>
      <c r="H232" s="249">
        <v>0</v>
      </c>
      <c r="I232" s="249"/>
      <c r="J232" s="249">
        <v>0</v>
      </c>
      <c r="K232" s="249"/>
      <c r="L232" s="249">
        <v>0</v>
      </c>
      <c r="M232" s="249"/>
      <c r="N232" s="249">
        <v>0</v>
      </c>
      <c r="O232" s="249"/>
      <c r="P232" s="249">
        <v>0</v>
      </c>
      <c r="Q232" s="249"/>
      <c r="R232" s="673">
        <v>0</v>
      </c>
      <c r="S232" s="249"/>
      <c r="T232" s="674">
        <v>0</v>
      </c>
      <c r="U232" s="249"/>
      <c r="V232" s="249"/>
      <c r="W232" s="249">
        <f t="shared" si="24"/>
        <v>0</v>
      </c>
      <c r="X232" s="686"/>
      <c r="Y232" s="76">
        <v>2021</v>
      </c>
      <c r="Z232" s="107" t="s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2:49" ht="12.75" hidden="1" customHeight="1">
      <c r="B233" s="68">
        <v>2021</v>
      </c>
      <c r="C233" s="605" t="s">
        <v>348</v>
      </c>
      <c r="D233" s="247">
        <v>0</v>
      </c>
      <c r="E233" s="249"/>
      <c r="F233" s="249">
        <v>0</v>
      </c>
      <c r="G233" s="249"/>
      <c r="H233" s="249">
        <v>0</v>
      </c>
      <c r="I233" s="249"/>
      <c r="J233" s="249">
        <v>0</v>
      </c>
      <c r="K233" s="249"/>
      <c r="L233" s="249">
        <v>0</v>
      </c>
      <c r="M233" s="249"/>
      <c r="N233" s="249">
        <v>0</v>
      </c>
      <c r="O233" s="249"/>
      <c r="P233" s="249">
        <v>0</v>
      </c>
      <c r="Q233" s="249"/>
      <c r="R233" s="673">
        <v>0</v>
      </c>
      <c r="S233" s="249"/>
      <c r="T233" s="674">
        <v>0</v>
      </c>
      <c r="U233" s="249"/>
      <c r="V233" s="249"/>
      <c r="W233" s="249">
        <f t="shared" si="24"/>
        <v>0</v>
      </c>
      <c r="X233" s="686"/>
      <c r="Y233" s="76">
        <v>2021</v>
      </c>
      <c r="Z233" s="107" t="s">
        <v>348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2:49" ht="12.75" hidden="1" customHeight="1">
      <c r="B234" s="68">
        <v>2021</v>
      </c>
      <c r="C234" s="605" t="s">
        <v>349</v>
      </c>
      <c r="D234" s="247">
        <v>0</v>
      </c>
      <c r="E234" s="249"/>
      <c r="F234" s="249">
        <v>0</v>
      </c>
      <c r="G234" s="249"/>
      <c r="H234" s="249">
        <v>0</v>
      </c>
      <c r="I234" s="249"/>
      <c r="J234" s="249">
        <v>0</v>
      </c>
      <c r="K234" s="249"/>
      <c r="L234" s="249">
        <v>0</v>
      </c>
      <c r="M234" s="249"/>
      <c r="N234" s="249">
        <v>0</v>
      </c>
      <c r="O234" s="249"/>
      <c r="P234" s="249">
        <v>0</v>
      </c>
      <c r="Q234" s="249"/>
      <c r="R234" s="673">
        <v>0</v>
      </c>
      <c r="S234" s="249"/>
      <c r="T234" s="674">
        <v>0</v>
      </c>
      <c r="U234" s="249"/>
      <c r="V234" s="249"/>
      <c r="W234" s="249">
        <f t="shared" si="24"/>
        <v>0</v>
      </c>
      <c r="X234" s="686"/>
      <c r="Y234" s="76">
        <v>2021</v>
      </c>
      <c r="Z234" s="107" t="s">
        <v>362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2:49" ht="12.75" hidden="1" customHeight="1">
      <c r="B235" s="68">
        <v>2022</v>
      </c>
      <c r="C235" s="605" t="s">
        <v>260</v>
      </c>
      <c r="D235" s="247">
        <v>0</v>
      </c>
      <c r="E235" s="249"/>
      <c r="F235" s="249">
        <v>0</v>
      </c>
      <c r="G235" s="249"/>
      <c r="H235" s="249">
        <v>0</v>
      </c>
      <c r="I235" s="249"/>
      <c r="J235" s="249">
        <v>0</v>
      </c>
      <c r="K235" s="249"/>
      <c r="L235" s="249">
        <v>0</v>
      </c>
      <c r="M235" s="249"/>
      <c r="N235" s="249">
        <v>0</v>
      </c>
      <c r="O235" s="249"/>
      <c r="P235" s="249">
        <v>0</v>
      </c>
      <c r="Q235" s="249"/>
      <c r="R235" s="673">
        <v>0</v>
      </c>
      <c r="S235" s="249"/>
      <c r="T235" s="674">
        <v>0</v>
      </c>
      <c r="U235" s="249"/>
      <c r="V235" s="249"/>
      <c r="W235" s="249">
        <f t="shared" si="24"/>
        <v>0</v>
      </c>
      <c r="X235" s="75"/>
      <c r="Y235" s="68">
        <v>2022</v>
      </c>
      <c r="Z235" s="605" t="s">
        <v>260</v>
      </c>
      <c r="AA235" s="778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2:49" ht="12.75" hidden="1" customHeight="1">
      <c r="B236" s="68">
        <v>2022</v>
      </c>
      <c r="C236" s="107" t="s">
        <v>350</v>
      </c>
      <c r="D236" s="249">
        <v>0</v>
      </c>
      <c r="E236" s="249"/>
      <c r="F236" s="249">
        <v>0</v>
      </c>
      <c r="G236" s="249"/>
      <c r="H236" s="249">
        <v>0</v>
      </c>
      <c r="I236" s="249"/>
      <c r="J236" s="249">
        <v>0</v>
      </c>
      <c r="K236" s="249"/>
      <c r="L236" s="249">
        <v>0</v>
      </c>
      <c r="M236" s="249"/>
      <c r="N236" s="249">
        <v>0</v>
      </c>
      <c r="O236" s="249"/>
      <c r="P236" s="249">
        <v>0</v>
      </c>
      <c r="Q236" s="249"/>
      <c r="R236" s="673">
        <v>0</v>
      </c>
      <c r="S236" s="249"/>
      <c r="T236" s="674">
        <v>0</v>
      </c>
      <c r="U236" s="249"/>
      <c r="V236" s="249"/>
      <c r="W236" s="249">
        <f t="shared" ref="W236:W242" si="25">SUM(D236:T236)</f>
        <v>0</v>
      </c>
      <c r="X236" s="75"/>
      <c r="Y236" s="68">
        <v>2022</v>
      </c>
      <c r="Z236" s="107" t="s">
        <v>357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2:49" ht="12.75" hidden="1" customHeight="1">
      <c r="B237" s="68">
        <v>2022</v>
      </c>
      <c r="C237" s="605" t="s">
        <v>29</v>
      </c>
      <c r="D237" s="247">
        <v>0</v>
      </c>
      <c r="E237" s="249"/>
      <c r="F237" s="249">
        <v>0</v>
      </c>
      <c r="G237" s="249"/>
      <c r="H237" s="249">
        <v>0</v>
      </c>
      <c r="I237" s="249"/>
      <c r="J237" s="249">
        <v>0</v>
      </c>
      <c r="K237" s="249"/>
      <c r="L237" s="249">
        <v>0</v>
      </c>
      <c r="M237" s="249"/>
      <c r="N237" s="249">
        <v>0</v>
      </c>
      <c r="O237" s="249"/>
      <c r="P237" s="249">
        <v>0</v>
      </c>
      <c r="Q237" s="249"/>
      <c r="R237" s="673">
        <v>0</v>
      </c>
      <c r="S237" s="249"/>
      <c r="T237" s="674">
        <v>0</v>
      </c>
      <c r="U237" s="249"/>
      <c r="V237" s="249"/>
      <c r="W237" s="249">
        <f t="shared" si="25"/>
        <v>0</v>
      </c>
      <c r="X237" s="75"/>
      <c r="Y237" s="68">
        <v>2022</v>
      </c>
      <c r="Z237" s="107" t="s">
        <v>29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2:49" ht="12.75" customHeight="1">
      <c r="B238" s="68">
        <v>2022</v>
      </c>
      <c r="C238" s="605" t="s">
        <v>35</v>
      </c>
      <c r="D238" s="247">
        <v>0</v>
      </c>
      <c r="E238" s="249"/>
      <c r="F238" s="249">
        <v>0</v>
      </c>
      <c r="G238" s="249"/>
      <c r="H238" s="249">
        <v>0</v>
      </c>
      <c r="I238" s="249"/>
      <c r="J238" s="249">
        <v>0</v>
      </c>
      <c r="K238" s="249"/>
      <c r="L238" s="249">
        <v>0</v>
      </c>
      <c r="M238" s="249"/>
      <c r="N238" s="249">
        <v>0</v>
      </c>
      <c r="O238" s="249"/>
      <c r="P238" s="249">
        <v>0</v>
      </c>
      <c r="Q238" s="249"/>
      <c r="R238" s="673">
        <v>0</v>
      </c>
      <c r="S238" s="249"/>
      <c r="T238" s="674">
        <v>0</v>
      </c>
      <c r="U238" s="249"/>
      <c r="V238" s="249"/>
      <c r="W238" s="249">
        <f t="shared" si="25"/>
        <v>0</v>
      </c>
      <c r="X238" s="75"/>
      <c r="Y238" s="68">
        <v>2022</v>
      </c>
      <c r="Z238" s="107" t="s">
        <v>78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2:49" ht="12.75" hidden="1" customHeight="1">
      <c r="B239" s="68">
        <v>2022</v>
      </c>
      <c r="C239" s="605" t="s">
        <v>263</v>
      </c>
      <c r="D239" s="247">
        <v>0</v>
      </c>
      <c r="E239" s="249"/>
      <c r="F239" s="249">
        <v>0</v>
      </c>
      <c r="G239" s="249"/>
      <c r="H239" s="249">
        <v>0</v>
      </c>
      <c r="I239" s="249"/>
      <c r="J239" s="249">
        <v>0</v>
      </c>
      <c r="K239" s="249"/>
      <c r="L239" s="249">
        <v>0</v>
      </c>
      <c r="M239" s="249"/>
      <c r="N239" s="249">
        <v>0</v>
      </c>
      <c r="O239" s="249"/>
      <c r="P239" s="249">
        <v>0</v>
      </c>
      <c r="Q239" s="249"/>
      <c r="R239" s="673">
        <v>0</v>
      </c>
      <c r="S239" s="249"/>
      <c r="T239" s="674">
        <v>0</v>
      </c>
      <c r="U239" s="249"/>
      <c r="V239" s="249"/>
      <c r="W239" s="249">
        <f t="shared" si="25"/>
        <v>0</v>
      </c>
      <c r="X239" s="75"/>
      <c r="Y239" s="68">
        <v>2022</v>
      </c>
      <c r="Z239" s="107" t="s">
        <v>79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2:49" ht="12.75" hidden="1" customHeight="1">
      <c r="B240" s="68">
        <v>2022</v>
      </c>
      <c r="C240" s="107" t="s">
        <v>30</v>
      </c>
      <c r="D240" s="249">
        <v>0</v>
      </c>
      <c r="E240" s="249"/>
      <c r="F240" s="249">
        <v>0</v>
      </c>
      <c r="G240" s="249"/>
      <c r="H240" s="249">
        <v>0</v>
      </c>
      <c r="I240" s="249"/>
      <c r="J240" s="249">
        <v>0</v>
      </c>
      <c r="K240" s="249"/>
      <c r="L240" s="249">
        <v>0</v>
      </c>
      <c r="M240" s="249"/>
      <c r="N240" s="249">
        <v>0</v>
      </c>
      <c r="O240" s="249"/>
      <c r="P240" s="249">
        <v>0</v>
      </c>
      <c r="Q240" s="249"/>
      <c r="R240" s="673">
        <v>0</v>
      </c>
      <c r="S240" s="249"/>
      <c r="T240" s="674">
        <v>0</v>
      </c>
      <c r="U240" s="249"/>
      <c r="V240" s="249"/>
      <c r="W240" s="249">
        <f t="shared" si="25"/>
        <v>0</v>
      </c>
      <c r="X240" s="686"/>
      <c r="Y240" s="68">
        <v>2022</v>
      </c>
      <c r="Z240" s="107" t="s">
        <v>80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2:49" ht="12.75" hidden="1" customHeight="1">
      <c r="B241" s="68">
        <v>2022</v>
      </c>
      <c r="C241" s="107" t="s">
        <v>266</v>
      </c>
      <c r="D241" s="249">
        <v>1958</v>
      </c>
      <c r="E241" s="249"/>
      <c r="F241" s="249">
        <v>582</v>
      </c>
      <c r="G241" s="249"/>
      <c r="H241" s="249">
        <v>186</v>
      </c>
      <c r="I241" s="249"/>
      <c r="J241" s="841">
        <v>151</v>
      </c>
      <c r="K241" s="249"/>
      <c r="L241" s="249">
        <v>446</v>
      </c>
      <c r="M241" s="249"/>
      <c r="N241" s="249">
        <v>93</v>
      </c>
      <c r="O241" s="249"/>
      <c r="P241" s="783">
        <v>7</v>
      </c>
      <c r="Q241" s="249"/>
      <c r="R241" s="317">
        <v>52</v>
      </c>
      <c r="S241" s="249"/>
      <c r="T241" s="113">
        <v>63</v>
      </c>
      <c r="U241" s="249"/>
      <c r="V241" s="782"/>
      <c r="W241" s="249">
        <f t="shared" si="25"/>
        <v>3538</v>
      </c>
      <c r="X241" s="686"/>
      <c r="Y241" s="68">
        <v>2022</v>
      </c>
      <c r="Z241" s="349" t="s">
        <v>264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2:49" ht="12.75" hidden="1" customHeight="1">
      <c r="B242" s="68">
        <v>2022</v>
      </c>
      <c r="C242" s="107" t="s">
        <v>271</v>
      </c>
      <c r="D242" s="249">
        <v>2061</v>
      </c>
      <c r="E242" s="249"/>
      <c r="F242" s="249">
        <v>739</v>
      </c>
      <c r="G242" s="249"/>
      <c r="H242" s="249">
        <v>513</v>
      </c>
      <c r="I242" s="249"/>
      <c r="J242" s="841">
        <v>283</v>
      </c>
      <c r="K242" s="249"/>
      <c r="L242" s="249">
        <v>542</v>
      </c>
      <c r="M242" s="249"/>
      <c r="N242" s="249">
        <v>140</v>
      </c>
      <c r="O242" s="249"/>
      <c r="P242" s="249">
        <v>39</v>
      </c>
      <c r="Q242" s="249"/>
      <c r="R242" s="317">
        <v>108</v>
      </c>
      <c r="S242" s="249"/>
      <c r="T242" s="113">
        <v>150</v>
      </c>
      <c r="U242" s="249"/>
      <c r="V242" s="249"/>
      <c r="W242" s="249">
        <f t="shared" si="25"/>
        <v>4575</v>
      </c>
      <c r="X242" s="686"/>
      <c r="Y242" s="68">
        <v>2022</v>
      </c>
      <c r="Z242" s="349" t="s">
        <v>356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2:49" ht="12.75" hidden="1" customHeight="1">
      <c r="B243" s="68">
        <v>2022</v>
      </c>
      <c r="C243" s="605" t="s">
        <v>31</v>
      </c>
      <c r="D243" s="247">
        <v>3680</v>
      </c>
      <c r="E243" s="249" t="s">
        <v>41</v>
      </c>
      <c r="F243" s="249">
        <v>769</v>
      </c>
      <c r="G243" s="249" t="s">
        <v>41</v>
      </c>
      <c r="H243" s="249">
        <v>305</v>
      </c>
      <c r="I243" s="249" t="s">
        <v>41</v>
      </c>
      <c r="J243" s="841">
        <v>351</v>
      </c>
      <c r="K243" s="249" t="s">
        <v>41</v>
      </c>
      <c r="L243" s="249">
        <v>223</v>
      </c>
      <c r="M243" s="249" t="s">
        <v>41</v>
      </c>
      <c r="N243" s="249">
        <v>141</v>
      </c>
      <c r="O243" s="249" t="s">
        <v>41</v>
      </c>
      <c r="P243" s="249">
        <v>16</v>
      </c>
      <c r="Q243" s="249" t="s">
        <v>41</v>
      </c>
      <c r="R243" s="249">
        <v>51</v>
      </c>
      <c r="S243" s="249" t="s">
        <v>41</v>
      </c>
      <c r="T243" s="249">
        <v>99</v>
      </c>
      <c r="U243" s="249"/>
      <c r="V243" s="249">
        <v>3680</v>
      </c>
      <c r="W243" s="249">
        <f>SUM(D243:T243)</f>
        <v>5635</v>
      </c>
      <c r="X243" s="75"/>
      <c r="Y243" s="68">
        <v>2022</v>
      </c>
      <c r="Z243" s="349" t="s">
        <v>31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2:49" ht="12.75" hidden="1" customHeight="1">
      <c r="B244" s="68">
        <v>2022</v>
      </c>
      <c r="C244" s="605" t="s">
        <v>50</v>
      </c>
      <c r="D244" s="1148">
        <v>2346</v>
      </c>
      <c r="E244" s="841"/>
      <c r="F244" s="843">
        <v>683</v>
      </c>
      <c r="G244" s="841"/>
      <c r="H244" s="843">
        <v>566</v>
      </c>
      <c r="I244" s="841"/>
      <c r="J244" s="843">
        <v>186</v>
      </c>
      <c r="K244" s="841"/>
      <c r="L244" s="841">
        <v>166</v>
      </c>
      <c r="M244" s="841"/>
      <c r="N244" s="842">
        <v>66</v>
      </c>
      <c r="O244" s="841"/>
      <c r="P244" s="841">
        <v>7</v>
      </c>
      <c r="Q244" s="841" t="s">
        <v>41</v>
      </c>
      <c r="R244" s="841">
        <v>27</v>
      </c>
      <c r="S244" s="841"/>
      <c r="T244" s="841">
        <v>57</v>
      </c>
      <c r="U244" s="841"/>
      <c r="V244" s="841"/>
      <c r="W244" s="249">
        <f>SUM(D244:T244)</f>
        <v>4104</v>
      </c>
      <c r="X244" s="75"/>
      <c r="Y244" s="68">
        <v>2022</v>
      </c>
      <c r="Z244" s="107" t="s">
        <v>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2:49" ht="12.75" hidden="1" customHeight="1">
      <c r="B245" s="68">
        <v>2022</v>
      </c>
      <c r="C245" s="775" t="s">
        <v>348</v>
      </c>
      <c r="D245" s="841">
        <v>2806</v>
      </c>
      <c r="E245" s="841"/>
      <c r="F245" s="843">
        <v>634</v>
      </c>
      <c r="G245" s="841"/>
      <c r="H245" s="843">
        <v>501</v>
      </c>
      <c r="I245" s="841"/>
      <c r="J245" s="843">
        <v>349</v>
      </c>
      <c r="K245" s="841"/>
      <c r="L245" s="841">
        <v>283</v>
      </c>
      <c r="M245" s="841"/>
      <c r="N245" s="842">
        <v>174</v>
      </c>
      <c r="O245" s="841"/>
      <c r="P245" s="841">
        <v>27</v>
      </c>
      <c r="Q245" s="841" t="s">
        <v>41</v>
      </c>
      <c r="R245" s="841">
        <v>61</v>
      </c>
      <c r="S245" s="841"/>
      <c r="T245" s="841">
        <v>164</v>
      </c>
      <c r="U245" s="841"/>
      <c r="V245" s="841"/>
      <c r="W245" s="841">
        <v>4999</v>
      </c>
      <c r="X245" s="686"/>
      <c r="Y245" s="68">
        <v>2022</v>
      </c>
      <c r="Z245" s="71" t="s">
        <v>348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2:49" ht="12.75" hidden="1" customHeight="1">
      <c r="B246" s="68">
        <v>2022</v>
      </c>
      <c r="C246" s="775" t="s">
        <v>349</v>
      </c>
      <c r="D246" s="841">
        <v>4609</v>
      </c>
      <c r="E246" s="841"/>
      <c r="F246" s="843">
        <v>717</v>
      </c>
      <c r="G246" s="841"/>
      <c r="H246" s="843">
        <v>1153</v>
      </c>
      <c r="I246" s="841"/>
      <c r="J246" s="843">
        <v>293</v>
      </c>
      <c r="K246" s="841"/>
      <c r="L246" s="841">
        <v>321</v>
      </c>
      <c r="M246" s="841"/>
      <c r="N246" s="842">
        <v>147</v>
      </c>
      <c r="O246" s="841"/>
      <c r="P246" s="841">
        <v>22</v>
      </c>
      <c r="Q246" s="841" t="s">
        <v>41</v>
      </c>
      <c r="R246" s="841">
        <v>107</v>
      </c>
      <c r="S246" s="841"/>
      <c r="T246" s="841">
        <v>153</v>
      </c>
      <c r="U246" s="841"/>
      <c r="V246" s="841"/>
      <c r="W246" s="841">
        <f>SUM(D246:T246)</f>
        <v>7522</v>
      </c>
      <c r="X246" s="686"/>
      <c r="Y246" s="68">
        <v>2022</v>
      </c>
      <c r="Z246" s="71" t="s">
        <v>362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2:49" ht="12.75" hidden="1" customHeight="1">
      <c r="B247" s="68">
        <v>2023</v>
      </c>
      <c r="C247" s="775" t="s">
        <v>33</v>
      </c>
      <c r="D247" s="247">
        <v>3835</v>
      </c>
      <c r="E247" s="249"/>
      <c r="F247" s="249">
        <v>471</v>
      </c>
      <c r="G247" s="249"/>
      <c r="H247" s="249">
        <v>1163</v>
      </c>
      <c r="I247" s="249"/>
      <c r="J247" s="249">
        <v>199</v>
      </c>
      <c r="K247" s="249"/>
      <c r="L247" s="249">
        <v>592</v>
      </c>
      <c r="M247" s="249"/>
      <c r="N247" s="249">
        <v>142</v>
      </c>
      <c r="O247" s="249"/>
      <c r="P247" s="249">
        <v>32</v>
      </c>
      <c r="Q247" s="249"/>
      <c r="R247" s="249">
        <v>64</v>
      </c>
      <c r="S247" s="249"/>
      <c r="T247" s="249">
        <v>100</v>
      </c>
      <c r="U247" s="249"/>
      <c r="V247" s="249"/>
      <c r="W247" s="249">
        <f t="shared" ref="W247:W252" si="26">SUM(D247:U247)</f>
        <v>6598</v>
      </c>
      <c r="X247" s="686"/>
      <c r="Y247" s="68">
        <v>2023</v>
      </c>
      <c r="Z247" s="71" t="s">
        <v>33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2:49" ht="12.75" hidden="1" customHeight="1">
      <c r="B248" s="68">
        <v>2023</v>
      </c>
      <c r="C248" s="775" t="s">
        <v>34</v>
      </c>
      <c r="D248" s="249">
        <v>1536</v>
      </c>
      <c r="E248" s="249" t="s">
        <v>41</v>
      </c>
      <c r="F248" s="249">
        <v>152</v>
      </c>
      <c r="G248" s="249" t="s">
        <v>41</v>
      </c>
      <c r="H248" s="249">
        <v>518</v>
      </c>
      <c r="I248" s="249" t="s">
        <v>41</v>
      </c>
      <c r="J248" s="249">
        <v>182</v>
      </c>
      <c r="K248" s="249" t="s">
        <v>41</v>
      </c>
      <c r="L248" s="249">
        <v>430</v>
      </c>
      <c r="M248" s="249" t="s">
        <v>41</v>
      </c>
      <c r="N248" s="249">
        <v>139</v>
      </c>
      <c r="O248" s="249" t="s">
        <v>41</v>
      </c>
      <c r="P248" s="249">
        <v>25</v>
      </c>
      <c r="Q248" s="249"/>
      <c r="R248" s="249">
        <v>142</v>
      </c>
      <c r="S248" s="249"/>
      <c r="T248" s="249">
        <v>115</v>
      </c>
      <c r="U248" s="249"/>
      <c r="V248" s="249"/>
      <c r="W248" s="249">
        <f t="shared" si="26"/>
        <v>3239</v>
      </c>
      <c r="X248" s="770" t="s">
        <v>41</v>
      </c>
      <c r="Y248" s="68">
        <v>2023</v>
      </c>
      <c r="Z248" s="71" t="s">
        <v>77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2:49" ht="12.75" hidden="1" customHeight="1">
      <c r="B249" s="68">
        <v>2023</v>
      </c>
      <c r="C249" s="775" t="s">
        <v>29</v>
      </c>
      <c r="D249" s="841">
        <v>357</v>
      </c>
      <c r="E249" s="841"/>
      <c r="F249" s="841">
        <v>36</v>
      </c>
      <c r="G249" s="841"/>
      <c r="H249" s="841">
        <v>45</v>
      </c>
      <c r="I249" s="841"/>
      <c r="J249" s="841">
        <v>15</v>
      </c>
      <c r="K249" s="841"/>
      <c r="L249" s="841">
        <v>43</v>
      </c>
      <c r="M249" s="841"/>
      <c r="N249" s="841">
        <v>10</v>
      </c>
      <c r="O249" s="841"/>
      <c r="P249" s="841">
        <v>4</v>
      </c>
      <c r="Q249" s="841"/>
      <c r="R249" s="841">
        <v>27</v>
      </c>
      <c r="S249" s="841"/>
      <c r="T249" s="841">
        <v>14</v>
      </c>
      <c r="U249" s="841"/>
      <c r="V249" s="841"/>
      <c r="W249" s="249">
        <f t="shared" si="26"/>
        <v>551</v>
      </c>
      <c r="X249" s="686"/>
      <c r="Y249" s="68">
        <v>2023</v>
      </c>
      <c r="Z249" s="71" t="s">
        <v>29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2:49" ht="12.75" customHeight="1">
      <c r="B250" s="68">
        <v>2023</v>
      </c>
      <c r="C250" s="775" t="s">
        <v>35</v>
      </c>
      <c r="D250" s="249">
        <v>4272</v>
      </c>
      <c r="E250" s="249"/>
      <c r="F250" s="249">
        <v>669</v>
      </c>
      <c r="G250" s="249"/>
      <c r="H250" s="249">
        <v>566</v>
      </c>
      <c r="I250" s="249"/>
      <c r="J250" s="249">
        <v>275</v>
      </c>
      <c r="K250" s="249"/>
      <c r="L250" s="249">
        <v>604</v>
      </c>
      <c r="M250" s="249"/>
      <c r="N250" s="249">
        <v>166</v>
      </c>
      <c r="O250" s="249"/>
      <c r="P250" s="249">
        <v>47</v>
      </c>
      <c r="Q250" s="249"/>
      <c r="R250" s="249">
        <v>162</v>
      </c>
      <c r="S250" s="249"/>
      <c r="T250" s="249">
        <v>137</v>
      </c>
      <c r="U250" s="249"/>
      <c r="V250" s="249"/>
      <c r="W250" s="249">
        <f t="shared" si="26"/>
        <v>6898</v>
      </c>
      <c r="X250" s="686"/>
      <c r="Y250" s="68">
        <v>2023</v>
      </c>
      <c r="Z250" s="71" t="s">
        <v>78</v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2:49" ht="12.75" hidden="1" customHeight="1">
      <c r="B251" s="68">
        <v>2023</v>
      </c>
      <c r="C251" s="775" t="s">
        <v>4</v>
      </c>
      <c r="D251" s="249">
        <v>3540</v>
      </c>
      <c r="E251" s="249"/>
      <c r="F251" s="249">
        <v>545</v>
      </c>
      <c r="G251" s="249"/>
      <c r="H251" s="249">
        <v>361</v>
      </c>
      <c r="I251" s="249"/>
      <c r="J251" s="249">
        <v>341</v>
      </c>
      <c r="K251" s="249"/>
      <c r="L251" s="249">
        <v>652</v>
      </c>
      <c r="M251" s="249"/>
      <c r="N251" s="249">
        <v>202</v>
      </c>
      <c r="O251" s="249"/>
      <c r="P251" s="249">
        <v>40</v>
      </c>
      <c r="Q251" s="249"/>
      <c r="R251" s="249">
        <v>160</v>
      </c>
      <c r="S251" s="249"/>
      <c r="T251" s="249">
        <v>151</v>
      </c>
      <c r="U251" s="249"/>
      <c r="V251" s="249"/>
      <c r="W251" s="249">
        <f t="shared" si="26"/>
        <v>5992</v>
      </c>
      <c r="X251" s="686"/>
      <c r="Y251" s="68">
        <v>2023</v>
      </c>
      <c r="Z251" s="71" t="s">
        <v>79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2:49" ht="12.75" hidden="1" customHeight="1">
      <c r="B252" s="68">
        <v>2023</v>
      </c>
      <c r="C252" s="775" t="s">
        <v>30</v>
      </c>
      <c r="D252" s="249">
        <v>5381</v>
      </c>
      <c r="E252" s="249"/>
      <c r="F252" s="249">
        <v>973</v>
      </c>
      <c r="G252" s="249"/>
      <c r="H252" s="249">
        <v>624</v>
      </c>
      <c r="I252" s="249"/>
      <c r="J252" s="249">
        <v>289</v>
      </c>
      <c r="K252" s="249"/>
      <c r="L252" s="249">
        <v>647</v>
      </c>
      <c r="M252" s="249"/>
      <c r="N252" s="249">
        <v>280</v>
      </c>
      <c r="O252" s="249"/>
      <c r="P252" s="249">
        <v>26</v>
      </c>
      <c r="Q252" s="249"/>
      <c r="R252" s="249">
        <v>213</v>
      </c>
      <c r="S252" s="249"/>
      <c r="T252" s="249">
        <v>219</v>
      </c>
      <c r="U252" s="249"/>
      <c r="V252" s="249"/>
      <c r="W252" s="249">
        <f t="shared" si="26"/>
        <v>8652</v>
      </c>
      <c r="X252" s="686"/>
      <c r="Y252" s="68">
        <v>2023</v>
      </c>
      <c r="Z252" s="71" t="s">
        <v>80</v>
      </c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2:49" ht="12.75" hidden="1" customHeight="1">
      <c r="B253" s="68">
        <v>2023</v>
      </c>
      <c r="C253" s="775" t="s">
        <v>36</v>
      </c>
      <c r="D253" s="249">
        <v>5705</v>
      </c>
      <c r="E253" s="249"/>
      <c r="F253" s="249">
        <v>1516</v>
      </c>
      <c r="G253" s="249"/>
      <c r="H253" s="249">
        <v>436</v>
      </c>
      <c r="I253" s="249"/>
      <c r="J253" s="249">
        <v>386</v>
      </c>
      <c r="K253" s="249"/>
      <c r="L253" s="249">
        <v>975</v>
      </c>
      <c r="M253" s="249"/>
      <c r="N253" s="249">
        <v>196</v>
      </c>
      <c r="O253" s="249"/>
      <c r="P253" s="249">
        <v>51</v>
      </c>
      <c r="Q253" s="249"/>
      <c r="R253" s="249">
        <v>226</v>
      </c>
      <c r="S253" s="249"/>
      <c r="T253" s="249">
        <v>207</v>
      </c>
      <c r="U253" s="249"/>
      <c r="V253" s="249"/>
      <c r="W253" s="249">
        <f t="shared" ref="W253:W284" si="27">SUM(D253:U253)</f>
        <v>9698</v>
      </c>
      <c r="X253" s="686"/>
      <c r="Y253" s="68">
        <v>2023</v>
      </c>
      <c r="Z253" s="71" t="s">
        <v>81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2:49" ht="12.75" hidden="1" customHeight="1">
      <c r="B254" s="68">
        <v>2023</v>
      </c>
      <c r="C254" s="775" t="s">
        <v>37</v>
      </c>
      <c r="D254" s="249">
        <v>4083</v>
      </c>
      <c r="E254" s="249"/>
      <c r="F254" s="249">
        <v>1493</v>
      </c>
      <c r="G254" s="249"/>
      <c r="H254" s="249">
        <v>481</v>
      </c>
      <c r="I254" s="249"/>
      <c r="J254" s="249">
        <v>360</v>
      </c>
      <c r="K254" s="249"/>
      <c r="L254" s="249">
        <v>1070</v>
      </c>
      <c r="M254" s="249"/>
      <c r="N254" s="249">
        <v>179</v>
      </c>
      <c r="O254" s="249"/>
      <c r="P254" s="249">
        <v>105</v>
      </c>
      <c r="Q254" s="249"/>
      <c r="R254" s="249">
        <v>287</v>
      </c>
      <c r="S254" s="249"/>
      <c r="T254" s="249">
        <v>208</v>
      </c>
      <c r="U254" s="249"/>
      <c r="V254" s="249"/>
      <c r="W254" s="249">
        <f t="shared" si="27"/>
        <v>8266</v>
      </c>
      <c r="X254" s="686"/>
      <c r="Y254" s="68">
        <v>2023</v>
      </c>
      <c r="Z254" s="349" t="s">
        <v>82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2:49" ht="12.75" hidden="1" customHeight="1">
      <c r="B255" s="68">
        <v>2023</v>
      </c>
      <c r="C255" s="775" t="s">
        <v>31</v>
      </c>
      <c r="D255" s="249">
        <v>5178</v>
      </c>
      <c r="E255" s="249"/>
      <c r="F255" s="249">
        <v>838</v>
      </c>
      <c r="G255" s="249"/>
      <c r="H255" s="249">
        <v>310</v>
      </c>
      <c r="I255" s="249"/>
      <c r="J255" s="249">
        <v>271</v>
      </c>
      <c r="K255" s="249"/>
      <c r="L255" s="249">
        <v>512</v>
      </c>
      <c r="M255" s="249"/>
      <c r="N255" s="249">
        <v>155</v>
      </c>
      <c r="O255" s="249"/>
      <c r="P255" s="249">
        <v>98</v>
      </c>
      <c r="Q255" s="249"/>
      <c r="R255" s="249">
        <v>222</v>
      </c>
      <c r="S255" s="249"/>
      <c r="T255" s="249">
        <v>110</v>
      </c>
      <c r="U255" s="249"/>
      <c r="V255" s="249"/>
      <c r="W255" s="249">
        <f t="shared" si="27"/>
        <v>7694</v>
      </c>
      <c r="X255" s="686"/>
      <c r="Y255" s="68">
        <v>2023</v>
      </c>
      <c r="Z255" s="349" t="s">
        <v>31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2:49" ht="12.75" hidden="1" customHeight="1">
      <c r="B256" s="68">
        <v>2023</v>
      </c>
      <c r="C256" s="775" t="s">
        <v>38</v>
      </c>
      <c r="D256" s="249">
        <v>4324</v>
      </c>
      <c r="E256" s="249"/>
      <c r="F256" s="249">
        <v>691</v>
      </c>
      <c r="G256" s="249"/>
      <c r="H256" s="249">
        <v>632</v>
      </c>
      <c r="I256" s="249"/>
      <c r="J256" s="249">
        <v>339</v>
      </c>
      <c r="K256" s="249"/>
      <c r="L256" s="249">
        <v>631</v>
      </c>
      <c r="M256" s="249"/>
      <c r="N256" s="249">
        <v>179</v>
      </c>
      <c r="O256" s="249"/>
      <c r="P256" s="249">
        <v>37</v>
      </c>
      <c r="Q256" s="249"/>
      <c r="R256" s="249">
        <v>199</v>
      </c>
      <c r="S256" s="249"/>
      <c r="T256" s="249">
        <v>167</v>
      </c>
      <c r="U256" s="249"/>
      <c r="V256" s="249"/>
      <c r="W256" s="249">
        <f t="shared" si="27"/>
        <v>7199</v>
      </c>
      <c r="X256" s="686"/>
      <c r="Y256" s="68">
        <v>2023</v>
      </c>
      <c r="Z256" s="349" t="s">
        <v>38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2:49" ht="12.75" hidden="1" customHeight="1">
      <c r="B257" s="68">
        <v>2023</v>
      </c>
      <c r="C257" s="775" t="s">
        <v>39</v>
      </c>
      <c r="D257" s="249">
        <v>3067</v>
      </c>
      <c r="E257" s="249"/>
      <c r="F257" s="249">
        <v>548</v>
      </c>
      <c r="G257" s="249"/>
      <c r="H257" s="249">
        <v>442</v>
      </c>
      <c r="I257" s="249"/>
      <c r="J257" s="249">
        <v>248</v>
      </c>
      <c r="K257" s="249"/>
      <c r="L257" s="249">
        <v>583</v>
      </c>
      <c r="M257" s="249"/>
      <c r="N257" s="249">
        <v>191</v>
      </c>
      <c r="O257" s="249"/>
      <c r="P257" s="249">
        <v>34</v>
      </c>
      <c r="Q257" s="249"/>
      <c r="R257" s="249">
        <v>164</v>
      </c>
      <c r="S257" s="249"/>
      <c r="T257" s="249">
        <v>167</v>
      </c>
      <c r="U257" s="249"/>
      <c r="V257" s="249"/>
      <c r="W257" s="249">
        <f t="shared" si="27"/>
        <v>5444</v>
      </c>
      <c r="X257" s="686"/>
      <c r="Y257" s="68">
        <v>2023</v>
      </c>
      <c r="Z257" s="349" t="s">
        <v>39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2:49" ht="12.75" hidden="1" customHeight="1">
      <c r="B258" s="68">
        <v>2023</v>
      </c>
      <c r="C258" s="775" t="s">
        <v>32</v>
      </c>
      <c r="D258" s="249">
        <v>3954</v>
      </c>
      <c r="E258" s="249"/>
      <c r="F258" s="249">
        <v>604</v>
      </c>
      <c r="G258" s="249"/>
      <c r="H258" s="249">
        <v>769</v>
      </c>
      <c r="I258" s="249"/>
      <c r="J258" s="249">
        <v>272</v>
      </c>
      <c r="K258" s="249"/>
      <c r="L258" s="249">
        <v>660</v>
      </c>
      <c r="M258" s="249"/>
      <c r="N258" s="249">
        <v>154</v>
      </c>
      <c r="O258" s="249"/>
      <c r="P258" s="249">
        <v>29</v>
      </c>
      <c r="Q258" s="249"/>
      <c r="R258" s="249">
        <v>190</v>
      </c>
      <c r="S258" s="249"/>
      <c r="T258" s="249">
        <v>136</v>
      </c>
      <c r="U258" s="249"/>
      <c r="V258" s="249"/>
      <c r="W258" s="249">
        <f t="shared" si="27"/>
        <v>6768</v>
      </c>
      <c r="X258" s="686"/>
      <c r="Y258" s="68">
        <v>2023</v>
      </c>
      <c r="Z258" s="349" t="s">
        <v>83</v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2:49" ht="12.75" hidden="1" customHeight="1">
      <c r="B259" s="68">
        <v>2024</v>
      </c>
      <c r="C259" s="775" t="s">
        <v>33</v>
      </c>
      <c r="D259" s="249">
        <v>3258</v>
      </c>
      <c r="E259" s="249"/>
      <c r="F259" s="249">
        <v>439</v>
      </c>
      <c r="G259" s="249"/>
      <c r="H259" s="249">
        <v>450</v>
      </c>
      <c r="I259" s="249"/>
      <c r="J259" s="249">
        <v>291</v>
      </c>
      <c r="K259" s="249"/>
      <c r="L259" s="249">
        <v>1150</v>
      </c>
      <c r="M259" s="249"/>
      <c r="N259" s="249">
        <v>197</v>
      </c>
      <c r="O259" s="249"/>
      <c r="P259" s="249">
        <v>43</v>
      </c>
      <c r="Q259" s="249"/>
      <c r="R259" s="249">
        <v>256</v>
      </c>
      <c r="S259" s="249"/>
      <c r="T259" s="249">
        <v>172</v>
      </c>
      <c r="U259" s="249"/>
      <c r="V259" s="249"/>
      <c r="W259" s="249">
        <f t="shared" si="27"/>
        <v>6256</v>
      </c>
      <c r="X259" s="686"/>
      <c r="Y259" s="76">
        <v>2024</v>
      </c>
      <c r="Z259" s="349" t="s">
        <v>33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2:49" ht="12.75" hidden="1" customHeight="1">
      <c r="B260" s="68">
        <v>2024</v>
      </c>
      <c r="C260" s="775" t="s">
        <v>34</v>
      </c>
      <c r="D260" s="247">
        <v>1071</v>
      </c>
      <c r="E260" s="249"/>
      <c r="F260" s="249">
        <v>160</v>
      </c>
      <c r="G260" s="249"/>
      <c r="H260" s="249">
        <v>1</v>
      </c>
      <c r="I260" s="249"/>
      <c r="J260" s="249">
        <v>256</v>
      </c>
      <c r="K260" s="249"/>
      <c r="L260" s="249">
        <v>769</v>
      </c>
      <c r="M260" s="249"/>
      <c r="N260" s="249">
        <v>182</v>
      </c>
      <c r="O260" s="249"/>
      <c r="P260" s="249">
        <v>44</v>
      </c>
      <c r="Q260" s="249"/>
      <c r="R260" s="249">
        <v>163</v>
      </c>
      <c r="S260" s="249"/>
      <c r="T260" s="249">
        <v>108</v>
      </c>
      <c r="U260" s="249"/>
      <c r="V260" s="249"/>
      <c r="W260" s="249">
        <f t="shared" si="27"/>
        <v>2754</v>
      </c>
      <c r="X260" s="686"/>
      <c r="Y260" s="76">
        <v>2024</v>
      </c>
      <c r="Z260" s="349" t="s">
        <v>77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2:49" ht="12.75" hidden="1" customHeight="1">
      <c r="B261" s="68">
        <v>2024</v>
      </c>
      <c r="C261" s="775" t="s">
        <v>29</v>
      </c>
      <c r="D261" s="249">
        <v>2046</v>
      </c>
      <c r="E261" s="249"/>
      <c r="F261" s="249">
        <v>329</v>
      </c>
      <c r="G261" s="249"/>
      <c r="H261" s="249">
        <v>1</v>
      </c>
      <c r="I261" s="249"/>
      <c r="J261" s="249">
        <v>373</v>
      </c>
      <c r="K261" s="249"/>
      <c r="L261" s="249">
        <v>944</v>
      </c>
      <c r="M261" s="249"/>
      <c r="N261" s="249">
        <v>185</v>
      </c>
      <c r="O261" s="249"/>
      <c r="P261" s="249">
        <v>45</v>
      </c>
      <c r="Q261" s="249"/>
      <c r="R261" s="249">
        <v>192</v>
      </c>
      <c r="S261" s="249"/>
      <c r="T261" s="249">
        <v>146</v>
      </c>
      <c r="U261" s="249"/>
      <c r="V261" s="249"/>
      <c r="W261" s="249">
        <f t="shared" si="27"/>
        <v>4261</v>
      </c>
      <c r="X261" s="686"/>
      <c r="Y261" s="76">
        <v>2024</v>
      </c>
      <c r="Z261" s="349" t="s">
        <v>29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2:49" ht="12.75" customHeight="1">
      <c r="B262" s="68">
        <v>2024</v>
      </c>
      <c r="C262" s="775" t="s">
        <v>35</v>
      </c>
      <c r="D262" s="249">
        <v>2512</v>
      </c>
      <c r="E262" s="249"/>
      <c r="F262" s="249">
        <v>431</v>
      </c>
      <c r="G262" s="249"/>
      <c r="H262" s="1004">
        <v>0</v>
      </c>
      <c r="I262" s="249"/>
      <c r="J262" s="249">
        <v>360</v>
      </c>
      <c r="K262" s="249"/>
      <c r="L262" s="249">
        <v>1006</v>
      </c>
      <c r="M262" s="249"/>
      <c r="N262" s="249">
        <v>238</v>
      </c>
      <c r="O262" s="249"/>
      <c r="P262" s="249">
        <v>42</v>
      </c>
      <c r="Q262" s="249"/>
      <c r="R262" s="249">
        <v>303</v>
      </c>
      <c r="S262" s="249"/>
      <c r="T262" s="249">
        <v>236</v>
      </c>
      <c r="U262" s="249"/>
      <c r="V262" s="249"/>
      <c r="W262" s="249">
        <f t="shared" si="27"/>
        <v>5128</v>
      </c>
      <c r="X262" s="686"/>
      <c r="Y262" s="76">
        <v>2024</v>
      </c>
      <c r="Z262" s="349" t="s">
        <v>78</v>
      </c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2:49" ht="12.75" hidden="1" customHeight="1">
      <c r="B263" s="68">
        <v>2024</v>
      </c>
      <c r="C263" s="775" t="s">
        <v>4</v>
      </c>
      <c r="D263" s="249">
        <v>1212</v>
      </c>
      <c r="E263" s="249"/>
      <c r="F263" s="249">
        <v>237</v>
      </c>
      <c r="G263" s="249"/>
      <c r="H263" s="781">
        <v>0</v>
      </c>
      <c r="I263" s="249"/>
      <c r="J263" s="249">
        <v>235</v>
      </c>
      <c r="K263" s="249"/>
      <c r="L263" s="249">
        <v>529</v>
      </c>
      <c r="M263" s="249"/>
      <c r="N263" s="249">
        <v>189</v>
      </c>
      <c r="O263" s="249"/>
      <c r="P263" s="249">
        <v>42</v>
      </c>
      <c r="Q263" s="249"/>
      <c r="R263" s="249">
        <v>153</v>
      </c>
      <c r="S263" s="249"/>
      <c r="T263" s="249">
        <v>125</v>
      </c>
      <c r="U263" s="249"/>
      <c r="V263" s="249"/>
      <c r="W263" s="249">
        <f t="shared" si="27"/>
        <v>2722</v>
      </c>
      <c r="X263" s="686"/>
      <c r="Y263" s="76">
        <v>2024</v>
      </c>
      <c r="Z263" s="349" t="s">
        <v>79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2:49" ht="12.75" hidden="1" customHeight="1">
      <c r="B264" s="68">
        <v>2024</v>
      </c>
      <c r="C264" s="775" t="s">
        <v>30</v>
      </c>
      <c r="D264" s="249">
        <v>1102</v>
      </c>
      <c r="E264" s="249"/>
      <c r="F264" s="249">
        <v>164</v>
      </c>
      <c r="G264" s="249"/>
      <c r="H264" s="781">
        <v>0</v>
      </c>
      <c r="I264" s="249"/>
      <c r="J264" s="249">
        <v>178</v>
      </c>
      <c r="K264" s="249"/>
      <c r="L264" s="249">
        <v>179</v>
      </c>
      <c r="M264" s="249"/>
      <c r="N264" s="249">
        <v>141</v>
      </c>
      <c r="O264" s="249"/>
      <c r="P264" s="249">
        <v>16</v>
      </c>
      <c r="Q264" s="249"/>
      <c r="R264" s="249">
        <v>111</v>
      </c>
      <c r="S264" s="249"/>
      <c r="T264" s="249">
        <v>72</v>
      </c>
      <c r="U264" s="249"/>
      <c r="V264" s="249"/>
      <c r="W264" s="249">
        <f t="shared" si="27"/>
        <v>1963</v>
      </c>
      <c r="X264" s="686"/>
      <c r="Y264" s="76">
        <v>2024</v>
      </c>
      <c r="Z264" s="349" t="s">
        <v>80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2:49" ht="12.75" hidden="1" customHeight="1">
      <c r="B265" s="68">
        <v>2024</v>
      </c>
      <c r="C265" s="775" t="s">
        <v>36</v>
      </c>
      <c r="D265" s="249">
        <v>2693</v>
      </c>
      <c r="E265" s="249"/>
      <c r="F265" s="249">
        <v>499</v>
      </c>
      <c r="G265" s="249"/>
      <c r="H265" s="781">
        <v>1</v>
      </c>
      <c r="I265" s="249"/>
      <c r="J265" s="249">
        <v>200</v>
      </c>
      <c r="K265" s="249"/>
      <c r="L265" s="249">
        <v>312</v>
      </c>
      <c r="M265" s="249"/>
      <c r="N265" s="249">
        <v>246</v>
      </c>
      <c r="O265" s="249"/>
      <c r="P265" s="249">
        <v>42</v>
      </c>
      <c r="Q265" s="249"/>
      <c r="R265" s="249">
        <v>193</v>
      </c>
      <c r="S265" s="249"/>
      <c r="T265" s="249">
        <v>105</v>
      </c>
      <c r="U265" s="249"/>
      <c r="V265" s="249"/>
      <c r="W265" s="249">
        <f t="shared" si="27"/>
        <v>4291</v>
      </c>
      <c r="X265" s="686"/>
      <c r="Y265" s="76">
        <v>2024</v>
      </c>
      <c r="Z265" s="349" t="s">
        <v>81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2:49" ht="12.75" hidden="1" customHeight="1">
      <c r="B266" s="68">
        <v>2024</v>
      </c>
      <c r="C266" s="775" t="s">
        <v>37</v>
      </c>
      <c r="D266" s="249">
        <v>2916</v>
      </c>
      <c r="E266" s="249"/>
      <c r="F266" s="249">
        <v>416</v>
      </c>
      <c r="G266" s="249"/>
      <c r="H266" s="781">
        <v>55</v>
      </c>
      <c r="I266" s="249"/>
      <c r="J266" s="249">
        <v>545</v>
      </c>
      <c r="K266" s="249"/>
      <c r="L266" s="249">
        <v>589</v>
      </c>
      <c r="M266" s="249"/>
      <c r="N266" s="249">
        <v>223</v>
      </c>
      <c r="O266" s="249"/>
      <c r="P266" s="249">
        <v>62</v>
      </c>
      <c r="Q266" s="249"/>
      <c r="R266" s="249">
        <v>260</v>
      </c>
      <c r="S266" s="249"/>
      <c r="T266" s="249">
        <v>216</v>
      </c>
      <c r="U266" s="249"/>
      <c r="V266" s="249"/>
      <c r="W266" s="249">
        <f t="shared" si="27"/>
        <v>5282</v>
      </c>
      <c r="X266" s="686"/>
      <c r="Y266" s="76">
        <v>2024</v>
      </c>
      <c r="Z266" s="349" t="s">
        <v>82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2:49" ht="12.75" hidden="1" customHeight="1">
      <c r="B267" s="68">
        <v>2024</v>
      </c>
      <c r="C267" s="775" t="s">
        <v>31</v>
      </c>
      <c r="D267" s="249">
        <v>4574</v>
      </c>
      <c r="E267" s="249"/>
      <c r="F267" s="249">
        <v>592</v>
      </c>
      <c r="G267" s="249"/>
      <c r="H267" s="781">
        <v>28</v>
      </c>
      <c r="I267" s="249"/>
      <c r="J267" s="249">
        <v>470</v>
      </c>
      <c r="K267" s="249"/>
      <c r="L267" s="249">
        <v>492</v>
      </c>
      <c r="M267" s="249"/>
      <c r="N267" s="249">
        <v>254</v>
      </c>
      <c r="O267" s="249"/>
      <c r="P267" s="249">
        <v>70</v>
      </c>
      <c r="Q267" s="249"/>
      <c r="R267" s="249">
        <v>231</v>
      </c>
      <c r="S267" s="249"/>
      <c r="T267" s="249">
        <v>241</v>
      </c>
      <c r="U267" s="249"/>
      <c r="V267" s="249"/>
      <c r="W267" s="249">
        <f t="shared" si="27"/>
        <v>6952</v>
      </c>
      <c r="X267" s="686"/>
      <c r="Y267" s="76">
        <v>2024</v>
      </c>
      <c r="Z267" s="349" t="s">
        <v>31</v>
      </c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2:49" ht="12.75" hidden="1" customHeight="1">
      <c r="B268" s="68">
        <v>2024</v>
      </c>
      <c r="C268" s="775" t="s">
        <v>38</v>
      </c>
      <c r="D268" s="249">
        <v>3773</v>
      </c>
      <c r="E268" s="249"/>
      <c r="F268" s="249">
        <v>680</v>
      </c>
      <c r="G268" s="249"/>
      <c r="H268" s="781">
        <v>220</v>
      </c>
      <c r="I268" s="249"/>
      <c r="J268" s="249">
        <v>390</v>
      </c>
      <c r="K268" s="249"/>
      <c r="L268" s="249">
        <v>936</v>
      </c>
      <c r="M268" s="249"/>
      <c r="N268" s="249">
        <v>191</v>
      </c>
      <c r="O268" s="249"/>
      <c r="P268" s="249">
        <v>53</v>
      </c>
      <c r="Q268" s="249"/>
      <c r="R268" s="249">
        <v>202</v>
      </c>
      <c r="S268" s="249"/>
      <c r="T268" s="249">
        <v>240</v>
      </c>
      <c r="U268" s="249"/>
      <c r="V268" s="249"/>
      <c r="W268" s="249">
        <f t="shared" si="27"/>
        <v>6685</v>
      </c>
      <c r="X268" s="686"/>
      <c r="Y268" s="76">
        <v>2024</v>
      </c>
      <c r="Z268" s="349" t="s">
        <v>38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2:49" ht="12.75" hidden="1" customHeight="1">
      <c r="B269" s="68">
        <v>2024</v>
      </c>
      <c r="C269" s="775" t="s">
        <v>39</v>
      </c>
      <c r="D269" s="249">
        <v>3698</v>
      </c>
      <c r="E269" s="249"/>
      <c r="F269" s="249">
        <v>449</v>
      </c>
      <c r="G269" s="249"/>
      <c r="H269" s="781">
        <v>211</v>
      </c>
      <c r="I269" s="249"/>
      <c r="J269" s="249">
        <v>453</v>
      </c>
      <c r="K269" s="249"/>
      <c r="L269" s="249">
        <v>517</v>
      </c>
      <c r="M269" s="249"/>
      <c r="N269" s="249">
        <v>230</v>
      </c>
      <c r="O269" s="249"/>
      <c r="P269" s="249">
        <v>50</v>
      </c>
      <c r="Q269" s="249"/>
      <c r="R269" s="249">
        <v>318</v>
      </c>
      <c r="S269" s="249"/>
      <c r="T269" s="249">
        <v>514</v>
      </c>
      <c r="U269" s="249"/>
      <c r="V269" s="249"/>
      <c r="W269" s="249">
        <f t="shared" si="27"/>
        <v>6440</v>
      </c>
      <c r="X269" s="686"/>
      <c r="Y269" s="76">
        <v>2024</v>
      </c>
      <c r="Z269" s="349" t="s">
        <v>39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2:49" ht="12.75" hidden="1" customHeight="1">
      <c r="B270" s="68">
        <v>2024</v>
      </c>
      <c r="C270" s="775" t="s">
        <v>32</v>
      </c>
      <c r="D270" s="249">
        <v>4595</v>
      </c>
      <c r="E270" s="249"/>
      <c r="F270" s="249">
        <v>342</v>
      </c>
      <c r="G270" s="249"/>
      <c r="H270" s="781">
        <v>382</v>
      </c>
      <c r="I270" s="249"/>
      <c r="J270" s="249">
        <v>40</v>
      </c>
      <c r="K270" s="249"/>
      <c r="L270" s="249">
        <v>513</v>
      </c>
      <c r="M270" s="249"/>
      <c r="N270" s="249">
        <v>163</v>
      </c>
      <c r="O270" s="249"/>
      <c r="P270" s="249">
        <v>50</v>
      </c>
      <c r="Q270" s="249"/>
      <c r="R270" s="249">
        <v>251</v>
      </c>
      <c r="S270" s="249"/>
      <c r="T270" s="249">
        <v>8</v>
      </c>
      <c r="U270" s="249"/>
      <c r="V270" s="249"/>
      <c r="W270" s="249">
        <f t="shared" si="27"/>
        <v>6344</v>
      </c>
      <c r="X270" s="686"/>
      <c r="Y270" s="76">
        <v>2024</v>
      </c>
      <c r="Z270" s="349" t="s">
        <v>83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2:49" ht="12.75" hidden="1" customHeight="1">
      <c r="B271" s="68">
        <v>2025</v>
      </c>
      <c r="C271" s="1151" t="s">
        <v>33</v>
      </c>
      <c r="D271" s="247">
        <v>3959</v>
      </c>
      <c r="E271" s="249"/>
      <c r="F271" s="249">
        <v>264</v>
      </c>
      <c r="G271" s="249"/>
      <c r="H271" s="781">
        <v>452</v>
      </c>
      <c r="I271" s="249"/>
      <c r="J271" s="249">
        <v>499</v>
      </c>
      <c r="K271" s="249"/>
      <c r="L271" s="249">
        <v>837</v>
      </c>
      <c r="M271" s="249"/>
      <c r="N271" s="249">
        <v>195</v>
      </c>
      <c r="O271" s="249"/>
      <c r="P271" s="249">
        <v>45</v>
      </c>
      <c r="Q271" s="249"/>
      <c r="R271" s="249">
        <v>196</v>
      </c>
      <c r="S271" s="249"/>
      <c r="T271" s="249">
        <v>278</v>
      </c>
      <c r="U271" s="249"/>
      <c r="V271" s="249"/>
      <c r="W271" s="249">
        <f t="shared" si="27"/>
        <v>6725</v>
      </c>
      <c r="X271" s="75"/>
      <c r="Y271" s="68">
        <v>2025</v>
      </c>
      <c r="Z271" s="349" t="s">
        <v>33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2:49" ht="12.75" hidden="1" customHeight="1">
      <c r="B272" s="68">
        <v>2025</v>
      </c>
      <c r="C272" s="775" t="s">
        <v>34</v>
      </c>
      <c r="D272" s="249">
        <v>2035</v>
      </c>
      <c r="E272" s="249"/>
      <c r="F272" s="249">
        <v>372</v>
      </c>
      <c r="G272" s="249"/>
      <c r="H272" s="781">
        <v>188</v>
      </c>
      <c r="I272" s="249"/>
      <c r="J272" s="249">
        <v>323</v>
      </c>
      <c r="K272" s="249"/>
      <c r="L272" s="249">
        <v>583</v>
      </c>
      <c r="M272" s="249"/>
      <c r="N272" s="249">
        <v>179</v>
      </c>
      <c r="O272" s="249"/>
      <c r="P272" s="249">
        <v>60</v>
      </c>
      <c r="Q272" s="249"/>
      <c r="R272" s="249">
        <v>385</v>
      </c>
      <c r="S272" s="249"/>
      <c r="T272" s="249">
        <v>240</v>
      </c>
      <c r="U272" s="249"/>
      <c r="V272" s="249"/>
      <c r="W272" s="249">
        <f t="shared" si="27"/>
        <v>4365</v>
      </c>
      <c r="X272" s="686"/>
      <c r="Y272" s="68">
        <v>2025</v>
      </c>
      <c r="Z272" s="349" t="s">
        <v>77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2:49" ht="12.75" hidden="1" customHeight="1">
      <c r="B273" s="68">
        <v>2025</v>
      </c>
      <c r="C273" s="775" t="s">
        <v>29</v>
      </c>
      <c r="D273" s="249">
        <v>3055</v>
      </c>
      <c r="E273" s="249"/>
      <c r="F273" s="249">
        <v>282</v>
      </c>
      <c r="G273" s="249"/>
      <c r="H273" s="781">
        <v>213</v>
      </c>
      <c r="I273" s="249"/>
      <c r="J273" s="249">
        <v>412</v>
      </c>
      <c r="K273" s="249"/>
      <c r="L273" s="249">
        <v>499</v>
      </c>
      <c r="M273" s="249"/>
      <c r="N273" s="249">
        <v>212</v>
      </c>
      <c r="O273" s="249"/>
      <c r="P273" s="249">
        <v>47</v>
      </c>
      <c r="Q273" s="249"/>
      <c r="R273" s="249">
        <v>289</v>
      </c>
      <c r="S273" s="249"/>
      <c r="T273" s="249">
        <v>255</v>
      </c>
      <c r="U273" s="249"/>
      <c r="V273" s="249"/>
      <c r="W273" s="249">
        <f t="shared" si="27"/>
        <v>5264</v>
      </c>
      <c r="X273" s="686"/>
      <c r="Y273" s="68">
        <v>2025</v>
      </c>
      <c r="Z273" s="349" t="s">
        <v>29</v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2:49" ht="12.75" customHeight="1">
      <c r="B274" s="68">
        <v>2025</v>
      </c>
      <c r="C274" s="775" t="s">
        <v>35</v>
      </c>
      <c r="D274" s="249">
        <v>5015</v>
      </c>
      <c r="E274" s="249"/>
      <c r="F274" s="249">
        <v>443</v>
      </c>
      <c r="G274" s="249"/>
      <c r="H274" s="781">
        <v>304</v>
      </c>
      <c r="I274" s="249"/>
      <c r="J274" s="249">
        <v>367</v>
      </c>
      <c r="K274" s="249"/>
      <c r="L274" s="249">
        <v>715</v>
      </c>
      <c r="M274" s="249"/>
      <c r="N274" s="249">
        <v>224</v>
      </c>
      <c r="O274" s="249"/>
      <c r="P274" s="249">
        <v>52</v>
      </c>
      <c r="Q274" s="249"/>
      <c r="R274" s="249">
        <v>559</v>
      </c>
      <c r="S274" s="249"/>
      <c r="T274" s="249">
        <v>330</v>
      </c>
      <c r="U274" s="249"/>
      <c r="V274" s="249"/>
      <c r="W274" s="249">
        <f t="shared" si="27"/>
        <v>8009</v>
      </c>
      <c r="X274" s="686"/>
      <c r="Y274" s="68">
        <v>2025</v>
      </c>
      <c r="Z274" s="349" t="s">
        <v>78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2:49" ht="12.75" customHeight="1">
      <c r="B275" s="68"/>
      <c r="C275" s="775" t="s">
        <v>4</v>
      </c>
      <c r="D275" s="249">
        <v>4418</v>
      </c>
      <c r="E275" s="249"/>
      <c r="F275" s="249">
        <v>432</v>
      </c>
      <c r="G275" s="249"/>
      <c r="H275" s="781">
        <v>155</v>
      </c>
      <c r="I275" s="249"/>
      <c r="J275" s="249">
        <v>389</v>
      </c>
      <c r="K275" s="249"/>
      <c r="L275" s="249">
        <v>596</v>
      </c>
      <c r="M275" s="249"/>
      <c r="N275" s="249">
        <v>269</v>
      </c>
      <c r="O275" s="249"/>
      <c r="P275" s="249">
        <v>71</v>
      </c>
      <c r="Q275" s="249"/>
      <c r="R275" s="249">
        <v>439</v>
      </c>
      <c r="S275" s="249"/>
      <c r="T275" s="249">
        <v>334</v>
      </c>
      <c r="U275" s="249"/>
      <c r="V275" s="249"/>
      <c r="W275" s="249">
        <f t="shared" si="27"/>
        <v>7103</v>
      </c>
      <c r="X275" s="686"/>
      <c r="Y275" s="76"/>
      <c r="Z275" s="349" t="s">
        <v>79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2:49" ht="12.75" customHeight="1">
      <c r="B276" s="68"/>
      <c r="C276" s="775" t="s">
        <v>30</v>
      </c>
      <c r="D276" s="249">
        <v>5156</v>
      </c>
      <c r="E276" s="249"/>
      <c r="F276" s="249">
        <v>620</v>
      </c>
      <c r="G276" s="249"/>
      <c r="H276" s="781">
        <v>289</v>
      </c>
      <c r="I276" s="249"/>
      <c r="J276" s="249">
        <v>458</v>
      </c>
      <c r="K276" s="249"/>
      <c r="L276" s="249">
        <v>709</v>
      </c>
      <c r="M276" s="249"/>
      <c r="N276" s="249">
        <v>404</v>
      </c>
      <c r="O276" s="249"/>
      <c r="P276" s="249">
        <v>53</v>
      </c>
      <c r="Q276" s="249"/>
      <c r="R276" s="249">
        <v>360</v>
      </c>
      <c r="S276" s="249"/>
      <c r="T276" s="249">
        <v>316</v>
      </c>
      <c r="U276" s="249"/>
      <c r="V276" s="249"/>
      <c r="W276" s="249">
        <f t="shared" si="27"/>
        <v>8365</v>
      </c>
      <c r="X276" s="686"/>
      <c r="Y276" s="76"/>
      <c r="Z276" s="349" t="s">
        <v>80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2:49" ht="12.75" customHeight="1">
      <c r="B277" s="68"/>
      <c r="C277" s="775" t="s">
        <v>36</v>
      </c>
      <c r="D277" s="249">
        <v>6938</v>
      </c>
      <c r="E277" s="249"/>
      <c r="F277" s="249">
        <v>575</v>
      </c>
      <c r="G277" s="249"/>
      <c r="H277" s="781">
        <v>157</v>
      </c>
      <c r="I277" s="249"/>
      <c r="J277" s="249">
        <v>494</v>
      </c>
      <c r="K277" s="249"/>
      <c r="L277" s="249">
        <v>897</v>
      </c>
      <c r="M277" s="249"/>
      <c r="N277" s="249">
        <v>402</v>
      </c>
      <c r="O277" s="249"/>
      <c r="P277" s="249">
        <v>78</v>
      </c>
      <c r="Q277" s="249"/>
      <c r="R277" s="249">
        <v>464</v>
      </c>
      <c r="S277" s="249"/>
      <c r="T277" s="249">
        <v>377</v>
      </c>
      <c r="U277" s="249"/>
      <c r="V277" s="249"/>
      <c r="W277" s="249">
        <f t="shared" si="27"/>
        <v>10382</v>
      </c>
      <c r="X277" s="686"/>
      <c r="Y277" s="76"/>
      <c r="Z277" s="349" t="s">
        <v>81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2:49" ht="12.75" customHeight="1">
      <c r="B278" s="68"/>
      <c r="C278" s="775" t="s">
        <v>37</v>
      </c>
      <c r="D278" s="249">
        <v>5434</v>
      </c>
      <c r="E278" s="249"/>
      <c r="F278" s="249">
        <v>666</v>
      </c>
      <c r="G278" s="249"/>
      <c r="H278" s="781">
        <v>239</v>
      </c>
      <c r="I278" s="249"/>
      <c r="J278" s="249">
        <v>496</v>
      </c>
      <c r="K278" s="249"/>
      <c r="L278" s="249">
        <v>1087</v>
      </c>
      <c r="M278" s="249"/>
      <c r="N278" s="249">
        <v>384</v>
      </c>
      <c r="O278" s="249"/>
      <c r="P278" s="249">
        <v>105</v>
      </c>
      <c r="Q278" s="249"/>
      <c r="R278" s="249">
        <v>360</v>
      </c>
      <c r="S278" s="249"/>
      <c r="T278" s="249">
        <v>460</v>
      </c>
      <c r="U278" s="249"/>
      <c r="V278" s="249"/>
      <c r="W278" s="249">
        <f t="shared" si="27"/>
        <v>9231</v>
      </c>
      <c r="X278" s="686"/>
      <c r="Y278" s="76"/>
      <c r="Z278" s="349" t="s">
        <v>82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2:49" ht="12.75" customHeight="1">
      <c r="B279" s="68"/>
      <c r="C279" s="775" t="s">
        <v>31</v>
      </c>
      <c r="D279" s="249">
        <v>6586</v>
      </c>
      <c r="E279" s="249"/>
      <c r="F279" s="249">
        <v>603</v>
      </c>
      <c r="G279" s="249"/>
      <c r="H279" s="781">
        <v>86</v>
      </c>
      <c r="I279" s="249"/>
      <c r="J279" s="249">
        <v>449</v>
      </c>
      <c r="K279" s="249"/>
      <c r="L279" s="249">
        <v>686</v>
      </c>
      <c r="M279" s="249"/>
      <c r="N279" s="249">
        <v>305</v>
      </c>
      <c r="O279" s="249"/>
      <c r="P279" s="249">
        <v>133</v>
      </c>
      <c r="Q279" s="249"/>
      <c r="R279" s="249">
        <v>484</v>
      </c>
      <c r="S279" s="249"/>
      <c r="T279" s="249">
        <v>590</v>
      </c>
      <c r="U279" s="249"/>
      <c r="V279" s="249"/>
      <c r="W279" s="249">
        <f t="shared" si="27"/>
        <v>9922</v>
      </c>
      <c r="X279" s="686"/>
      <c r="Y279" s="76"/>
      <c r="Z279" s="349" t="s">
        <v>31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2:49" ht="12.75" customHeight="1">
      <c r="B280" s="68"/>
      <c r="C280" s="775" t="s">
        <v>38</v>
      </c>
      <c r="D280" s="249">
        <v>5929</v>
      </c>
      <c r="E280" s="249"/>
      <c r="F280" s="249">
        <v>653</v>
      </c>
      <c r="G280" s="249"/>
      <c r="H280" s="781">
        <v>321</v>
      </c>
      <c r="I280" s="249"/>
      <c r="J280" s="249">
        <v>499</v>
      </c>
      <c r="K280" s="249"/>
      <c r="L280" s="249">
        <v>1029</v>
      </c>
      <c r="M280" s="249"/>
      <c r="N280" s="249">
        <v>285</v>
      </c>
      <c r="O280" s="249"/>
      <c r="P280" s="249">
        <v>61</v>
      </c>
      <c r="Q280" s="249"/>
      <c r="R280" s="249">
        <v>437</v>
      </c>
      <c r="S280" s="249"/>
      <c r="T280" s="249">
        <v>535</v>
      </c>
      <c r="U280" s="249"/>
      <c r="V280" s="249"/>
      <c r="W280" s="249">
        <f t="shared" si="27"/>
        <v>9749</v>
      </c>
      <c r="X280" s="686"/>
      <c r="Y280" s="76"/>
      <c r="Z280" s="349" t="s">
        <v>38</v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2:49" ht="12.75" customHeight="1">
      <c r="B281" s="68"/>
      <c r="C281" s="775" t="s">
        <v>39</v>
      </c>
      <c r="D281" s="249">
        <v>4879</v>
      </c>
      <c r="E281" s="249"/>
      <c r="F281" s="249">
        <v>729</v>
      </c>
      <c r="G281" s="249"/>
      <c r="H281" s="781">
        <v>172</v>
      </c>
      <c r="I281" s="249"/>
      <c r="J281" s="249">
        <v>562</v>
      </c>
      <c r="K281" s="249"/>
      <c r="L281" s="249">
        <v>970</v>
      </c>
      <c r="M281" s="249"/>
      <c r="N281" s="249">
        <v>265</v>
      </c>
      <c r="O281" s="249"/>
      <c r="P281" s="249">
        <v>65</v>
      </c>
      <c r="Q281" s="249"/>
      <c r="R281" s="249">
        <v>394</v>
      </c>
      <c r="S281" s="249"/>
      <c r="T281" s="249">
        <v>470</v>
      </c>
      <c r="U281" s="249"/>
      <c r="V281" s="249"/>
      <c r="W281" s="249">
        <f t="shared" si="27"/>
        <v>8506</v>
      </c>
      <c r="X281" s="686"/>
      <c r="Y281" s="76"/>
      <c r="Z281" s="349" t="s">
        <v>39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2:49" ht="12.75" customHeight="1">
      <c r="B282" s="68"/>
      <c r="C282" s="775" t="s">
        <v>32</v>
      </c>
      <c r="D282" s="249">
        <v>5518</v>
      </c>
      <c r="E282" s="249"/>
      <c r="F282" s="249">
        <v>407</v>
      </c>
      <c r="G282" s="249"/>
      <c r="H282" s="781">
        <v>251</v>
      </c>
      <c r="I282" s="249"/>
      <c r="J282" s="249">
        <v>337</v>
      </c>
      <c r="K282" s="249"/>
      <c r="L282" s="249">
        <v>885</v>
      </c>
      <c r="M282" s="249"/>
      <c r="N282" s="249">
        <v>163</v>
      </c>
      <c r="O282" s="249"/>
      <c r="P282" s="249">
        <v>62</v>
      </c>
      <c r="Q282" s="249"/>
      <c r="R282" s="249">
        <v>368</v>
      </c>
      <c r="S282" s="249"/>
      <c r="T282" s="249">
        <v>307</v>
      </c>
      <c r="U282" s="249"/>
      <c r="V282" s="249"/>
      <c r="W282" s="249">
        <f t="shared" si="27"/>
        <v>8298</v>
      </c>
      <c r="X282" s="686"/>
      <c r="Y282" s="76"/>
      <c r="Z282" s="349" t="s">
        <v>83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2:49" ht="12.75" customHeight="1">
      <c r="B283" s="68">
        <v>2026</v>
      </c>
      <c r="C283" s="775" t="s">
        <v>33</v>
      </c>
      <c r="D283" s="249">
        <v>6044</v>
      </c>
      <c r="E283" s="249"/>
      <c r="F283" s="249">
        <v>416</v>
      </c>
      <c r="G283" s="249"/>
      <c r="H283" s="781">
        <v>298</v>
      </c>
      <c r="I283" s="249"/>
      <c r="J283" s="249">
        <v>582</v>
      </c>
      <c r="K283" s="249"/>
      <c r="L283" s="249">
        <v>1164</v>
      </c>
      <c r="M283" s="249"/>
      <c r="N283" s="249">
        <v>264</v>
      </c>
      <c r="O283" s="249"/>
      <c r="P283" s="249">
        <v>65</v>
      </c>
      <c r="Q283" s="249"/>
      <c r="R283" s="249">
        <v>363</v>
      </c>
      <c r="S283" s="249"/>
      <c r="T283" s="249">
        <v>461</v>
      </c>
      <c r="U283" s="249"/>
      <c r="V283" s="249"/>
      <c r="W283" s="249">
        <f t="shared" si="27"/>
        <v>9657</v>
      </c>
      <c r="X283" s="686"/>
      <c r="Y283" s="76">
        <v>2026</v>
      </c>
      <c r="Z283" s="349" t="s">
        <v>33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2:49" ht="12.75" customHeight="1">
      <c r="B284" s="68"/>
      <c r="C284" s="775" t="s">
        <v>34</v>
      </c>
      <c r="D284" s="249">
        <v>2418</v>
      </c>
      <c r="E284" s="249"/>
      <c r="F284" s="249">
        <v>310</v>
      </c>
      <c r="G284" s="249"/>
      <c r="H284" s="781">
        <v>177</v>
      </c>
      <c r="I284" s="249"/>
      <c r="J284" s="249">
        <v>427</v>
      </c>
      <c r="K284" s="249"/>
      <c r="L284" s="249">
        <v>707</v>
      </c>
      <c r="M284" s="249"/>
      <c r="N284" s="249">
        <v>242</v>
      </c>
      <c r="O284" s="249"/>
      <c r="P284" s="249">
        <v>67</v>
      </c>
      <c r="Q284" s="249"/>
      <c r="R284" s="249">
        <v>406</v>
      </c>
      <c r="S284" s="249"/>
      <c r="T284" s="249">
        <v>310</v>
      </c>
      <c r="U284" s="249"/>
      <c r="V284" s="249"/>
      <c r="W284" s="249">
        <f t="shared" si="27"/>
        <v>5064</v>
      </c>
      <c r="X284" s="686"/>
      <c r="Y284" s="76"/>
      <c r="Z284" s="349" t="s">
        <v>77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2:49" ht="12.75" customHeight="1">
      <c r="B285" s="68"/>
      <c r="C285" s="775" t="s">
        <v>29</v>
      </c>
      <c r="D285" s="249">
        <v>4128</v>
      </c>
      <c r="E285" s="249"/>
      <c r="F285" s="249">
        <v>469</v>
      </c>
      <c r="G285" s="249"/>
      <c r="H285" s="781">
        <v>82</v>
      </c>
      <c r="I285" s="249"/>
      <c r="J285" s="249">
        <v>539</v>
      </c>
      <c r="K285" s="249"/>
      <c r="L285" s="249">
        <v>751</v>
      </c>
      <c r="M285" s="249"/>
      <c r="N285" s="249">
        <v>215</v>
      </c>
      <c r="O285" s="249"/>
      <c r="P285" s="249">
        <v>111</v>
      </c>
      <c r="Q285" s="249"/>
      <c r="R285" s="249">
        <v>497</v>
      </c>
      <c r="S285" s="249"/>
      <c r="T285" s="249">
        <v>335</v>
      </c>
      <c r="U285" s="249"/>
      <c r="V285" s="249"/>
      <c r="W285" s="249">
        <f>SUM(D285:U285)</f>
        <v>7127</v>
      </c>
      <c r="X285" s="686"/>
      <c r="Y285" s="76"/>
      <c r="Z285" s="349" t="s">
        <v>29</v>
      </c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2:49" ht="12.75" customHeight="1">
      <c r="B286" s="104"/>
      <c r="C286" s="1153" t="s">
        <v>601</v>
      </c>
      <c r="D286" s="727">
        <v>6336</v>
      </c>
      <c r="E286" s="727"/>
      <c r="F286" s="727">
        <v>689</v>
      </c>
      <c r="G286" s="727"/>
      <c r="H286" s="1003">
        <v>379</v>
      </c>
      <c r="I286" s="727"/>
      <c r="J286" s="727">
        <v>410</v>
      </c>
      <c r="K286" s="727"/>
      <c r="L286" s="727">
        <v>900</v>
      </c>
      <c r="M286" s="727"/>
      <c r="N286" s="727">
        <v>266</v>
      </c>
      <c r="O286" s="727"/>
      <c r="P286" s="727">
        <v>82</v>
      </c>
      <c r="Q286" s="727"/>
      <c r="R286" s="727">
        <v>526</v>
      </c>
      <c r="S286" s="727"/>
      <c r="T286" s="727">
        <v>353</v>
      </c>
      <c r="U286" s="727"/>
      <c r="V286" s="727"/>
      <c r="W286" s="727">
        <f>SUM(D286:U286)</f>
        <v>9941</v>
      </c>
      <c r="X286" s="1152"/>
      <c r="Y286" s="105"/>
      <c r="Z286" s="1191" t="s">
        <v>602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2:49" ht="13.5">
      <c r="B287" s="59" t="s">
        <v>469</v>
      </c>
      <c r="C287" s="123"/>
      <c r="D287" s="47"/>
      <c r="E287" s="47"/>
      <c r="F287" s="47"/>
      <c r="G287" s="47"/>
      <c r="H287" s="47"/>
      <c r="I287" s="47"/>
      <c r="J287" s="2"/>
      <c r="K287" s="47"/>
      <c r="L287" s="2"/>
      <c r="M287" s="47"/>
      <c r="N287" s="1"/>
      <c r="O287" s="47"/>
      <c r="P287" s="143"/>
      <c r="Q287" s="47"/>
      <c r="R287" s="143"/>
      <c r="S287" s="47"/>
      <c r="U287" s="47"/>
      <c r="V287" s="1"/>
      <c r="W287" s="50"/>
      <c r="X287" s="130"/>
      <c r="Y287" s="321"/>
      <c r="Z287" s="36"/>
      <c r="AA287" s="36"/>
      <c r="AB287" s="36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2:49" ht="13.5">
      <c r="B288" s="291"/>
      <c r="E288" s="94"/>
      <c r="F288" s="761" t="s">
        <v>359</v>
      </c>
      <c r="G288" s="94"/>
      <c r="H288" s="94"/>
      <c r="I288" s="94"/>
      <c r="J288" s="112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70"/>
      <c r="Y288" s="321"/>
      <c r="Z288" s="36"/>
      <c r="AA288" s="36"/>
      <c r="AB288" s="36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2:49">
      <c r="B289" s="51" t="s">
        <v>360</v>
      </c>
      <c r="D289" s="125"/>
      <c r="E289" s="94"/>
      <c r="F289" s="94"/>
      <c r="G289" s="94"/>
      <c r="H289" s="94"/>
      <c r="I289" s="94"/>
      <c r="J289" s="112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70"/>
      <c r="Z289" s="321"/>
      <c r="AA289" s="321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2:49">
      <c r="B290" s="51"/>
      <c r="D290" s="125"/>
      <c r="E290" s="94"/>
      <c r="F290" s="94"/>
      <c r="G290" s="94"/>
      <c r="H290" s="94"/>
      <c r="I290" s="94"/>
      <c r="J290" s="112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70"/>
      <c r="Z290" s="321"/>
      <c r="AA290" s="321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2:49">
      <c r="B291" s="2"/>
      <c r="D291" s="444">
        <f>D286/D274-1</f>
        <v>0.26340977068793614</v>
      </c>
      <c r="E291" s="444" t="e">
        <f t="shared" ref="E291:W291" si="28">E286/E274-1</f>
        <v>#DIV/0!</v>
      </c>
      <c r="F291" s="444">
        <f t="shared" si="28"/>
        <v>0.5553047404063205</v>
      </c>
      <c r="G291" s="444" t="e">
        <f t="shared" si="28"/>
        <v>#DIV/0!</v>
      </c>
      <c r="H291" s="444">
        <f t="shared" si="28"/>
        <v>0.24671052631578938</v>
      </c>
      <c r="I291" s="444" t="e">
        <f t="shared" si="28"/>
        <v>#DIV/0!</v>
      </c>
      <c r="J291" s="444">
        <f t="shared" si="28"/>
        <v>0.11716621253406001</v>
      </c>
      <c r="K291" s="444" t="e">
        <f t="shared" si="28"/>
        <v>#DIV/0!</v>
      </c>
      <c r="L291" s="444">
        <f t="shared" si="28"/>
        <v>0.25874125874125875</v>
      </c>
      <c r="M291" s="444" t="e">
        <f t="shared" si="28"/>
        <v>#DIV/0!</v>
      </c>
      <c r="N291" s="444">
        <f t="shared" si="28"/>
        <v>0.1875</v>
      </c>
      <c r="O291" s="444" t="e">
        <f t="shared" si="28"/>
        <v>#DIV/0!</v>
      </c>
      <c r="P291" s="444">
        <f t="shared" si="28"/>
        <v>0.57692307692307687</v>
      </c>
      <c r="Q291" s="444" t="e">
        <f t="shared" si="28"/>
        <v>#DIV/0!</v>
      </c>
      <c r="R291" s="444">
        <f t="shared" si="28"/>
        <v>-5.903398926654746E-2</v>
      </c>
      <c r="S291" s="444" t="e">
        <f t="shared" si="28"/>
        <v>#DIV/0!</v>
      </c>
      <c r="T291" s="444">
        <f t="shared" si="28"/>
        <v>6.9696969696969591E-2</v>
      </c>
      <c r="U291" s="444" t="e">
        <f t="shared" si="28"/>
        <v>#DIV/0!</v>
      </c>
      <c r="V291" s="444" t="e">
        <f t="shared" si="28"/>
        <v>#DIV/0!</v>
      </c>
      <c r="W291" s="444">
        <f t="shared" si="28"/>
        <v>0.2412286178049694</v>
      </c>
      <c r="X291" s="991" t="s">
        <v>41</v>
      </c>
      <c r="Y291" s="320" t="s">
        <v>218</v>
      </c>
      <c r="Z291" s="321"/>
      <c r="AA291" s="321"/>
    </row>
    <row r="292" spans="2:49">
      <c r="B292" s="2"/>
      <c r="D292" s="445">
        <f>D286/D285-1</f>
        <v>0.53488372093023262</v>
      </c>
      <c r="E292" s="445" t="e">
        <f t="shared" ref="E292:W292" si="29">E286/E285-1</f>
        <v>#DIV/0!</v>
      </c>
      <c r="F292" s="445">
        <f t="shared" si="29"/>
        <v>0.46908315565031988</v>
      </c>
      <c r="G292" s="445" t="e">
        <f t="shared" si="29"/>
        <v>#DIV/0!</v>
      </c>
      <c r="H292" s="445">
        <f t="shared" si="29"/>
        <v>3.6219512195121952</v>
      </c>
      <c r="I292" s="445" t="e">
        <f t="shared" si="29"/>
        <v>#DIV/0!</v>
      </c>
      <c r="J292" s="445">
        <f t="shared" si="29"/>
        <v>-0.23933209647495357</v>
      </c>
      <c r="K292" s="445" t="e">
        <f t="shared" si="29"/>
        <v>#DIV/0!</v>
      </c>
      <c r="L292" s="445">
        <f t="shared" si="29"/>
        <v>0.19840213049267641</v>
      </c>
      <c r="M292" s="445" t="e">
        <f t="shared" si="29"/>
        <v>#DIV/0!</v>
      </c>
      <c r="N292" s="445">
        <f t="shared" si="29"/>
        <v>0.23720930232558146</v>
      </c>
      <c r="O292" s="445" t="e">
        <f t="shared" si="29"/>
        <v>#DIV/0!</v>
      </c>
      <c r="P292" s="445">
        <f t="shared" si="29"/>
        <v>-0.26126126126126126</v>
      </c>
      <c r="Q292" s="445" t="e">
        <f t="shared" si="29"/>
        <v>#DIV/0!</v>
      </c>
      <c r="R292" s="445">
        <f t="shared" si="29"/>
        <v>5.835010060362178E-2</v>
      </c>
      <c r="S292" s="445" t="e">
        <f t="shared" si="29"/>
        <v>#DIV/0!</v>
      </c>
      <c r="T292" s="445">
        <f t="shared" si="29"/>
        <v>5.37313432835822E-2</v>
      </c>
      <c r="U292" s="445" t="e">
        <f t="shared" si="29"/>
        <v>#DIV/0!</v>
      </c>
      <c r="V292" s="445" t="e">
        <f t="shared" si="29"/>
        <v>#DIV/0!</v>
      </c>
      <c r="W292" s="445">
        <f t="shared" si="29"/>
        <v>0.39483653711238942</v>
      </c>
      <c r="X292" s="322"/>
      <c r="Y292" s="323" t="s">
        <v>219</v>
      </c>
      <c r="Z292" s="321"/>
      <c r="AA292" s="321"/>
    </row>
    <row r="293" spans="2:49">
      <c r="D293" s="1167">
        <f>D286/$W$286*100</f>
        <v>63.736042651644709</v>
      </c>
      <c r="E293" s="1167">
        <f t="shared" ref="E293:W293" si="30">E286/$W$286*100</f>
        <v>0</v>
      </c>
      <c r="F293" s="1167">
        <f t="shared" si="30"/>
        <v>6.9308922643597226</v>
      </c>
      <c r="G293" s="1167">
        <f t="shared" si="30"/>
        <v>0</v>
      </c>
      <c r="H293" s="1167">
        <f t="shared" si="30"/>
        <v>3.812493712906146</v>
      </c>
      <c r="I293" s="1167">
        <f t="shared" si="30"/>
        <v>0</v>
      </c>
      <c r="J293" s="1167">
        <f t="shared" si="30"/>
        <v>4.1243335680515036</v>
      </c>
      <c r="K293" s="1167">
        <f t="shared" si="30"/>
        <v>0</v>
      </c>
      <c r="L293" s="1167">
        <f t="shared" si="30"/>
        <v>9.0534151493813493</v>
      </c>
      <c r="M293" s="1167">
        <f t="shared" si="30"/>
        <v>0</v>
      </c>
      <c r="N293" s="1167">
        <f t="shared" si="30"/>
        <v>2.6757871441504881</v>
      </c>
      <c r="O293" s="1167">
        <f t="shared" si="30"/>
        <v>0</v>
      </c>
      <c r="P293" s="1167">
        <f t="shared" si="30"/>
        <v>0.82486671361030084</v>
      </c>
      <c r="Q293" s="1167">
        <f t="shared" si="30"/>
        <v>0</v>
      </c>
      <c r="R293" s="1167">
        <f t="shared" si="30"/>
        <v>5.2912181873051001</v>
      </c>
      <c r="S293" s="1167">
        <f t="shared" si="30"/>
        <v>0</v>
      </c>
      <c r="T293" s="1167">
        <f t="shared" si="30"/>
        <v>3.5509506085906848</v>
      </c>
      <c r="U293" s="1167">
        <f t="shared" si="30"/>
        <v>0</v>
      </c>
      <c r="V293" s="1167">
        <f t="shared" si="30"/>
        <v>0</v>
      </c>
      <c r="W293" s="1167">
        <f t="shared" si="30"/>
        <v>100</v>
      </c>
      <c r="X293" s="410"/>
      <c r="Y293" s="324" t="s">
        <v>204</v>
      </c>
      <c r="AA293" s="321"/>
    </row>
    <row r="294" spans="2:49"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260"/>
      <c r="AA294" s="321"/>
    </row>
    <row r="295" spans="2:49">
      <c r="D295" s="321"/>
      <c r="E295" s="321"/>
      <c r="F295" s="321"/>
      <c r="G295" s="321" t="s">
        <v>41</v>
      </c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260"/>
      <c r="AA295" s="321"/>
    </row>
    <row r="296" spans="2:49"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260"/>
      <c r="AA296" s="321"/>
    </row>
    <row r="297" spans="2:49">
      <c r="D297" s="321"/>
      <c r="E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260"/>
    </row>
    <row r="298" spans="2:49">
      <c r="D298" s="321"/>
      <c r="F298" s="321"/>
    </row>
    <row r="299" spans="2:49">
      <c r="D299" s="851" t="s">
        <v>406</v>
      </c>
      <c r="E299" s="851"/>
      <c r="F299" s="851"/>
      <c r="G299" s="851"/>
      <c r="H299" s="851"/>
      <c r="I299" s="851"/>
      <c r="J299" s="851"/>
      <c r="K299" s="851"/>
      <c r="L299" s="851"/>
      <c r="M299" s="851"/>
      <c r="O299" s="12"/>
      <c r="Q299" s="12"/>
      <c r="S299" s="12"/>
      <c r="U299" s="12"/>
    </row>
    <row r="300" spans="2:49">
      <c r="D300" s="851"/>
      <c r="E300" s="851"/>
      <c r="F300" s="851"/>
      <c r="G300" s="851"/>
      <c r="H300" s="851"/>
      <c r="I300" s="851"/>
      <c r="J300" s="851" t="s">
        <v>398</v>
      </c>
      <c r="K300" s="851"/>
      <c r="L300" s="851"/>
      <c r="M300" s="851"/>
      <c r="O300" s="12"/>
      <c r="Q300" s="12"/>
      <c r="S300" s="12"/>
      <c r="U300" s="12"/>
    </row>
    <row r="301" spans="2:49">
      <c r="D301" s="851"/>
      <c r="E301" s="851" t="s">
        <v>20</v>
      </c>
      <c r="F301" s="851"/>
      <c r="G301" s="851"/>
      <c r="H301" s="846">
        <f>D286</f>
        <v>6336</v>
      </c>
      <c r="I301" s="851"/>
      <c r="J301" s="849">
        <f>H301/H310</f>
        <v>0.63736042651644709</v>
      </c>
      <c r="K301" s="851"/>
      <c r="L301" s="851"/>
      <c r="M301" s="851"/>
      <c r="O301" s="12"/>
      <c r="Q301" s="12"/>
      <c r="S301" s="12"/>
      <c r="U301" s="12"/>
    </row>
    <row r="302" spans="2:49">
      <c r="D302" s="851"/>
      <c r="E302" s="851" t="s">
        <v>143</v>
      </c>
      <c r="F302" s="851"/>
      <c r="G302" s="851"/>
      <c r="H302" s="846">
        <f>H286</f>
        <v>379</v>
      </c>
      <c r="I302" s="851"/>
      <c r="J302" s="849">
        <f>H302/H310</f>
        <v>3.8124937129061461E-2</v>
      </c>
      <c r="K302" s="851"/>
      <c r="L302" s="851"/>
      <c r="M302" s="851"/>
      <c r="O302" s="12"/>
      <c r="Q302" s="12"/>
      <c r="S302" s="12"/>
      <c r="U302" s="12"/>
    </row>
    <row r="303" spans="2:49">
      <c r="D303" s="851"/>
      <c r="E303" s="851" t="s">
        <v>21</v>
      </c>
      <c r="F303" s="851"/>
      <c r="G303" s="851"/>
      <c r="H303" s="846">
        <f>L286</f>
        <v>900</v>
      </c>
      <c r="I303" s="851"/>
      <c r="J303" s="849">
        <f>H303/H310</f>
        <v>9.0534151493813497E-2</v>
      </c>
      <c r="K303" s="851"/>
      <c r="L303" s="851"/>
      <c r="M303" s="851"/>
      <c r="O303" s="12"/>
      <c r="Q303" s="12"/>
      <c r="S303" s="12"/>
      <c r="U303" s="12"/>
    </row>
    <row r="304" spans="2:49">
      <c r="D304" s="851"/>
      <c r="E304" s="851" t="s">
        <v>142</v>
      </c>
      <c r="F304" s="851"/>
      <c r="G304" s="851"/>
      <c r="H304" s="846">
        <f>F286</f>
        <v>689</v>
      </c>
      <c r="I304" s="851"/>
      <c r="J304" s="849">
        <f>H304/H310</f>
        <v>6.9308922643597226E-2</v>
      </c>
      <c r="K304" s="851"/>
      <c r="L304" s="851"/>
      <c r="M304" s="851"/>
      <c r="O304" s="12"/>
      <c r="Q304" s="12"/>
      <c r="S304" s="12"/>
      <c r="U304" s="12"/>
    </row>
    <row r="305" spans="4:21">
      <c r="D305" s="851"/>
      <c r="E305" s="851" t="s">
        <v>407</v>
      </c>
      <c r="F305" s="851"/>
      <c r="G305" s="851"/>
      <c r="H305" s="846">
        <f>J286</f>
        <v>410</v>
      </c>
      <c r="I305" s="851"/>
      <c r="J305" s="849">
        <f>H305/H310</f>
        <v>4.1243335680515039E-2</v>
      </c>
      <c r="K305" s="851"/>
      <c r="L305" s="851"/>
      <c r="M305" s="851"/>
      <c r="O305" s="12"/>
      <c r="Q305" s="12"/>
      <c r="S305" s="12"/>
      <c r="U305" s="12"/>
    </row>
    <row r="306" spans="4:21">
      <c r="D306" s="851"/>
      <c r="E306" s="851" t="s">
        <v>145</v>
      </c>
      <c r="F306" s="851"/>
      <c r="G306" s="851"/>
      <c r="H306" s="846">
        <f>N286</f>
        <v>266</v>
      </c>
      <c r="I306" s="851"/>
      <c r="J306" s="849">
        <f>H306/H310</f>
        <v>2.675787144150488E-2</v>
      </c>
      <c r="K306" s="851"/>
      <c r="L306" s="851"/>
      <c r="M306" s="851"/>
      <c r="O306" s="12"/>
      <c r="Q306" s="12"/>
      <c r="S306" s="12"/>
      <c r="U306" s="12"/>
    </row>
    <row r="307" spans="4:21">
      <c r="D307" s="851"/>
      <c r="E307" s="851" t="s">
        <v>22</v>
      </c>
      <c r="F307" s="851"/>
      <c r="G307" s="851"/>
      <c r="H307" s="846">
        <f>P286</f>
        <v>82</v>
      </c>
      <c r="I307" s="851"/>
      <c r="J307" s="849">
        <f>H307/H310</f>
        <v>8.2486671361030085E-3</v>
      </c>
      <c r="K307" s="851"/>
      <c r="L307" s="851"/>
      <c r="M307" s="851"/>
      <c r="O307" s="12"/>
      <c r="Q307" s="12"/>
      <c r="S307" s="12"/>
      <c r="U307" s="12"/>
    </row>
    <row r="308" spans="4:21">
      <c r="D308" s="851"/>
      <c r="E308" s="851" t="s">
        <v>238</v>
      </c>
      <c r="F308" s="851"/>
      <c r="G308" s="851"/>
      <c r="H308" s="846">
        <f>R286</f>
        <v>526</v>
      </c>
      <c r="I308" s="851"/>
      <c r="J308" s="849">
        <f>H308/H310</f>
        <v>5.2912181873051002E-2</v>
      </c>
      <c r="K308" s="851"/>
      <c r="L308" s="851"/>
      <c r="M308" s="851"/>
      <c r="O308" s="12"/>
      <c r="Q308" s="12"/>
      <c r="S308" s="12"/>
      <c r="U308" s="12"/>
    </row>
    <row r="309" spans="4:21">
      <c r="D309" s="851"/>
      <c r="E309" s="851" t="s">
        <v>146</v>
      </c>
      <c r="F309" s="851"/>
      <c r="G309" s="851"/>
      <c r="H309" s="846">
        <f>T286</f>
        <v>353</v>
      </c>
      <c r="I309" s="851"/>
      <c r="J309" s="849">
        <f>H309/H310</f>
        <v>3.5509506085906847E-2</v>
      </c>
      <c r="K309" s="851"/>
      <c r="L309" s="851"/>
      <c r="M309" s="851"/>
      <c r="O309" s="12"/>
      <c r="Q309" s="12"/>
      <c r="S309" s="12"/>
      <c r="U309" s="12"/>
    </row>
    <row r="310" spans="4:21">
      <c r="D310" s="851"/>
      <c r="E310" s="851"/>
      <c r="F310" s="852" t="s">
        <v>19</v>
      </c>
      <c r="G310" s="851"/>
      <c r="H310" s="854">
        <f>SUM(H301:I309)</f>
        <v>9941</v>
      </c>
      <c r="I310" s="851"/>
      <c r="J310" s="851"/>
      <c r="K310" s="851"/>
      <c r="L310" s="851"/>
      <c r="M310" s="851"/>
      <c r="O310" s="12"/>
      <c r="Q310" s="12"/>
      <c r="S310" s="12"/>
      <c r="U310" s="12"/>
    </row>
    <row r="311" spans="4:21">
      <c r="D311" s="851"/>
      <c r="E311" s="851"/>
      <c r="F311" s="851"/>
      <c r="G311" s="851"/>
      <c r="H311" s="851"/>
      <c r="I311" s="851"/>
      <c r="J311" s="851"/>
      <c r="K311" s="851"/>
      <c r="L311" s="851"/>
      <c r="M311" s="851"/>
      <c r="O311" s="12"/>
      <c r="Q311" s="12"/>
      <c r="S311" s="12"/>
      <c r="U311" s="12"/>
    </row>
  </sheetData>
  <mergeCells count="6">
    <mergeCell ref="T4:T5"/>
    <mergeCell ref="D4:D5"/>
    <mergeCell ref="F4:F5"/>
    <mergeCell ref="H4:H5"/>
    <mergeCell ref="J4:J5"/>
    <mergeCell ref="N4:N5"/>
  </mergeCells>
  <phoneticPr fontId="13" type="noConversion"/>
  <conditionalFormatting sqref="D293:X29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91 D291:W292">
    <cfRule type="iconSet" priority="5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59055118110236227" right="0.35433070866141736" top="1.0236220472440944" bottom="0.19685039370078741" header="0.19685039370078741" footer="0.23622047244094491"/>
  <pageSetup paperSize="9" scale="75" fitToWidth="0" fitToHeight="0" orientation="landscape" r:id="rId1"/>
  <headerFooter alignWithMargins="0">
    <oddHeader>&amp;LVanuatu National Statistics Office    &amp;RInternational Arrival Statistics September 2021</oddHeader>
    <oddFooter>&amp;C&amp;"Times New Roman,Regular"&amp;8Page 6</oddFooter>
  </headerFooter>
  <ignoredErrors>
    <ignoredError sqref="W88:W102 W86" emptyCellReferenc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1:AE299"/>
  <sheetViews>
    <sheetView showGridLines="0" topLeftCell="A4" zoomScaleNormal="100" workbookViewId="0">
      <selection activeCell="R294" sqref="R294"/>
    </sheetView>
  </sheetViews>
  <sheetFormatPr defaultRowHeight="12.75"/>
  <cols>
    <col min="1" max="1" width="4.7109375" customWidth="1"/>
    <col min="2" max="2" width="10.7109375" customWidth="1"/>
    <col min="3" max="3" width="8.28515625" style="2" customWidth="1"/>
    <col min="4" max="4" width="10.7109375" customWidth="1"/>
    <col min="5" max="5" width="1.7109375" customWidth="1"/>
    <col min="6" max="6" width="10.5703125" customWidth="1"/>
    <col min="7" max="7" width="1.28515625" customWidth="1"/>
    <col min="8" max="8" width="10.7109375" customWidth="1"/>
    <col min="9" max="9" width="2.42578125" customWidth="1"/>
    <col min="10" max="10" width="10.7109375" customWidth="1"/>
    <col min="11" max="11" width="2.42578125" customWidth="1"/>
    <col min="12" max="12" width="10.7109375" customWidth="1"/>
    <col min="13" max="13" width="1.85546875" customWidth="1"/>
    <col min="14" max="14" width="10.7109375" customWidth="1"/>
    <col min="15" max="15" width="1.5703125" customWidth="1"/>
    <col min="16" max="16" width="10.7109375" customWidth="1"/>
    <col min="17" max="17" width="1.5703125" customWidth="1"/>
    <col min="18" max="18" width="10.7109375" customWidth="1"/>
    <col min="19" max="19" width="1.85546875" customWidth="1"/>
    <col min="20" max="20" width="13.140625" customWidth="1"/>
    <col min="21" max="21" width="4.28515625" hidden="1" customWidth="1"/>
    <col min="22" max="22" width="2.5703125" hidden="1" customWidth="1"/>
    <col min="23" max="23" width="2.42578125" customWidth="1"/>
    <col min="24" max="24" width="8.85546875" customWidth="1"/>
    <col min="25" max="25" width="2.5703125" customWidth="1"/>
    <col min="26" max="26" width="9.85546875" style="131" customWidth="1"/>
    <col min="27" max="27" width="8.140625" customWidth="1"/>
  </cols>
  <sheetData>
    <row r="1" spans="2:27" s="5" customFormat="1" ht="16.5" customHeight="1">
      <c r="B1" s="66" t="s">
        <v>135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29"/>
      <c r="AA1" s="9"/>
    </row>
    <row r="2" spans="2:27" s="5" customFormat="1" ht="17.25" customHeight="1">
      <c r="B2" s="66" t="s">
        <v>116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29"/>
      <c r="AA2" s="9"/>
    </row>
    <row r="3" spans="2:27" ht="10.5" customHeight="1">
      <c r="Z3" s="76"/>
      <c r="AA3" s="12"/>
    </row>
    <row r="4" spans="2:27" s="111" customFormat="1" ht="2.25" customHeight="1">
      <c r="B4" s="608"/>
      <c r="C4" s="730"/>
      <c r="D4" s="608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607"/>
      <c r="R4" s="607"/>
      <c r="S4" s="607"/>
      <c r="T4" s="607"/>
      <c r="U4" s="607"/>
      <c r="V4" s="610"/>
      <c r="W4" s="608"/>
      <c r="X4" s="607"/>
      <c r="Y4" s="610"/>
      <c r="Z4" s="745"/>
      <c r="AA4" s="611"/>
    </row>
    <row r="5" spans="2:27" s="12" customFormat="1" ht="15.75" customHeight="1">
      <c r="B5" s="11"/>
      <c r="D5" s="11"/>
      <c r="J5" s="728"/>
      <c r="K5" s="728"/>
      <c r="L5" s="682" t="s">
        <v>11</v>
      </c>
      <c r="M5" s="682"/>
      <c r="P5" s="682" t="s">
        <v>40</v>
      </c>
      <c r="Q5" s="682"/>
      <c r="R5" s="682" t="s">
        <v>27</v>
      </c>
      <c r="S5" s="682"/>
      <c r="T5" s="682" t="s">
        <v>12</v>
      </c>
      <c r="U5" s="683" t="s">
        <v>13</v>
      </c>
      <c r="V5" s="606"/>
      <c r="Y5" s="71"/>
      <c r="Z5" s="76"/>
      <c r="AA5" s="71"/>
    </row>
    <row r="6" spans="2:27" s="12" customFormat="1" ht="11.25" customHeight="1">
      <c r="B6" s="68"/>
      <c r="C6" s="76"/>
      <c r="D6" s="772" t="s">
        <v>7</v>
      </c>
      <c r="E6" s="682"/>
      <c r="F6" s="682" t="s">
        <v>8</v>
      </c>
      <c r="G6" s="682"/>
      <c r="H6" s="682" t="s">
        <v>9</v>
      </c>
      <c r="I6" s="682"/>
      <c r="J6" s="682" t="s">
        <v>10</v>
      </c>
      <c r="K6" s="682"/>
      <c r="L6" s="682" t="s">
        <v>44</v>
      </c>
      <c r="M6" s="682"/>
      <c r="N6" s="682" t="s">
        <v>103</v>
      </c>
      <c r="O6" s="682"/>
      <c r="P6" s="682" t="s">
        <v>104</v>
      </c>
      <c r="Q6" s="682"/>
      <c r="R6" s="682" t="s">
        <v>136</v>
      </c>
      <c r="S6" s="682"/>
      <c r="T6" s="682" t="s">
        <v>110</v>
      </c>
      <c r="U6" s="682" t="s">
        <v>16</v>
      </c>
      <c r="V6" s="106"/>
      <c r="W6" s="682"/>
      <c r="X6" s="682" t="s">
        <v>14</v>
      </c>
      <c r="Y6" s="71"/>
      <c r="Z6" s="76"/>
      <c r="AA6" s="71"/>
    </row>
    <row r="7" spans="2:27" s="12" customFormat="1" ht="4.5" customHeight="1">
      <c r="B7" s="68"/>
      <c r="C7" s="76"/>
      <c r="D7" s="77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  <c r="P7" s="682"/>
      <c r="Q7" s="682"/>
      <c r="R7" s="682"/>
      <c r="S7" s="682"/>
      <c r="T7" s="682"/>
      <c r="U7" s="682"/>
      <c r="V7" s="106"/>
      <c r="W7" s="682"/>
      <c r="X7" s="682"/>
      <c r="Y7" s="71"/>
      <c r="Z7" s="76"/>
      <c r="AA7" s="71"/>
    </row>
    <row r="8" spans="2:27" s="12" customFormat="1" ht="13.5" customHeight="1">
      <c r="B8" s="68" t="s">
        <v>75</v>
      </c>
      <c r="C8" s="605" t="s">
        <v>120</v>
      </c>
      <c r="D8" s="772"/>
      <c r="E8" s="682"/>
      <c r="F8" s="682" t="s">
        <v>100</v>
      </c>
      <c r="G8" s="682"/>
      <c r="H8" s="682" t="s">
        <v>101</v>
      </c>
      <c r="I8" s="682"/>
      <c r="J8" s="682" t="s">
        <v>102</v>
      </c>
      <c r="K8" s="682"/>
      <c r="L8" s="682" t="s">
        <v>117</v>
      </c>
      <c r="M8" s="682"/>
      <c r="N8" s="682" t="s">
        <v>105</v>
      </c>
      <c r="O8" s="682"/>
      <c r="P8" s="76" t="s">
        <v>107</v>
      </c>
      <c r="Q8" s="76"/>
      <c r="R8" s="682" t="s">
        <v>108</v>
      </c>
      <c r="S8" s="682"/>
      <c r="T8" s="682" t="s">
        <v>93</v>
      </c>
      <c r="U8" s="682" t="s">
        <v>95</v>
      </c>
      <c r="V8" s="106"/>
      <c r="W8" s="682"/>
      <c r="X8" s="682"/>
      <c r="Y8" s="71"/>
      <c r="Z8" s="76" t="s">
        <v>76</v>
      </c>
      <c r="AA8" s="71" t="s">
        <v>121</v>
      </c>
    </row>
    <row r="9" spans="2:27" s="12" customFormat="1" ht="17.25" customHeight="1">
      <c r="B9" s="104"/>
      <c r="C9" s="103"/>
      <c r="D9" s="108"/>
      <c r="E9" s="682"/>
      <c r="F9" s="101"/>
      <c r="G9" s="682"/>
      <c r="H9" s="101"/>
      <c r="I9" s="682"/>
      <c r="J9" s="101"/>
      <c r="K9" s="682"/>
      <c r="L9" s="102" t="s">
        <v>109</v>
      </c>
      <c r="M9" s="1079"/>
      <c r="N9" s="109"/>
      <c r="O9" s="1140"/>
      <c r="P9" s="109" t="s">
        <v>106</v>
      </c>
      <c r="Q9" s="1140"/>
      <c r="R9" s="102" t="s">
        <v>90</v>
      </c>
      <c r="S9" s="1079"/>
      <c r="T9" s="102" t="s">
        <v>94</v>
      </c>
      <c r="U9" s="102" t="s">
        <v>96</v>
      </c>
      <c r="V9" s="110"/>
      <c r="W9" s="76"/>
      <c r="X9" s="105"/>
      <c r="Y9" s="7"/>
      <c r="Z9" s="105"/>
      <c r="AA9" s="7"/>
    </row>
    <row r="10" spans="2:27" s="12" customFormat="1" ht="12.75" hidden="1" customHeight="1">
      <c r="B10" s="68">
        <v>2005</v>
      </c>
      <c r="D10" s="284">
        <f>SUM(D32:D43)</f>
        <v>7588</v>
      </c>
      <c r="E10" s="353"/>
      <c r="F10" s="89">
        <f t="shared" ref="F10:X10" si="0">SUM(F32:F43)</f>
        <v>2575</v>
      </c>
      <c r="G10" s="353"/>
      <c r="H10" s="89">
        <f t="shared" si="0"/>
        <v>1374</v>
      </c>
      <c r="I10" s="353"/>
      <c r="J10" s="89">
        <f t="shared" si="0"/>
        <v>215</v>
      </c>
      <c r="K10" s="353"/>
      <c r="L10" s="89">
        <f t="shared" si="0"/>
        <v>755</v>
      </c>
      <c r="M10" s="353"/>
      <c r="N10" s="89">
        <f t="shared" si="0"/>
        <v>322</v>
      </c>
      <c r="O10" s="353"/>
      <c r="P10" s="89">
        <f t="shared" si="0"/>
        <v>486</v>
      </c>
      <c r="Q10" s="353"/>
      <c r="R10" s="89">
        <f t="shared" si="0"/>
        <v>304</v>
      </c>
      <c r="S10" s="353"/>
      <c r="T10" s="89">
        <f t="shared" si="0"/>
        <v>192</v>
      </c>
      <c r="U10" s="284">
        <f t="shared" si="0"/>
        <v>4</v>
      </c>
      <c r="V10" s="284">
        <f t="shared" si="0"/>
        <v>0</v>
      </c>
      <c r="W10" s="353"/>
      <c r="X10" s="89">
        <f t="shared" si="0"/>
        <v>13815</v>
      </c>
      <c r="Y10" s="71"/>
      <c r="Z10" s="76"/>
      <c r="AA10" s="71"/>
    </row>
    <row r="11" spans="2:27" s="12" customFormat="1" ht="12.75" hidden="1" customHeight="1">
      <c r="B11" s="68">
        <v>2006</v>
      </c>
      <c r="D11" s="284">
        <f>SUM(D44:D55)</f>
        <v>7380</v>
      </c>
      <c r="E11" s="89"/>
      <c r="F11" s="89">
        <f t="shared" ref="F11:X11" si="1">SUM(F44:F55)</f>
        <v>3280</v>
      </c>
      <c r="G11" s="89"/>
      <c r="H11" s="89">
        <f t="shared" si="1"/>
        <v>1372</v>
      </c>
      <c r="I11" s="89"/>
      <c r="J11" s="89">
        <f t="shared" si="1"/>
        <v>231</v>
      </c>
      <c r="K11" s="89"/>
      <c r="L11" s="89">
        <f t="shared" si="1"/>
        <v>1017</v>
      </c>
      <c r="M11" s="89"/>
      <c r="N11" s="89">
        <f t="shared" si="1"/>
        <v>373</v>
      </c>
      <c r="O11" s="89"/>
      <c r="P11" s="89">
        <f t="shared" si="1"/>
        <v>675</v>
      </c>
      <c r="Q11" s="89"/>
      <c r="R11" s="89">
        <f t="shared" si="1"/>
        <v>400</v>
      </c>
      <c r="S11" s="89"/>
      <c r="T11" s="89">
        <f t="shared" si="1"/>
        <v>198</v>
      </c>
      <c r="U11" s="284">
        <f t="shared" si="1"/>
        <v>0</v>
      </c>
      <c r="V11" s="284">
        <f t="shared" si="1"/>
        <v>0</v>
      </c>
      <c r="W11" s="89"/>
      <c r="X11" s="89">
        <f t="shared" si="1"/>
        <v>14926</v>
      </c>
      <c r="Y11" s="71"/>
      <c r="Z11" s="76"/>
      <c r="AA11" s="71"/>
    </row>
    <row r="12" spans="2:27" s="12" customFormat="1" ht="12.75" hidden="1" customHeight="1">
      <c r="B12" s="68">
        <v>2007</v>
      </c>
      <c r="D12" s="284">
        <f>SUM(D56:D67)</f>
        <v>7227.3649022003892</v>
      </c>
      <c r="E12" s="89"/>
      <c r="F12" s="89">
        <f t="shared" ref="F12:X12" si="2">SUM(F56:F67)</f>
        <v>2885.5315993926451</v>
      </c>
      <c r="G12" s="89"/>
      <c r="H12" s="89">
        <f t="shared" si="2"/>
        <v>1271.052393619831</v>
      </c>
      <c r="I12" s="89"/>
      <c r="J12" s="89">
        <f t="shared" si="2"/>
        <v>99.952396238779997</v>
      </c>
      <c r="K12" s="89"/>
      <c r="L12" s="89">
        <f t="shared" si="2"/>
        <v>963.03102672927571</v>
      </c>
      <c r="M12" s="89"/>
      <c r="N12" s="89">
        <f t="shared" si="2"/>
        <v>288.12460030039057</v>
      </c>
      <c r="O12" s="89"/>
      <c r="P12" s="89">
        <f t="shared" si="2"/>
        <v>400.28338693158497</v>
      </c>
      <c r="Q12" s="89"/>
      <c r="R12" s="89">
        <f t="shared" si="2"/>
        <v>430.67531475159342</v>
      </c>
      <c r="S12" s="89"/>
      <c r="T12" s="89">
        <f t="shared" si="2"/>
        <v>152.98437983551074</v>
      </c>
      <c r="U12" s="284">
        <f t="shared" si="2"/>
        <v>0</v>
      </c>
      <c r="V12" s="284">
        <f t="shared" si="2"/>
        <v>0</v>
      </c>
      <c r="W12" s="89"/>
      <c r="X12" s="89">
        <f t="shared" si="2"/>
        <v>13719</v>
      </c>
      <c r="Y12" s="71"/>
      <c r="Z12" s="76"/>
      <c r="AA12" s="71"/>
    </row>
    <row r="13" spans="2:27" s="12" customFormat="1" ht="12.75" hidden="1" customHeight="1">
      <c r="B13" s="68">
        <v>2008</v>
      </c>
      <c r="D13" s="772"/>
      <c r="E13" s="682"/>
      <c r="F13" s="682"/>
      <c r="G13" s="682"/>
      <c r="H13" s="682"/>
      <c r="I13" s="682"/>
      <c r="J13" s="682"/>
      <c r="K13" s="682"/>
      <c r="L13" s="1079"/>
      <c r="M13" s="1079"/>
      <c r="N13" s="1140"/>
      <c r="O13" s="1140"/>
      <c r="P13" s="1140"/>
      <c r="Q13" s="1140"/>
      <c r="R13" s="1079"/>
      <c r="S13" s="1079"/>
      <c r="T13" s="1079"/>
      <c r="U13" s="1079"/>
      <c r="V13" s="76"/>
      <c r="W13" s="76"/>
      <c r="X13" s="76"/>
      <c r="Y13" s="71"/>
      <c r="Z13" s="76"/>
      <c r="AA13" s="71"/>
    </row>
    <row r="14" spans="2:27" s="12" customFormat="1" ht="12.75" hidden="1" customHeight="1">
      <c r="B14" s="68">
        <v>2009</v>
      </c>
      <c r="D14" s="85">
        <f>SUM(D80:D91)</f>
        <v>11527.09804653432</v>
      </c>
      <c r="E14" s="78"/>
      <c r="F14" s="78">
        <f>SUM(F80:F91)</f>
        <v>3378.1336212441684</v>
      </c>
      <c r="G14" s="78"/>
      <c r="H14" s="78">
        <f>SUM(H80:H91)</f>
        <v>1736.0463313417924</v>
      </c>
      <c r="I14" s="78"/>
      <c r="J14" s="78">
        <f>SUM(J80:J91)</f>
        <v>135.66574893543509</v>
      </c>
      <c r="K14" s="78"/>
      <c r="L14" s="78">
        <f>SUM(L80:L91)</f>
        <v>1246.2430283943936</v>
      </c>
      <c r="M14" s="78"/>
      <c r="N14" s="78">
        <f>SUM(N80:N91)</f>
        <v>405.72920433976782</v>
      </c>
      <c r="O14" s="78"/>
      <c r="P14" s="78">
        <f>SUM(P80:P91)</f>
        <v>566.53325926063258</v>
      </c>
      <c r="Q14" s="78"/>
      <c r="R14" s="78">
        <f>SUM(R80:R91)</f>
        <v>412.24178008624813</v>
      </c>
      <c r="S14" s="78"/>
      <c r="T14" s="78">
        <f>SUM(T80:T91)</f>
        <v>274.93683820879511</v>
      </c>
      <c r="U14" s="85">
        <f>SUM(U80:U91)</f>
        <v>0</v>
      </c>
      <c r="V14" s="85">
        <f>SUM(V80:V91)</f>
        <v>0</v>
      </c>
      <c r="W14" s="78"/>
      <c r="X14" s="78">
        <f>SUM(X80:X91)</f>
        <v>19682.627858345557</v>
      </c>
      <c r="Y14" s="71"/>
      <c r="Z14" s="76">
        <v>2009</v>
      </c>
      <c r="AA14" s="71"/>
    </row>
    <row r="15" spans="2:27" s="12" customFormat="1" ht="12.75" hidden="1" customHeight="1">
      <c r="B15" s="68">
        <v>2010</v>
      </c>
      <c r="D15" s="284">
        <f>SUM(D92:D103)</f>
        <v>11794.391313319771</v>
      </c>
      <c r="E15" s="89"/>
      <c r="F15" s="89">
        <f>SUM(F92:F103)</f>
        <v>3699.5535515199376</v>
      </c>
      <c r="G15" s="89"/>
      <c r="H15" s="89">
        <f>SUM(H92:H103)</f>
        <v>1894.2068700140881</v>
      </c>
      <c r="I15" s="89"/>
      <c r="J15" s="89">
        <f>SUM(J92:J103)</f>
        <v>132.11937218975743</v>
      </c>
      <c r="K15" s="89"/>
      <c r="L15" s="89">
        <f>SUM(L92:L103)</f>
        <v>1436.2446591158925</v>
      </c>
      <c r="M15" s="89"/>
      <c r="N15" s="89">
        <f>SUM(N92:N103)</f>
        <v>503.55873046128721</v>
      </c>
      <c r="O15" s="89"/>
      <c r="P15" s="89">
        <f>SUM(P92:P103)</f>
        <v>767.73487563106346</v>
      </c>
      <c r="Q15" s="89"/>
      <c r="R15" s="89">
        <f>SUM(R92:R103)</f>
        <v>495.82489557290779</v>
      </c>
      <c r="S15" s="89"/>
      <c r="T15" s="89">
        <f>SUM(T92:T103)</f>
        <v>329.51095007296328</v>
      </c>
      <c r="U15" s="284">
        <f>SUM(U92:U103)</f>
        <v>0</v>
      </c>
      <c r="V15" s="284">
        <f>SUM(V92:V103)</f>
        <v>0</v>
      </c>
      <c r="W15" s="89"/>
      <c r="X15" s="89">
        <f>SUM(X92:X103)</f>
        <v>21053.145217897669</v>
      </c>
      <c r="Y15" s="71"/>
      <c r="Z15" s="76">
        <v>2010</v>
      </c>
      <c r="AA15" s="71"/>
    </row>
    <row r="16" spans="2:27" s="12" customFormat="1" ht="12.75" hidden="1" customHeight="1">
      <c r="B16" s="68">
        <v>2011</v>
      </c>
      <c r="D16" s="284">
        <f>SUM(D104:D115)</f>
        <v>12508</v>
      </c>
      <c r="E16" s="89"/>
      <c r="F16" s="89">
        <f>SUM(F104:F115)</f>
        <v>3867</v>
      </c>
      <c r="G16" s="89"/>
      <c r="H16" s="89">
        <f>SUM(H104:H115)</f>
        <v>1802</v>
      </c>
      <c r="I16" s="89"/>
      <c r="J16" s="89">
        <f>SUM(J104:J115)</f>
        <v>244</v>
      </c>
      <c r="K16" s="89"/>
      <c r="L16" s="89">
        <f>SUM(L104:L115)</f>
        <v>1370</v>
      </c>
      <c r="M16" s="89"/>
      <c r="N16" s="89">
        <f>SUM(N104:N115)</f>
        <v>719</v>
      </c>
      <c r="O16" s="89"/>
      <c r="P16" s="89">
        <f>SUM(P104:P115)</f>
        <v>1090</v>
      </c>
      <c r="Q16" s="89"/>
      <c r="R16" s="89">
        <f>SUM(R104:R115)</f>
        <v>352</v>
      </c>
      <c r="S16" s="89"/>
      <c r="T16" s="89">
        <f>SUM(T104:T115)</f>
        <v>321</v>
      </c>
      <c r="U16" s="284">
        <f>SUM(U104:U115)</f>
        <v>0</v>
      </c>
      <c r="V16" s="284">
        <f>SUM(V104:V115)</f>
        <v>0</v>
      </c>
      <c r="W16" s="89"/>
      <c r="X16" s="89">
        <f>SUM(X104:X115)</f>
        <v>22273</v>
      </c>
      <c r="Y16" s="71"/>
      <c r="Z16" s="76">
        <v>2011</v>
      </c>
      <c r="AA16" s="71"/>
    </row>
    <row r="17" spans="2:27" s="12" customFormat="1" ht="12.75" hidden="1" customHeight="1">
      <c r="B17" s="68">
        <v>2012</v>
      </c>
      <c r="D17" s="284">
        <f>SUM(D116:D127)</f>
        <v>14317</v>
      </c>
      <c r="E17" s="89"/>
      <c r="F17" s="89">
        <f>SUM(F116:F127)</f>
        <v>3629</v>
      </c>
      <c r="G17" s="89"/>
      <c r="H17" s="89">
        <f>SUM(H116:H127)</f>
        <v>1526</v>
      </c>
      <c r="I17" s="89"/>
      <c r="J17" s="89">
        <f>SUM(J116:J127)</f>
        <v>203</v>
      </c>
      <c r="K17" s="89"/>
      <c r="L17" s="89">
        <f>SUM(L116:L127)</f>
        <v>1236</v>
      </c>
      <c r="M17" s="89"/>
      <c r="N17" s="89">
        <f>SUM(N116:N127)</f>
        <v>696</v>
      </c>
      <c r="O17" s="89"/>
      <c r="P17" s="89">
        <f>SUM(P116:P127)</f>
        <v>686</v>
      </c>
      <c r="Q17" s="89"/>
      <c r="R17" s="89">
        <f>SUM(R116:R127)</f>
        <v>370</v>
      </c>
      <c r="S17" s="89"/>
      <c r="T17" s="89">
        <f>SUM(T116:T127)</f>
        <v>295</v>
      </c>
      <c r="U17" s="284">
        <f>SUM(U116:U127)</f>
        <v>0</v>
      </c>
      <c r="V17" s="284">
        <f>SUM(V116:V127)</f>
        <v>0</v>
      </c>
      <c r="W17" s="89"/>
      <c r="X17" s="89">
        <f>SUM(X116:X127)</f>
        <v>22958</v>
      </c>
      <c r="Y17" s="71"/>
      <c r="Z17" s="76">
        <v>2012</v>
      </c>
      <c r="AA17" s="71"/>
    </row>
    <row r="18" spans="2:27" s="12" customFormat="1" ht="12.75" hidden="1" customHeight="1">
      <c r="B18" s="68">
        <v>2013</v>
      </c>
      <c r="D18" s="284">
        <f>SUM(D128:D139)</f>
        <v>15410</v>
      </c>
      <c r="E18" s="89"/>
      <c r="F18" s="89">
        <f>SUM(F128:F139)</f>
        <v>4096</v>
      </c>
      <c r="G18" s="89"/>
      <c r="H18" s="89">
        <f>SUM(H128:H139)</f>
        <v>1782</v>
      </c>
      <c r="I18" s="89"/>
      <c r="J18" s="89">
        <f>SUM(J128:J139)</f>
        <v>167</v>
      </c>
      <c r="K18" s="89"/>
      <c r="L18" s="89">
        <f>SUM(L128:L139)</f>
        <v>1293</v>
      </c>
      <c r="M18" s="89"/>
      <c r="N18" s="89">
        <f>SUM(N128:N139)</f>
        <v>915</v>
      </c>
      <c r="O18" s="89"/>
      <c r="P18" s="89">
        <f>SUM(P128:P139)</f>
        <v>1007</v>
      </c>
      <c r="Q18" s="89"/>
      <c r="R18" s="89">
        <f>SUM(R128:R139)</f>
        <v>566</v>
      </c>
      <c r="S18" s="89"/>
      <c r="T18" s="89">
        <f>SUM(T128:T139)</f>
        <v>375</v>
      </c>
      <c r="U18" s="89">
        <f>SUM(U128:U139)</f>
        <v>0</v>
      </c>
      <c r="V18" s="89">
        <f>SUM(V128:V139)</f>
        <v>0</v>
      </c>
      <c r="W18" s="89"/>
      <c r="X18" s="89">
        <f>SUM(X128:X139)</f>
        <v>25611</v>
      </c>
      <c r="Y18" s="71"/>
      <c r="Z18" s="76">
        <v>2013</v>
      </c>
      <c r="AA18" s="71"/>
    </row>
    <row r="19" spans="2:27" s="12" customFormat="1" ht="12.75" hidden="1" customHeight="1">
      <c r="B19" s="68">
        <v>2014</v>
      </c>
      <c r="D19" s="284">
        <f>SUM(D140:D151)</f>
        <v>15044</v>
      </c>
      <c r="E19" s="89"/>
      <c r="F19" s="89">
        <f>SUM(F140:F151)</f>
        <v>4297</v>
      </c>
      <c r="G19" s="89"/>
      <c r="H19" s="89">
        <f>SUM(H140:H151)</f>
        <v>1934</v>
      </c>
      <c r="I19" s="89"/>
      <c r="J19" s="89">
        <f>SUM(J140:J151)</f>
        <v>104</v>
      </c>
      <c r="K19" s="89"/>
      <c r="L19" s="89">
        <f>SUM(L140:L151)</f>
        <v>1274</v>
      </c>
      <c r="M19" s="89"/>
      <c r="N19" s="89">
        <f>SUM(N140:N151)</f>
        <v>966</v>
      </c>
      <c r="O19" s="89"/>
      <c r="P19" s="89">
        <f>SUM(P140:P151)</f>
        <v>1161</v>
      </c>
      <c r="Q19" s="89"/>
      <c r="R19" s="89">
        <f>SUM(R140:R151)</f>
        <v>690</v>
      </c>
      <c r="S19" s="89"/>
      <c r="T19" s="89">
        <f>SUM(T140:T151)</f>
        <v>414</v>
      </c>
      <c r="U19" s="89">
        <f>SUM(U140:U151)</f>
        <v>0</v>
      </c>
      <c r="V19" s="89">
        <f>SUM(V140:V151)</f>
        <v>0</v>
      </c>
      <c r="W19" s="89"/>
      <c r="X19" s="89">
        <f>SUM(X140:X151)</f>
        <v>25884</v>
      </c>
      <c r="Y19" s="71"/>
      <c r="Z19" s="76">
        <v>2014</v>
      </c>
      <c r="AA19" s="71"/>
    </row>
    <row r="20" spans="2:27" s="12" customFormat="1" ht="12.75" hidden="1" customHeight="1">
      <c r="B20" s="68">
        <v>2015</v>
      </c>
      <c r="D20" s="284">
        <f>SUM(D152:D163)</f>
        <v>17406</v>
      </c>
      <c r="E20" s="89"/>
      <c r="F20" s="89">
        <f>SUM(F152:F163)</f>
        <v>3557</v>
      </c>
      <c r="G20" s="89"/>
      <c r="H20" s="89">
        <f>SUM(H152:H163)</f>
        <v>1672</v>
      </c>
      <c r="I20" s="89"/>
      <c r="J20" s="89">
        <f>SUM(J152:J163)</f>
        <v>95</v>
      </c>
      <c r="K20" s="89"/>
      <c r="L20" s="89">
        <f>SUM(L152:L163)</f>
        <v>1206</v>
      </c>
      <c r="M20" s="89"/>
      <c r="N20" s="89">
        <f>SUM(N152:N163)</f>
        <v>1008</v>
      </c>
      <c r="O20" s="89"/>
      <c r="P20" s="89">
        <f>SUM(P152:P163)</f>
        <v>1045</v>
      </c>
      <c r="Q20" s="89"/>
      <c r="R20" s="89">
        <f>SUM(R152:R163)</f>
        <v>569</v>
      </c>
      <c r="S20" s="89"/>
      <c r="T20" s="89">
        <f>SUM(T152:T163)</f>
        <v>404</v>
      </c>
      <c r="U20" s="89">
        <f>SUM(U152:U163)</f>
        <v>0</v>
      </c>
      <c r="V20" s="89">
        <f>SUM(V152:V163)</f>
        <v>0</v>
      </c>
      <c r="W20" s="89"/>
      <c r="X20" s="89">
        <f>SUM(X152:X163)</f>
        <v>26962</v>
      </c>
      <c r="Y20" s="71"/>
      <c r="Z20" s="76">
        <v>2015</v>
      </c>
      <c r="AA20" s="71"/>
    </row>
    <row r="21" spans="2:27" s="12" customFormat="1" ht="12.75" hidden="1" customHeight="1">
      <c r="B21" s="68">
        <v>2016</v>
      </c>
      <c r="D21" s="284">
        <f>SUM(D164:D175)</f>
        <v>18511</v>
      </c>
      <c r="E21" s="89"/>
      <c r="F21" s="89">
        <f>SUM(F164:F175)</f>
        <v>2516</v>
      </c>
      <c r="G21" s="89"/>
      <c r="H21" s="89">
        <f>SUM(H164:H175)</f>
        <v>1120</v>
      </c>
      <c r="I21" s="89"/>
      <c r="J21" s="89">
        <f>SUM(J164:J175)</f>
        <v>164</v>
      </c>
      <c r="K21" s="89"/>
      <c r="L21" s="89">
        <f>SUM(L164:L175)</f>
        <v>855</v>
      </c>
      <c r="M21" s="89"/>
      <c r="N21" s="89">
        <f>SUM(N164:N175)</f>
        <v>741</v>
      </c>
      <c r="O21" s="89"/>
      <c r="P21" s="89">
        <f>SUM(P164:P175)</f>
        <v>645</v>
      </c>
      <c r="Q21" s="89"/>
      <c r="R21" s="89">
        <f>SUM(R164:R175)</f>
        <v>343</v>
      </c>
      <c r="S21" s="89"/>
      <c r="T21" s="89">
        <f>SUM(T164:T175)</f>
        <v>264</v>
      </c>
      <c r="U21" s="89">
        <f>SUM(U164:U175)</f>
        <v>0</v>
      </c>
      <c r="V21" s="89">
        <f>SUM(V164:V175)</f>
        <v>0</v>
      </c>
      <c r="W21" s="89"/>
      <c r="X21" s="89">
        <f>SUM(X164:X175)</f>
        <v>25160</v>
      </c>
      <c r="Z21" s="776">
        <v>2016</v>
      </c>
      <c r="AA21" s="71"/>
    </row>
    <row r="22" spans="2:27" s="12" customFormat="1" ht="12.75" hidden="1" customHeight="1">
      <c r="B22" s="68">
        <v>2017</v>
      </c>
      <c r="D22" s="284">
        <f>SUM(D176:D187)</f>
        <v>21967</v>
      </c>
      <c r="E22" s="89"/>
      <c r="F22" s="89">
        <f>SUM(F176:F187)</f>
        <v>2463</v>
      </c>
      <c r="G22" s="89"/>
      <c r="H22" s="89">
        <f>SUM(H176:H187)</f>
        <v>1036</v>
      </c>
      <c r="I22" s="89"/>
      <c r="J22" s="89">
        <f>SUM(J176:J187)</f>
        <v>118</v>
      </c>
      <c r="K22" s="89"/>
      <c r="L22" s="89">
        <f>SUM(L176:L187)</f>
        <v>797</v>
      </c>
      <c r="M22" s="89"/>
      <c r="N22" s="89">
        <f>SUM(N176:N187)</f>
        <v>712</v>
      </c>
      <c r="O22" s="89"/>
      <c r="P22" s="89">
        <f>SUM(P176:P187)</f>
        <v>564</v>
      </c>
      <c r="Q22" s="89"/>
      <c r="R22" s="89">
        <f>SUM(R176:R187)</f>
        <v>358</v>
      </c>
      <c r="S22" s="89"/>
      <c r="T22" s="89">
        <f>SUM(T176:T187)</f>
        <v>233</v>
      </c>
      <c r="U22" s="89">
        <f>SUM(U176:U187)</f>
        <v>0</v>
      </c>
      <c r="V22" s="89">
        <f>SUM(V176:V187)</f>
        <v>0</v>
      </c>
      <c r="W22" s="89"/>
      <c r="X22" s="89">
        <f>SUM(X176:X187)</f>
        <v>28248</v>
      </c>
      <c r="Z22" s="776">
        <v>2017</v>
      </c>
      <c r="AA22" s="71"/>
    </row>
    <row r="23" spans="2:27" s="12" customFormat="1" ht="12.75" hidden="1" customHeight="1">
      <c r="B23" s="68">
        <v>2018</v>
      </c>
      <c r="D23" s="284">
        <f>SUM(D188:D199)</f>
        <v>23610</v>
      </c>
      <c r="E23" s="89"/>
      <c r="F23" s="89">
        <f>SUM(F188:F199)</f>
        <v>1919</v>
      </c>
      <c r="G23" s="89">
        <f>SUM(G188:G199)</f>
        <v>0</v>
      </c>
      <c r="H23" s="89">
        <f>SUM(H188:H199)</f>
        <v>750</v>
      </c>
      <c r="I23" s="89"/>
      <c r="J23" s="89">
        <f>SUM(J188:J199)</f>
        <v>97</v>
      </c>
      <c r="K23" s="89"/>
      <c r="L23" s="89">
        <f>SUM(L188:L199)</f>
        <v>591</v>
      </c>
      <c r="M23" s="89"/>
      <c r="N23" s="89">
        <f>SUM(N188:N199)</f>
        <v>875</v>
      </c>
      <c r="O23" s="89"/>
      <c r="P23" s="89">
        <f>SUM(P188:P199)</f>
        <v>593</v>
      </c>
      <c r="Q23" s="89"/>
      <c r="R23" s="89">
        <f>SUM(R188:R199)</f>
        <v>273</v>
      </c>
      <c r="S23" s="89"/>
      <c r="T23" s="89">
        <f>SUM(T188:T199)</f>
        <v>228</v>
      </c>
      <c r="U23" s="284">
        <f>SUM(U188:U199)</f>
        <v>0</v>
      </c>
      <c r="V23" s="284">
        <f>SUM(V188:V199)</f>
        <v>0</v>
      </c>
      <c r="W23" s="89"/>
      <c r="X23" s="89">
        <f>SUM(X188:X199)</f>
        <v>28936</v>
      </c>
      <c r="Y23" s="71"/>
      <c r="Z23" s="594">
        <v>2018</v>
      </c>
      <c r="AA23" s="71"/>
    </row>
    <row r="24" spans="2:27" s="12" customFormat="1" ht="12.75" hidden="1" customHeight="1">
      <c r="B24" s="68">
        <v>2019</v>
      </c>
      <c r="D24" s="763">
        <f>SUM(D200:D211)</f>
        <v>26317</v>
      </c>
      <c r="E24" s="353"/>
      <c r="F24" s="353">
        <f>SUM(F200:F211)</f>
        <v>2344</v>
      </c>
      <c r="G24" s="353">
        <f>SUM(G200:G211)</f>
        <v>0</v>
      </c>
      <c r="H24" s="353">
        <f>SUM(H200:H211)</f>
        <v>884</v>
      </c>
      <c r="I24" s="353"/>
      <c r="J24" s="353">
        <f>SUM(J200:J211)</f>
        <v>329</v>
      </c>
      <c r="K24" s="353"/>
      <c r="L24" s="353">
        <f>SUM(L200:L211)</f>
        <v>780</v>
      </c>
      <c r="M24" s="353"/>
      <c r="N24" s="353">
        <f>SUM(N200:N211)</f>
        <v>2809</v>
      </c>
      <c r="O24" s="353"/>
      <c r="P24" s="353">
        <f>SUM(P200:P211)</f>
        <v>665</v>
      </c>
      <c r="Q24" s="353"/>
      <c r="R24" s="353">
        <f>SUM(R200:R211)</f>
        <v>409</v>
      </c>
      <c r="S24" s="353"/>
      <c r="T24" s="89">
        <f>SUM(T200:T211)</f>
        <v>364</v>
      </c>
      <c r="U24" s="89">
        <f>SUM(U200:U211)</f>
        <v>0</v>
      </c>
      <c r="V24" s="284">
        <f>SUM(V200:V211)</f>
        <v>0</v>
      </c>
      <c r="W24" s="353"/>
      <c r="X24" s="89">
        <f>SUM(X200:X211)</f>
        <v>34901</v>
      </c>
      <c r="Y24" s="71"/>
      <c r="Z24" s="594">
        <v>2019</v>
      </c>
      <c r="AA24" s="71"/>
    </row>
    <row r="25" spans="2:27" s="12" customFormat="1" ht="12.75" hidden="1" customHeight="1">
      <c r="B25" s="156">
        <v>2020</v>
      </c>
      <c r="C25" s="609"/>
      <c r="D25" s="763">
        <f>SUM(D212:D223)</f>
        <v>8374</v>
      </c>
      <c r="E25" s="353"/>
      <c r="F25" s="353">
        <f>SUM(F212:F223)</f>
        <v>719</v>
      </c>
      <c r="G25" s="353"/>
      <c r="H25" s="353">
        <f>SUM(H212:H223)</f>
        <v>285</v>
      </c>
      <c r="I25" s="353"/>
      <c r="J25" s="353">
        <f>SUM(J212:J223)</f>
        <v>42</v>
      </c>
      <c r="K25" s="353"/>
      <c r="L25" s="353">
        <f>SUM(L212:L223)</f>
        <v>243</v>
      </c>
      <c r="M25" s="353"/>
      <c r="N25" s="353">
        <f>SUM(N212:N223)</f>
        <v>283</v>
      </c>
      <c r="O25" s="353"/>
      <c r="P25" s="353">
        <f>SUM(P212:P223)</f>
        <v>273</v>
      </c>
      <c r="Q25" s="353"/>
      <c r="R25" s="353">
        <f>SUM(R212:R223)</f>
        <v>87</v>
      </c>
      <c r="S25" s="353"/>
      <c r="T25" s="353">
        <f>SUM(T212:T223)</f>
        <v>103</v>
      </c>
      <c r="U25" s="353">
        <f>SUM(U212:U223)</f>
        <v>0</v>
      </c>
      <c r="V25" s="763">
        <f>SUM(V212:V223)</f>
        <v>0</v>
      </c>
      <c r="W25" s="353"/>
      <c r="X25" s="353">
        <f>SUM(X212:X223)</f>
        <v>10409</v>
      </c>
      <c r="Y25" s="606"/>
      <c r="Z25" s="1149">
        <v>2020</v>
      </c>
      <c r="AA25" s="606"/>
    </row>
    <row r="26" spans="2:27" s="12" customFormat="1" ht="12.75" customHeight="1">
      <c r="B26" s="68">
        <v>2021</v>
      </c>
      <c r="D26" s="763">
        <f>SUM(D224:D235)</f>
        <v>2659</v>
      </c>
      <c r="E26" s="1193"/>
      <c r="F26" s="353">
        <f>SUM(F224:F235)</f>
        <v>343</v>
      </c>
      <c r="G26" s="1193"/>
      <c r="H26" s="353">
        <f>SUM(H224:H235)</f>
        <v>63</v>
      </c>
      <c r="I26" s="1193"/>
      <c r="J26" s="353">
        <f>SUM(J224:J235)</f>
        <v>10</v>
      </c>
      <c r="K26" s="1193"/>
      <c r="L26" s="353">
        <f>SUM(L224:L235)</f>
        <v>79</v>
      </c>
      <c r="M26" s="1193"/>
      <c r="N26" s="353">
        <f>SUM(N224:N235)</f>
        <v>210</v>
      </c>
      <c r="O26" s="1193"/>
      <c r="P26" s="353">
        <f>SUM(P224:P235)</f>
        <v>67</v>
      </c>
      <c r="Q26" s="1193"/>
      <c r="R26" s="353">
        <f>SUM(R224:R235)</f>
        <v>17</v>
      </c>
      <c r="S26" s="1193"/>
      <c r="T26" s="353">
        <f>SUM(T224:T235)</f>
        <v>47</v>
      </c>
      <c r="U26" s="1193">
        <f>SUM(U224:U235)</f>
        <v>0</v>
      </c>
      <c r="V26" s="1194">
        <f>SUM(V224:V235)</f>
        <v>0</v>
      </c>
      <c r="W26" s="1193"/>
      <c r="X26" s="353">
        <f>SUM(X224:X235)</f>
        <v>3495</v>
      </c>
      <c r="Y26" s="71"/>
      <c r="Z26" s="594">
        <v>2021</v>
      </c>
      <c r="AA26" s="71"/>
    </row>
    <row r="27" spans="2:27" s="12" customFormat="1" ht="12.75" customHeight="1">
      <c r="B27" s="68">
        <v>2022</v>
      </c>
      <c r="D27" s="284">
        <f>SUM(D236:D247)</f>
        <v>15012</v>
      </c>
      <c r="E27" s="266"/>
      <c r="F27" s="89">
        <f>SUM(F236:F247)</f>
        <v>1501</v>
      </c>
      <c r="G27" s="266"/>
      <c r="H27" s="89">
        <f>SUM(H236:H247)</f>
        <v>381</v>
      </c>
      <c r="I27" s="266"/>
      <c r="J27" s="89">
        <f>SUM(J236:J247)</f>
        <v>89</v>
      </c>
      <c r="K27" s="266"/>
      <c r="L27" s="89">
        <f>SUM(L236:L247)</f>
        <v>297</v>
      </c>
      <c r="M27" s="266"/>
      <c r="N27" s="89">
        <f>SUM(N236:N247)</f>
        <v>562</v>
      </c>
      <c r="O27" s="266"/>
      <c r="P27" s="89">
        <f>SUM(P236:P247)</f>
        <v>392</v>
      </c>
      <c r="Q27" s="266"/>
      <c r="R27" s="89">
        <f>SUM(R236:R247)</f>
        <v>152</v>
      </c>
      <c r="S27" s="266"/>
      <c r="T27" s="89">
        <f>SUM(T236:T247)</f>
        <v>155</v>
      </c>
      <c r="U27" s="780">
        <f>SUM(U236:U247)</f>
        <v>0</v>
      </c>
      <c r="V27" s="780">
        <f>SUM(V236:V247)</f>
        <v>0</v>
      </c>
      <c r="W27" s="266"/>
      <c r="X27" s="89">
        <f>SUM(X236:X247)</f>
        <v>18541</v>
      </c>
      <c r="Y27" s="71"/>
      <c r="Z27" s="594">
        <v>2022</v>
      </c>
      <c r="AA27" s="71"/>
    </row>
    <row r="28" spans="2:27" s="12" customFormat="1" ht="12.75" customHeight="1">
      <c r="B28" s="68">
        <v>2023</v>
      </c>
      <c r="D28" s="284">
        <f>SUM(D248:D259)</f>
        <v>26750</v>
      </c>
      <c r="E28" s="266"/>
      <c r="F28" s="89">
        <f>SUM(F248:F259)</f>
        <v>972</v>
      </c>
      <c r="G28" s="266"/>
      <c r="H28" s="89">
        <f>SUM(H248:H259)</f>
        <v>287</v>
      </c>
      <c r="I28" s="266"/>
      <c r="J28" s="89">
        <f>SUM(J248:J259)</f>
        <v>29</v>
      </c>
      <c r="K28" s="266"/>
      <c r="L28" s="89">
        <f>SUM(L248:L259)</f>
        <v>292</v>
      </c>
      <c r="M28" s="266"/>
      <c r="N28" s="89">
        <f>SUM(N248:N259)</f>
        <v>602</v>
      </c>
      <c r="O28" s="266"/>
      <c r="P28" s="89">
        <f>SUM(P248:P259)</f>
        <v>279</v>
      </c>
      <c r="Q28" s="266"/>
      <c r="R28" s="89">
        <f>SUM(R248:R259)</f>
        <v>92</v>
      </c>
      <c r="S28" s="266"/>
      <c r="T28" s="89">
        <f>SUM(T248:T259)</f>
        <v>131</v>
      </c>
      <c r="U28" s="780">
        <f>SUM(U248:U259)</f>
        <v>0</v>
      </c>
      <c r="V28" s="780">
        <f>SUM(V248:V259)</f>
        <v>0</v>
      </c>
      <c r="W28" s="266"/>
      <c r="X28" s="89">
        <f>SUM(X248:X259)</f>
        <v>29434</v>
      </c>
      <c r="Y28" s="71"/>
      <c r="Z28" s="594">
        <v>2023</v>
      </c>
      <c r="AA28" s="71"/>
    </row>
    <row r="29" spans="2:27" s="12" customFormat="1" ht="12.75" customHeight="1">
      <c r="B29" s="68">
        <v>2024</v>
      </c>
      <c r="D29" s="284">
        <f>SUM(D260:D271)</f>
        <v>24047</v>
      </c>
      <c r="E29" s="89"/>
      <c r="F29" s="89">
        <f t="shared" ref="F29:X29" si="3">SUM(F260:F271)</f>
        <v>1785</v>
      </c>
      <c r="G29" s="89">
        <f t="shared" si="3"/>
        <v>0</v>
      </c>
      <c r="H29" s="89">
        <f t="shared" si="3"/>
        <v>598</v>
      </c>
      <c r="I29" s="89"/>
      <c r="J29" s="89">
        <f t="shared" si="3"/>
        <v>79</v>
      </c>
      <c r="K29" s="89"/>
      <c r="L29" s="89">
        <f t="shared" si="3"/>
        <v>496</v>
      </c>
      <c r="M29" s="89"/>
      <c r="N29" s="89">
        <f t="shared" si="3"/>
        <v>1652</v>
      </c>
      <c r="O29" s="89"/>
      <c r="P29" s="89">
        <f t="shared" si="3"/>
        <v>756</v>
      </c>
      <c r="Q29" s="89"/>
      <c r="R29" s="89">
        <f t="shared" si="3"/>
        <v>168</v>
      </c>
      <c r="S29" s="89"/>
      <c r="T29" s="89">
        <f t="shared" si="3"/>
        <v>343</v>
      </c>
      <c r="U29" s="89">
        <f t="shared" si="3"/>
        <v>0</v>
      </c>
      <c r="V29" s="89">
        <f t="shared" si="3"/>
        <v>0</v>
      </c>
      <c r="W29" s="89"/>
      <c r="X29" s="89">
        <f t="shared" si="3"/>
        <v>29924</v>
      </c>
      <c r="Y29" s="89"/>
      <c r="Z29" s="776">
        <v>2024</v>
      </c>
      <c r="AA29" s="71"/>
    </row>
    <row r="30" spans="2:27" s="12" customFormat="1" ht="12.75" customHeight="1">
      <c r="B30" s="68">
        <v>2025</v>
      </c>
      <c r="D30" s="284">
        <f>SUM(D272:D283)</f>
        <v>32912</v>
      </c>
      <c r="E30" s="89"/>
      <c r="F30" s="89">
        <f t="shared" ref="F30:X30" si="4">SUM(F272:F283)</f>
        <v>1118</v>
      </c>
      <c r="G30" s="89">
        <f t="shared" si="4"/>
        <v>0</v>
      </c>
      <c r="H30" s="89">
        <f t="shared" si="4"/>
        <v>362</v>
      </c>
      <c r="I30" s="89"/>
      <c r="J30" s="89">
        <f t="shared" si="4"/>
        <v>80</v>
      </c>
      <c r="K30" s="89"/>
      <c r="L30" s="89">
        <f t="shared" si="4"/>
        <v>311</v>
      </c>
      <c r="M30" s="89"/>
      <c r="N30" s="89">
        <f t="shared" si="4"/>
        <v>1398</v>
      </c>
      <c r="O30" s="89"/>
      <c r="P30" s="89">
        <f t="shared" si="4"/>
        <v>384</v>
      </c>
      <c r="Q30" s="89"/>
      <c r="R30" s="89">
        <f t="shared" si="4"/>
        <v>188</v>
      </c>
      <c r="S30" s="89"/>
      <c r="T30" s="89">
        <f t="shared" si="4"/>
        <v>225</v>
      </c>
      <c r="U30" s="89">
        <f t="shared" si="4"/>
        <v>0</v>
      </c>
      <c r="V30" s="89">
        <f t="shared" si="4"/>
        <v>0</v>
      </c>
      <c r="W30" s="89"/>
      <c r="X30" s="89">
        <f t="shared" si="4"/>
        <v>36978</v>
      </c>
      <c r="Y30" s="89"/>
      <c r="Z30" s="776">
        <v>2025</v>
      </c>
      <c r="AA30" s="71"/>
    </row>
    <row r="31" spans="2:27" s="12" customFormat="1" ht="12.75" customHeight="1">
      <c r="B31" s="68"/>
      <c r="D31" s="772"/>
      <c r="E31" s="682"/>
      <c r="F31" s="682"/>
      <c r="G31" s="682"/>
      <c r="H31" s="682"/>
      <c r="I31" s="682"/>
      <c r="J31" s="682"/>
      <c r="K31" s="682"/>
      <c r="L31" s="1079"/>
      <c r="M31" s="1079"/>
      <c r="N31" s="1140"/>
      <c r="O31" s="1140"/>
      <c r="P31" s="1140"/>
      <c r="Q31" s="1140"/>
      <c r="R31" s="1079"/>
      <c r="S31" s="1079"/>
      <c r="T31" s="1079"/>
      <c r="U31" s="1079"/>
      <c r="V31" s="685"/>
      <c r="W31" s="76"/>
      <c r="X31" s="76"/>
      <c r="Y31" s="71"/>
      <c r="Z31" s="76"/>
      <c r="AA31" s="71"/>
    </row>
    <row r="32" spans="2:27" s="1135" customFormat="1" ht="12.75" hidden="1" customHeight="1">
      <c r="B32" s="347">
        <v>2005</v>
      </c>
      <c r="C32" s="1130" t="s">
        <v>33</v>
      </c>
      <c r="D32" s="1131">
        <v>741</v>
      </c>
      <c r="E32" s="1132"/>
      <c r="F32" s="1132">
        <v>257</v>
      </c>
      <c r="G32" s="1132"/>
      <c r="H32" s="1132">
        <v>244</v>
      </c>
      <c r="I32" s="1132"/>
      <c r="J32" s="1132">
        <v>25</v>
      </c>
      <c r="K32" s="1132"/>
      <c r="L32" s="1132">
        <v>96</v>
      </c>
      <c r="M32" s="1132"/>
      <c r="N32" s="1132">
        <v>19</v>
      </c>
      <c r="O32" s="1132"/>
      <c r="P32" s="1132">
        <v>51</v>
      </c>
      <c r="Q32" s="1132"/>
      <c r="R32" s="1132">
        <v>48</v>
      </c>
      <c r="S32" s="1132"/>
      <c r="T32" s="1132">
        <v>24</v>
      </c>
      <c r="U32" s="1132" t="s">
        <v>43</v>
      </c>
      <c r="V32" s="1133"/>
      <c r="W32" s="1132"/>
      <c r="X32" s="1132">
        <f>SUM(D32:U32)</f>
        <v>1505</v>
      </c>
      <c r="Y32" s="1134"/>
      <c r="Z32" s="768">
        <v>2005</v>
      </c>
      <c r="AA32" s="348" t="s">
        <v>33</v>
      </c>
    </row>
    <row r="33" spans="2:27" s="1135" customFormat="1" ht="12.75" hidden="1" customHeight="1">
      <c r="B33" s="347">
        <v>2005</v>
      </c>
      <c r="C33" s="1130" t="s">
        <v>34</v>
      </c>
      <c r="D33" s="1131">
        <v>452</v>
      </c>
      <c r="E33" s="1132"/>
      <c r="F33" s="1132">
        <v>179</v>
      </c>
      <c r="G33" s="1132"/>
      <c r="H33" s="1132">
        <v>138</v>
      </c>
      <c r="I33" s="1132"/>
      <c r="J33" s="1132">
        <v>11</v>
      </c>
      <c r="K33" s="1132"/>
      <c r="L33" s="1132">
        <v>59</v>
      </c>
      <c r="M33" s="1132"/>
      <c r="N33" s="1132">
        <v>12</v>
      </c>
      <c r="O33" s="1132"/>
      <c r="P33" s="1132">
        <v>22</v>
      </c>
      <c r="Q33" s="1132"/>
      <c r="R33" s="1132">
        <v>14</v>
      </c>
      <c r="S33" s="1132"/>
      <c r="T33" s="1132">
        <v>16</v>
      </c>
      <c r="U33" s="1132" t="s">
        <v>43</v>
      </c>
      <c r="V33" s="1133"/>
      <c r="W33" s="1132"/>
      <c r="X33" s="1132">
        <f t="shared" ref="X33:X39" si="5">SUM(D33:U33)</f>
        <v>903</v>
      </c>
      <c r="Y33" s="1134"/>
      <c r="Z33" s="768">
        <v>2005</v>
      </c>
      <c r="AA33" s="348" t="s">
        <v>77</v>
      </c>
    </row>
    <row r="34" spans="2:27" s="1135" customFormat="1" ht="12.75" hidden="1" customHeight="1">
      <c r="B34" s="347">
        <v>2005</v>
      </c>
      <c r="C34" s="1130" t="s">
        <v>29</v>
      </c>
      <c r="D34" s="1131">
        <v>541</v>
      </c>
      <c r="E34" s="1132"/>
      <c r="F34" s="1132">
        <v>235</v>
      </c>
      <c r="G34" s="1132"/>
      <c r="H34" s="1132">
        <v>87</v>
      </c>
      <c r="I34" s="1132"/>
      <c r="J34" s="1132">
        <v>20</v>
      </c>
      <c r="K34" s="1132"/>
      <c r="L34" s="1132">
        <v>67</v>
      </c>
      <c r="M34" s="1132"/>
      <c r="N34" s="1132">
        <v>33</v>
      </c>
      <c r="O34" s="1132"/>
      <c r="P34" s="1132">
        <v>36</v>
      </c>
      <c r="Q34" s="1132"/>
      <c r="R34" s="1132">
        <v>22</v>
      </c>
      <c r="S34" s="1132"/>
      <c r="T34" s="1132">
        <v>14</v>
      </c>
      <c r="U34" s="1132">
        <v>3</v>
      </c>
      <c r="V34" s="1133"/>
      <c r="W34" s="1132"/>
      <c r="X34" s="1132">
        <f t="shared" si="5"/>
        <v>1058</v>
      </c>
      <c r="Y34" s="1134"/>
      <c r="Z34" s="768">
        <v>2005</v>
      </c>
      <c r="AA34" s="348" t="s">
        <v>71</v>
      </c>
    </row>
    <row r="35" spans="2:27" s="1135" customFormat="1" ht="12.75" hidden="1" customHeight="1">
      <c r="B35" s="347">
        <v>2005</v>
      </c>
      <c r="C35" s="1130" t="s">
        <v>118</v>
      </c>
      <c r="D35" s="1131">
        <v>566</v>
      </c>
      <c r="E35" s="1132"/>
      <c r="F35" s="1132">
        <v>283</v>
      </c>
      <c r="G35" s="1132"/>
      <c r="H35" s="1132">
        <v>100</v>
      </c>
      <c r="I35" s="1132"/>
      <c r="J35" s="1132">
        <v>16</v>
      </c>
      <c r="K35" s="1132"/>
      <c r="L35" s="1132">
        <v>83</v>
      </c>
      <c r="M35" s="1132"/>
      <c r="N35" s="1132">
        <v>37</v>
      </c>
      <c r="O35" s="1132"/>
      <c r="P35" s="1132">
        <v>60</v>
      </c>
      <c r="Q35" s="1132"/>
      <c r="R35" s="1132">
        <v>25</v>
      </c>
      <c r="S35" s="1132"/>
      <c r="T35" s="1132">
        <v>16</v>
      </c>
      <c r="U35" s="1132" t="s">
        <v>43</v>
      </c>
      <c r="V35" s="1133"/>
      <c r="W35" s="1132"/>
      <c r="X35" s="1132">
        <f t="shared" si="5"/>
        <v>1186</v>
      </c>
      <c r="Y35" s="1134"/>
      <c r="Z35" s="768">
        <v>2005</v>
      </c>
      <c r="AA35" s="348" t="s">
        <v>78</v>
      </c>
    </row>
    <row r="36" spans="2:27" s="1135" customFormat="1" ht="12.75" hidden="1" customHeight="1">
      <c r="B36" s="347">
        <v>2005</v>
      </c>
      <c r="C36" s="1130" t="s">
        <v>112</v>
      </c>
      <c r="D36" s="1131">
        <v>446</v>
      </c>
      <c r="E36" s="1132"/>
      <c r="F36" s="1132">
        <v>149</v>
      </c>
      <c r="G36" s="1132"/>
      <c r="H36" s="1132">
        <v>123</v>
      </c>
      <c r="I36" s="1132"/>
      <c r="J36" s="1132">
        <v>17</v>
      </c>
      <c r="K36" s="1132"/>
      <c r="L36" s="1132">
        <v>52</v>
      </c>
      <c r="M36" s="1132"/>
      <c r="N36" s="1132">
        <v>26</v>
      </c>
      <c r="O36" s="1132"/>
      <c r="P36" s="1132">
        <v>21</v>
      </c>
      <c r="Q36" s="1132"/>
      <c r="R36" s="1132">
        <v>12</v>
      </c>
      <c r="S36" s="1132"/>
      <c r="T36" s="1132">
        <v>14</v>
      </c>
      <c r="U36" s="1132" t="s">
        <v>43</v>
      </c>
      <c r="V36" s="1133"/>
      <c r="W36" s="1132"/>
      <c r="X36" s="1132">
        <f t="shared" si="5"/>
        <v>860</v>
      </c>
      <c r="Y36" s="1134"/>
      <c r="Z36" s="768">
        <v>2005</v>
      </c>
      <c r="AA36" s="348" t="s">
        <v>79</v>
      </c>
    </row>
    <row r="37" spans="2:27" s="1135" customFormat="1" ht="12.75" hidden="1" customHeight="1">
      <c r="B37" s="347">
        <v>2005</v>
      </c>
      <c r="C37" s="1130" t="s">
        <v>67</v>
      </c>
      <c r="D37" s="1131">
        <v>945</v>
      </c>
      <c r="E37" s="1132"/>
      <c r="F37" s="1132">
        <v>63</v>
      </c>
      <c r="G37" s="1132"/>
      <c r="H37" s="1132">
        <v>10</v>
      </c>
      <c r="I37" s="1132"/>
      <c r="J37" s="1132">
        <v>5</v>
      </c>
      <c r="K37" s="1132"/>
      <c r="L37" s="1132">
        <v>16</v>
      </c>
      <c r="M37" s="1132"/>
      <c r="N37" s="1132">
        <v>16</v>
      </c>
      <c r="O37" s="1132"/>
      <c r="P37" s="1132">
        <v>16</v>
      </c>
      <c r="Q37" s="1132"/>
      <c r="R37" s="1132">
        <v>38</v>
      </c>
      <c r="S37" s="1132"/>
      <c r="T37" s="1132">
        <v>2</v>
      </c>
      <c r="U37" s="1132" t="s">
        <v>43</v>
      </c>
      <c r="V37" s="1133"/>
      <c r="W37" s="1132"/>
      <c r="X37" s="1132">
        <f t="shared" si="5"/>
        <v>1111</v>
      </c>
      <c r="Y37" s="1134"/>
      <c r="Z37" s="768">
        <v>2005</v>
      </c>
      <c r="AA37" s="348" t="s">
        <v>80</v>
      </c>
    </row>
    <row r="38" spans="2:27" s="1135" customFormat="1" ht="12.75" hidden="1" customHeight="1">
      <c r="B38" s="347">
        <v>2005</v>
      </c>
      <c r="C38" s="369" t="s">
        <v>133</v>
      </c>
      <c r="D38" s="1131">
        <v>563</v>
      </c>
      <c r="E38" s="1132"/>
      <c r="F38" s="1132">
        <v>266</v>
      </c>
      <c r="G38" s="1132"/>
      <c r="H38" s="1132">
        <v>137</v>
      </c>
      <c r="I38" s="1132"/>
      <c r="J38" s="1132">
        <v>25</v>
      </c>
      <c r="K38" s="1132"/>
      <c r="L38" s="1132">
        <v>79</v>
      </c>
      <c r="M38" s="1132"/>
      <c r="N38" s="1132">
        <v>52</v>
      </c>
      <c r="O38" s="1132"/>
      <c r="P38" s="1132">
        <v>144</v>
      </c>
      <c r="Q38" s="1132"/>
      <c r="R38" s="1132">
        <v>23</v>
      </c>
      <c r="S38" s="1132"/>
      <c r="T38" s="1132">
        <v>18</v>
      </c>
      <c r="U38" s="1132" t="s">
        <v>43</v>
      </c>
      <c r="V38" s="1132"/>
      <c r="W38" s="1132"/>
      <c r="X38" s="1132">
        <f t="shared" si="5"/>
        <v>1307</v>
      </c>
      <c r="Y38" s="1136"/>
      <c r="Z38" s="768">
        <v>2005</v>
      </c>
      <c r="AA38" s="348" t="s">
        <v>81</v>
      </c>
    </row>
    <row r="39" spans="2:27" s="1135" customFormat="1" ht="12.75" hidden="1" customHeight="1">
      <c r="B39" s="347">
        <v>2005</v>
      </c>
      <c r="C39" s="369" t="s">
        <v>37</v>
      </c>
      <c r="D39" s="1131">
        <v>560</v>
      </c>
      <c r="E39" s="1132"/>
      <c r="F39" s="1132">
        <v>302</v>
      </c>
      <c r="G39" s="1132"/>
      <c r="H39" s="1132">
        <v>110</v>
      </c>
      <c r="I39" s="1132"/>
      <c r="J39" s="1132">
        <v>18</v>
      </c>
      <c r="K39" s="1132"/>
      <c r="L39" s="1132">
        <v>56</v>
      </c>
      <c r="M39" s="1132"/>
      <c r="N39" s="1132">
        <v>45</v>
      </c>
      <c r="O39" s="1132"/>
      <c r="P39" s="1132">
        <v>27</v>
      </c>
      <c r="Q39" s="1132"/>
      <c r="R39" s="1132">
        <v>21</v>
      </c>
      <c r="S39" s="1132"/>
      <c r="T39" s="1132">
        <v>29</v>
      </c>
      <c r="U39" s="1132" t="s">
        <v>43</v>
      </c>
      <c r="V39" s="1132"/>
      <c r="W39" s="1132"/>
      <c r="X39" s="1132">
        <f t="shared" si="5"/>
        <v>1168</v>
      </c>
      <c r="Y39" s="1136"/>
      <c r="Z39" s="768">
        <v>2005</v>
      </c>
      <c r="AA39" s="348" t="s">
        <v>82</v>
      </c>
    </row>
    <row r="40" spans="2:27" s="1135" customFormat="1" ht="12.75" hidden="1" customHeight="1">
      <c r="B40" s="347">
        <v>2005</v>
      </c>
      <c r="C40" s="369" t="s">
        <v>119</v>
      </c>
      <c r="D40" s="1131">
        <v>466</v>
      </c>
      <c r="E40" s="1132"/>
      <c r="F40" s="1132">
        <v>222</v>
      </c>
      <c r="G40" s="1132"/>
      <c r="H40" s="1132">
        <v>132</v>
      </c>
      <c r="I40" s="1132"/>
      <c r="J40" s="1132">
        <v>19</v>
      </c>
      <c r="K40" s="1132"/>
      <c r="L40" s="1132">
        <v>73</v>
      </c>
      <c r="M40" s="1132"/>
      <c r="N40" s="1132">
        <v>32</v>
      </c>
      <c r="O40" s="1132"/>
      <c r="P40" s="1132">
        <v>47</v>
      </c>
      <c r="Q40" s="1132"/>
      <c r="R40" s="1132">
        <v>19</v>
      </c>
      <c r="S40" s="1132"/>
      <c r="T40" s="1132">
        <v>22</v>
      </c>
      <c r="U40" s="1132" t="s">
        <v>43</v>
      </c>
      <c r="V40" s="1132"/>
      <c r="W40" s="1132"/>
      <c r="X40" s="1132">
        <f t="shared" ref="X40:X46" si="6">SUM(D40:U40)</f>
        <v>1032</v>
      </c>
      <c r="Y40" s="1136"/>
      <c r="Z40" s="768">
        <v>2005</v>
      </c>
      <c r="AA40" s="348" t="s">
        <v>31</v>
      </c>
    </row>
    <row r="41" spans="2:27" s="1135" customFormat="1" ht="12.75" hidden="1" customHeight="1">
      <c r="B41" s="347">
        <v>2005</v>
      </c>
      <c r="C41" s="1130" t="s">
        <v>50</v>
      </c>
      <c r="D41" s="1131">
        <v>530</v>
      </c>
      <c r="E41" s="1132"/>
      <c r="F41" s="1132">
        <v>236</v>
      </c>
      <c r="G41" s="1132"/>
      <c r="H41" s="1132">
        <v>81</v>
      </c>
      <c r="I41" s="1132"/>
      <c r="J41" s="1132">
        <v>23</v>
      </c>
      <c r="K41" s="1132"/>
      <c r="L41" s="1132">
        <v>68</v>
      </c>
      <c r="M41" s="1132"/>
      <c r="N41" s="1132">
        <v>16</v>
      </c>
      <c r="O41" s="1132"/>
      <c r="P41" s="1132">
        <v>22</v>
      </c>
      <c r="Q41" s="1132"/>
      <c r="R41" s="1132">
        <v>47</v>
      </c>
      <c r="S41" s="1132"/>
      <c r="T41" s="1132">
        <v>14</v>
      </c>
      <c r="U41" s="1132" t="s">
        <v>43</v>
      </c>
      <c r="V41" s="1132"/>
      <c r="W41" s="1132"/>
      <c r="X41" s="1132">
        <f t="shared" si="6"/>
        <v>1037</v>
      </c>
      <c r="Y41" s="1137"/>
      <c r="Z41" s="768">
        <v>2005</v>
      </c>
      <c r="AA41" s="348" t="s">
        <v>50</v>
      </c>
    </row>
    <row r="42" spans="2:27" s="1135" customFormat="1" ht="12.75" hidden="1" customHeight="1">
      <c r="B42" s="347">
        <v>2005</v>
      </c>
      <c r="C42" s="1130" t="s">
        <v>39</v>
      </c>
      <c r="D42" s="1131">
        <v>776</v>
      </c>
      <c r="E42" s="1132"/>
      <c r="F42" s="1132">
        <v>200</v>
      </c>
      <c r="G42" s="1132"/>
      <c r="H42" s="1132">
        <v>84</v>
      </c>
      <c r="I42" s="1132"/>
      <c r="J42" s="1132">
        <v>19</v>
      </c>
      <c r="K42" s="1132"/>
      <c r="L42" s="1132">
        <v>57</v>
      </c>
      <c r="M42" s="1132"/>
      <c r="N42" s="1132">
        <v>14</v>
      </c>
      <c r="O42" s="1132"/>
      <c r="P42" s="1132">
        <v>16</v>
      </c>
      <c r="Q42" s="1132"/>
      <c r="R42" s="1132">
        <v>15</v>
      </c>
      <c r="S42" s="1132"/>
      <c r="T42" s="1132">
        <v>13</v>
      </c>
      <c r="U42" s="1132">
        <v>1</v>
      </c>
      <c r="V42" s="1132"/>
      <c r="W42" s="1132"/>
      <c r="X42" s="1132">
        <f t="shared" si="6"/>
        <v>1195</v>
      </c>
      <c r="Y42" s="1136"/>
      <c r="Z42" s="768">
        <v>2005</v>
      </c>
      <c r="AA42" s="348" t="s">
        <v>53</v>
      </c>
    </row>
    <row r="43" spans="2:27" s="1135" customFormat="1" ht="12.75" hidden="1" customHeight="1">
      <c r="B43" s="347">
        <v>2005</v>
      </c>
      <c r="C43" s="1130" t="s">
        <v>32</v>
      </c>
      <c r="D43" s="1131">
        <v>1002</v>
      </c>
      <c r="E43" s="1132"/>
      <c r="F43" s="1132">
        <v>183</v>
      </c>
      <c r="G43" s="1132"/>
      <c r="H43" s="1132">
        <v>128</v>
      </c>
      <c r="I43" s="1132"/>
      <c r="J43" s="1132">
        <v>17</v>
      </c>
      <c r="K43" s="1132"/>
      <c r="L43" s="1132">
        <v>49</v>
      </c>
      <c r="M43" s="1132"/>
      <c r="N43" s="1132">
        <v>20</v>
      </c>
      <c r="O43" s="1132"/>
      <c r="P43" s="1132">
        <v>24</v>
      </c>
      <c r="Q43" s="1132"/>
      <c r="R43" s="1132">
        <v>20</v>
      </c>
      <c r="S43" s="1132"/>
      <c r="T43" s="1132">
        <v>10</v>
      </c>
      <c r="U43" s="1132" t="s">
        <v>43</v>
      </c>
      <c r="V43" s="1132"/>
      <c r="W43" s="1132"/>
      <c r="X43" s="1132">
        <f t="shared" si="6"/>
        <v>1453</v>
      </c>
      <c r="Y43" s="1136"/>
      <c r="Z43" s="768">
        <v>2005</v>
      </c>
      <c r="AA43" s="348" t="s">
        <v>83</v>
      </c>
    </row>
    <row r="44" spans="2:27" s="1135" customFormat="1" ht="12.75" hidden="1" customHeight="1">
      <c r="B44" s="347">
        <v>2006</v>
      </c>
      <c r="C44" s="1130" t="s">
        <v>33</v>
      </c>
      <c r="D44" s="1131">
        <v>673</v>
      </c>
      <c r="E44" s="1132"/>
      <c r="F44" s="1132">
        <v>347</v>
      </c>
      <c r="G44" s="1132"/>
      <c r="H44" s="1132">
        <v>146</v>
      </c>
      <c r="I44" s="1132"/>
      <c r="J44" s="1132">
        <v>26</v>
      </c>
      <c r="K44" s="1132"/>
      <c r="L44" s="1132">
        <v>118</v>
      </c>
      <c r="M44" s="1132"/>
      <c r="N44" s="1132">
        <v>26</v>
      </c>
      <c r="O44" s="1132"/>
      <c r="P44" s="1132">
        <v>75</v>
      </c>
      <c r="Q44" s="1132"/>
      <c r="R44" s="1132">
        <v>61</v>
      </c>
      <c r="S44" s="1132"/>
      <c r="T44" s="1132">
        <v>24</v>
      </c>
      <c r="U44" s="1132" t="s">
        <v>43</v>
      </c>
      <c r="V44" s="1132"/>
      <c r="W44" s="1132"/>
      <c r="X44" s="1132">
        <f t="shared" si="6"/>
        <v>1496</v>
      </c>
      <c r="Y44" s="1136"/>
      <c r="Z44" s="768">
        <v>2006</v>
      </c>
      <c r="AA44" s="348" t="s">
        <v>33</v>
      </c>
    </row>
    <row r="45" spans="2:27" s="1135" customFormat="1" ht="12.75" hidden="1" customHeight="1">
      <c r="B45" s="347">
        <v>2006</v>
      </c>
      <c r="C45" s="1130" t="s">
        <v>34</v>
      </c>
      <c r="D45" s="1131">
        <v>413</v>
      </c>
      <c r="E45" s="1132"/>
      <c r="F45" s="1132">
        <v>249</v>
      </c>
      <c r="G45" s="1132"/>
      <c r="H45" s="1132">
        <v>165</v>
      </c>
      <c r="I45" s="1132"/>
      <c r="J45" s="1132">
        <v>24</v>
      </c>
      <c r="K45" s="1132"/>
      <c r="L45" s="1132">
        <v>80</v>
      </c>
      <c r="M45" s="1132"/>
      <c r="N45" s="1132">
        <v>23</v>
      </c>
      <c r="O45" s="1132"/>
      <c r="P45" s="1132">
        <v>165</v>
      </c>
      <c r="Q45" s="1132"/>
      <c r="R45" s="1132">
        <v>30</v>
      </c>
      <c r="S45" s="1132"/>
      <c r="T45" s="1132">
        <v>18</v>
      </c>
      <c r="U45" s="1132" t="s">
        <v>43</v>
      </c>
      <c r="V45" s="1132"/>
      <c r="W45" s="1132"/>
      <c r="X45" s="1132">
        <f t="shared" si="6"/>
        <v>1167</v>
      </c>
      <c r="Y45" s="1136"/>
      <c r="Z45" s="768">
        <v>2006</v>
      </c>
      <c r="AA45" s="348" t="s">
        <v>77</v>
      </c>
    </row>
    <row r="46" spans="2:27" s="1135" customFormat="1" ht="12.75" hidden="1" customHeight="1">
      <c r="B46" s="347">
        <v>2006</v>
      </c>
      <c r="C46" s="1130" t="s">
        <v>29</v>
      </c>
      <c r="D46" s="1131">
        <v>424</v>
      </c>
      <c r="E46" s="1132"/>
      <c r="F46" s="1132">
        <v>280</v>
      </c>
      <c r="G46" s="1132"/>
      <c r="H46" s="1132">
        <v>74</v>
      </c>
      <c r="I46" s="1132"/>
      <c r="J46" s="1132">
        <v>25</v>
      </c>
      <c r="K46" s="1132"/>
      <c r="L46" s="1132">
        <v>87</v>
      </c>
      <c r="M46" s="1132"/>
      <c r="N46" s="1132">
        <v>27</v>
      </c>
      <c r="O46" s="1132"/>
      <c r="P46" s="1132">
        <v>29</v>
      </c>
      <c r="Q46" s="1132"/>
      <c r="R46" s="1132">
        <v>29</v>
      </c>
      <c r="S46" s="1132"/>
      <c r="T46" s="1132">
        <v>12</v>
      </c>
      <c r="U46" s="1132" t="s">
        <v>43</v>
      </c>
      <c r="V46" s="1132"/>
      <c r="W46" s="1132"/>
      <c r="X46" s="1132">
        <f t="shared" si="6"/>
        <v>987</v>
      </c>
      <c r="Y46" s="1136"/>
      <c r="Z46" s="768">
        <v>2006</v>
      </c>
      <c r="AA46" s="1138" t="s">
        <v>29</v>
      </c>
    </row>
    <row r="47" spans="2:27" s="1135" customFormat="1" ht="12.75" hidden="1" customHeight="1">
      <c r="B47" s="347">
        <v>2006</v>
      </c>
      <c r="C47" s="1130" t="s">
        <v>35</v>
      </c>
      <c r="D47" s="1131">
        <v>663</v>
      </c>
      <c r="E47" s="1132"/>
      <c r="F47" s="1132">
        <v>330</v>
      </c>
      <c r="G47" s="1132"/>
      <c r="H47" s="1132">
        <v>128</v>
      </c>
      <c r="I47" s="1132"/>
      <c r="J47" s="1132">
        <v>20</v>
      </c>
      <c r="K47" s="1132"/>
      <c r="L47" s="1132">
        <v>86</v>
      </c>
      <c r="M47" s="1132"/>
      <c r="N47" s="1132">
        <v>38</v>
      </c>
      <c r="O47" s="1132"/>
      <c r="P47" s="1132">
        <v>42</v>
      </c>
      <c r="Q47" s="1132"/>
      <c r="R47" s="1132">
        <v>23</v>
      </c>
      <c r="S47" s="1132"/>
      <c r="T47" s="1132">
        <v>21</v>
      </c>
      <c r="U47" s="1132" t="s">
        <v>43</v>
      </c>
      <c r="V47" s="1132"/>
      <c r="W47" s="1132"/>
      <c r="X47" s="1132">
        <f t="shared" ref="X47:X52" si="7">SUM(D47:U47)</f>
        <v>1351</v>
      </c>
      <c r="Y47" s="1136"/>
      <c r="Z47" s="768">
        <v>2006</v>
      </c>
      <c r="AA47" s="1138" t="s">
        <v>78</v>
      </c>
    </row>
    <row r="48" spans="2:27" s="1135" customFormat="1" ht="12.75" hidden="1" customHeight="1">
      <c r="B48" s="347">
        <v>2006</v>
      </c>
      <c r="C48" s="1130" t="s">
        <v>4</v>
      </c>
      <c r="D48" s="1131">
        <v>614</v>
      </c>
      <c r="E48" s="1132"/>
      <c r="F48" s="1132">
        <v>302</v>
      </c>
      <c r="G48" s="1132"/>
      <c r="H48" s="1132">
        <v>140</v>
      </c>
      <c r="I48" s="1132"/>
      <c r="J48" s="1132">
        <v>18</v>
      </c>
      <c r="K48" s="1132"/>
      <c r="L48" s="1132">
        <v>74</v>
      </c>
      <c r="M48" s="1132"/>
      <c r="N48" s="1132">
        <v>29</v>
      </c>
      <c r="O48" s="1132"/>
      <c r="P48" s="1132">
        <v>18</v>
      </c>
      <c r="Q48" s="1132"/>
      <c r="R48" s="1132">
        <v>19</v>
      </c>
      <c r="S48" s="1132"/>
      <c r="T48" s="1132">
        <v>10</v>
      </c>
      <c r="U48" s="1132" t="s">
        <v>43</v>
      </c>
      <c r="V48" s="1132"/>
      <c r="W48" s="1132"/>
      <c r="X48" s="1132">
        <f t="shared" si="7"/>
        <v>1224</v>
      </c>
      <c r="Y48" s="1136"/>
      <c r="Z48" s="768">
        <v>2006</v>
      </c>
      <c r="AA48" s="1138" t="s">
        <v>79</v>
      </c>
    </row>
    <row r="49" spans="2:27" s="1139" customFormat="1" ht="12.75" hidden="1" customHeight="1">
      <c r="B49" s="347">
        <v>2006</v>
      </c>
      <c r="C49" s="369" t="s">
        <v>68</v>
      </c>
      <c r="D49" s="1131">
        <v>594</v>
      </c>
      <c r="E49" s="1132"/>
      <c r="F49" s="1132">
        <v>176</v>
      </c>
      <c r="G49" s="1132"/>
      <c r="H49" s="1132">
        <v>86</v>
      </c>
      <c r="I49" s="1132"/>
      <c r="J49" s="1132">
        <v>19</v>
      </c>
      <c r="K49" s="1132"/>
      <c r="L49" s="1132">
        <v>88</v>
      </c>
      <c r="M49" s="1132"/>
      <c r="N49" s="1132">
        <v>26</v>
      </c>
      <c r="O49" s="1132"/>
      <c r="P49" s="1132">
        <v>26</v>
      </c>
      <c r="Q49" s="1132"/>
      <c r="R49" s="1132">
        <v>25</v>
      </c>
      <c r="S49" s="1132"/>
      <c r="T49" s="1132">
        <v>15</v>
      </c>
      <c r="U49" s="1132" t="s">
        <v>43</v>
      </c>
      <c r="V49" s="1132"/>
      <c r="W49" s="1132"/>
      <c r="X49" s="1132">
        <f t="shared" si="7"/>
        <v>1055</v>
      </c>
      <c r="Y49" s="1134"/>
      <c r="Z49" s="768">
        <v>2006</v>
      </c>
      <c r="AA49" s="348" t="s">
        <v>80</v>
      </c>
    </row>
    <row r="50" spans="2:27" s="1139" customFormat="1" ht="12.75" hidden="1" customHeight="1">
      <c r="B50" s="347">
        <v>2006</v>
      </c>
      <c r="C50" s="369" t="s">
        <v>131</v>
      </c>
      <c r="D50" s="1131">
        <v>568</v>
      </c>
      <c r="E50" s="1132"/>
      <c r="F50" s="1132">
        <v>307</v>
      </c>
      <c r="G50" s="1132"/>
      <c r="H50" s="1132">
        <v>140</v>
      </c>
      <c r="I50" s="1132"/>
      <c r="J50" s="1132">
        <v>20</v>
      </c>
      <c r="K50" s="1132"/>
      <c r="L50" s="1132">
        <v>83</v>
      </c>
      <c r="M50" s="1132"/>
      <c r="N50" s="1132">
        <v>41</v>
      </c>
      <c r="O50" s="1132"/>
      <c r="P50" s="1132">
        <v>145</v>
      </c>
      <c r="Q50" s="1132"/>
      <c r="R50" s="1132">
        <v>31</v>
      </c>
      <c r="S50" s="1132"/>
      <c r="T50" s="1132">
        <v>23</v>
      </c>
      <c r="U50" s="1132" t="s">
        <v>43</v>
      </c>
      <c r="V50" s="1132"/>
      <c r="W50" s="1132"/>
      <c r="X50" s="1132">
        <f t="shared" si="7"/>
        <v>1358</v>
      </c>
      <c r="Y50" s="1134"/>
      <c r="Z50" s="768">
        <v>2006</v>
      </c>
      <c r="AA50" s="348" t="s">
        <v>81</v>
      </c>
    </row>
    <row r="51" spans="2:27" s="1139" customFormat="1" ht="12.75" hidden="1" customHeight="1">
      <c r="B51" s="347">
        <v>2006</v>
      </c>
      <c r="C51" s="369" t="s">
        <v>37</v>
      </c>
      <c r="D51" s="1131">
        <v>461</v>
      </c>
      <c r="E51" s="1132"/>
      <c r="F51" s="1132">
        <v>233</v>
      </c>
      <c r="G51" s="1132"/>
      <c r="H51" s="1132">
        <v>77</v>
      </c>
      <c r="I51" s="1132"/>
      <c r="J51" s="1132">
        <v>22</v>
      </c>
      <c r="K51" s="1132"/>
      <c r="L51" s="1132">
        <v>73</v>
      </c>
      <c r="M51" s="1132"/>
      <c r="N51" s="1132">
        <v>39</v>
      </c>
      <c r="O51" s="1132"/>
      <c r="P51" s="1132">
        <v>26</v>
      </c>
      <c r="Q51" s="1132"/>
      <c r="R51" s="1132">
        <v>32</v>
      </c>
      <c r="S51" s="1132"/>
      <c r="T51" s="1132">
        <v>24</v>
      </c>
      <c r="U51" s="1132" t="s">
        <v>43</v>
      </c>
      <c r="V51" s="1132"/>
      <c r="W51" s="1132"/>
      <c r="X51" s="1132">
        <f t="shared" si="7"/>
        <v>987</v>
      </c>
      <c r="Y51" s="1134"/>
      <c r="Z51" s="768">
        <v>2006</v>
      </c>
      <c r="AA51" s="348" t="s">
        <v>82</v>
      </c>
    </row>
    <row r="52" spans="2:27" s="1139" customFormat="1" ht="12.75" hidden="1" customHeight="1">
      <c r="B52" s="347">
        <v>2006</v>
      </c>
      <c r="C52" s="369" t="s">
        <v>31</v>
      </c>
      <c r="D52" s="1131">
        <v>590</v>
      </c>
      <c r="E52" s="1132"/>
      <c r="F52" s="1132">
        <v>264</v>
      </c>
      <c r="G52" s="1132"/>
      <c r="H52" s="1132">
        <v>109</v>
      </c>
      <c r="I52" s="1132"/>
      <c r="J52" s="1132">
        <v>16</v>
      </c>
      <c r="K52" s="1132"/>
      <c r="L52" s="1132">
        <v>79</v>
      </c>
      <c r="M52" s="1132"/>
      <c r="N52" s="1132">
        <v>38</v>
      </c>
      <c r="O52" s="1132"/>
      <c r="P52" s="1132">
        <v>43</v>
      </c>
      <c r="Q52" s="1132"/>
      <c r="R52" s="1132">
        <v>56</v>
      </c>
      <c r="S52" s="1132"/>
      <c r="T52" s="1132">
        <v>16</v>
      </c>
      <c r="U52" s="1132" t="s">
        <v>43</v>
      </c>
      <c r="V52" s="1132"/>
      <c r="W52" s="1132"/>
      <c r="X52" s="1132">
        <f t="shared" si="7"/>
        <v>1211</v>
      </c>
      <c r="Y52" s="1134"/>
      <c r="Z52" s="768">
        <v>2006</v>
      </c>
      <c r="AA52" s="348" t="s">
        <v>31</v>
      </c>
    </row>
    <row r="53" spans="2:27" s="1139" customFormat="1" ht="12.75" hidden="1" customHeight="1">
      <c r="B53" s="347">
        <v>2006</v>
      </c>
      <c r="C53" s="1130" t="s">
        <v>50</v>
      </c>
      <c r="D53" s="1131">
        <v>608</v>
      </c>
      <c r="E53" s="1132"/>
      <c r="F53" s="1132">
        <v>296</v>
      </c>
      <c r="G53" s="1132"/>
      <c r="H53" s="1132">
        <v>90</v>
      </c>
      <c r="I53" s="1132"/>
      <c r="J53" s="1132">
        <v>16</v>
      </c>
      <c r="K53" s="1132"/>
      <c r="L53" s="1132">
        <v>78</v>
      </c>
      <c r="M53" s="1132"/>
      <c r="N53" s="1132">
        <v>19</v>
      </c>
      <c r="O53" s="1132"/>
      <c r="P53" s="1132">
        <v>46</v>
      </c>
      <c r="Q53" s="1132"/>
      <c r="R53" s="1132">
        <v>42</v>
      </c>
      <c r="S53" s="1132"/>
      <c r="T53" s="1132">
        <v>17</v>
      </c>
      <c r="U53" s="1132" t="s">
        <v>43</v>
      </c>
      <c r="V53" s="1132"/>
      <c r="W53" s="1132"/>
      <c r="X53" s="1132">
        <f t="shared" ref="X53:X60" si="8">SUM(D53:U53)</f>
        <v>1212</v>
      </c>
      <c r="Y53" s="1134"/>
      <c r="Z53" s="768">
        <v>2006</v>
      </c>
      <c r="AA53" s="348" t="s">
        <v>50</v>
      </c>
    </row>
    <row r="54" spans="2:27" s="1139" customFormat="1" ht="12.75" hidden="1" customHeight="1">
      <c r="B54" s="347">
        <v>2006</v>
      </c>
      <c r="C54" s="1130" t="s">
        <v>39</v>
      </c>
      <c r="D54" s="1131">
        <v>722</v>
      </c>
      <c r="E54" s="1132"/>
      <c r="F54" s="1132">
        <v>256</v>
      </c>
      <c r="G54" s="1132"/>
      <c r="H54" s="1132">
        <v>89</v>
      </c>
      <c r="I54" s="1132"/>
      <c r="J54" s="1132">
        <v>19</v>
      </c>
      <c r="K54" s="1132"/>
      <c r="L54" s="1132">
        <v>93</v>
      </c>
      <c r="M54" s="1132"/>
      <c r="N54" s="1132">
        <v>33</v>
      </c>
      <c r="O54" s="1132"/>
      <c r="P54" s="1132">
        <v>26</v>
      </c>
      <c r="Q54" s="1132"/>
      <c r="R54" s="1132">
        <v>23</v>
      </c>
      <c r="S54" s="1132"/>
      <c r="T54" s="1132">
        <v>11</v>
      </c>
      <c r="U54" s="1132" t="s">
        <v>43</v>
      </c>
      <c r="V54" s="1132"/>
      <c r="W54" s="1132"/>
      <c r="X54" s="1132">
        <f t="shared" si="8"/>
        <v>1272</v>
      </c>
      <c r="Y54" s="1134"/>
      <c r="Z54" s="768">
        <v>2006</v>
      </c>
      <c r="AA54" s="348" t="s">
        <v>39</v>
      </c>
    </row>
    <row r="55" spans="2:27" s="1139" customFormat="1" ht="12.75" hidden="1" customHeight="1">
      <c r="B55" s="347">
        <v>2006</v>
      </c>
      <c r="C55" s="1130" t="s">
        <v>32</v>
      </c>
      <c r="D55" s="1131">
        <v>1050</v>
      </c>
      <c r="E55" s="1132"/>
      <c r="F55" s="1132">
        <v>240</v>
      </c>
      <c r="G55" s="1132"/>
      <c r="H55" s="1132">
        <v>128</v>
      </c>
      <c r="I55" s="1132"/>
      <c r="J55" s="1132">
        <v>6</v>
      </c>
      <c r="K55" s="1132"/>
      <c r="L55" s="1132">
        <v>78</v>
      </c>
      <c r="M55" s="1132"/>
      <c r="N55" s="1132">
        <v>34</v>
      </c>
      <c r="O55" s="1132"/>
      <c r="P55" s="1132">
        <v>34</v>
      </c>
      <c r="Q55" s="1132"/>
      <c r="R55" s="1132">
        <v>29</v>
      </c>
      <c r="S55" s="1132"/>
      <c r="T55" s="1132">
        <v>7</v>
      </c>
      <c r="U55" s="1132" t="s">
        <v>43</v>
      </c>
      <c r="V55" s="1132"/>
      <c r="W55" s="1132"/>
      <c r="X55" s="1132">
        <f t="shared" si="8"/>
        <v>1606</v>
      </c>
      <c r="Y55" s="1134"/>
      <c r="Z55" s="768">
        <v>2006</v>
      </c>
      <c r="AA55" s="348" t="s">
        <v>83</v>
      </c>
    </row>
    <row r="56" spans="2:27" s="1139" customFormat="1" ht="12.75" hidden="1" customHeight="1">
      <c r="B56" s="347">
        <v>2007</v>
      </c>
      <c r="C56" s="1130" t="s">
        <v>33</v>
      </c>
      <c r="D56" s="1131">
        <v>995.83009439200441</v>
      </c>
      <c r="E56" s="1132"/>
      <c r="F56" s="1132">
        <v>377.47695724597446</v>
      </c>
      <c r="G56" s="1132"/>
      <c r="H56" s="1132">
        <v>156.41310383120489</v>
      </c>
      <c r="I56" s="1132"/>
      <c r="J56" s="1132">
        <v>35.453636868406441</v>
      </c>
      <c r="K56" s="1132"/>
      <c r="L56" s="1132">
        <v>129.30149916712938</v>
      </c>
      <c r="M56" s="1132"/>
      <c r="N56" s="1132">
        <v>58.394225430316489</v>
      </c>
      <c r="O56" s="1132"/>
      <c r="P56" s="1132">
        <v>60.479733481399222</v>
      </c>
      <c r="Q56" s="1132"/>
      <c r="R56" s="1132">
        <v>53.180455302609658</v>
      </c>
      <c r="S56" s="1132"/>
      <c r="T56" s="1132">
        <v>11.470294280955025</v>
      </c>
      <c r="U56" s="1132" t="s">
        <v>43</v>
      </c>
      <c r="V56" s="1132"/>
      <c r="W56" s="1132"/>
      <c r="X56" s="1132">
        <f>SUM(D56:U56)</f>
        <v>1878</v>
      </c>
      <c r="Y56" s="1136"/>
      <c r="Z56" s="768">
        <v>2007</v>
      </c>
      <c r="AA56" s="348" t="s">
        <v>33</v>
      </c>
    </row>
    <row r="57" spans="2:27" s="1139" customFormat="1" ht="12.75" hidden="1" customHeight="1">
      <c r="B57" s="347">
        <v>2007</v>
      </c>
      <c r="C57" s="1130" t="s">
        <v>34</v>
      </c>
      <c r="D57" s="1131">
        <v>426.14311431143113</v>
      </c>
      <c r="E57" s="1132"/>
      <c r="F57" s="1132">
        <v>256.73807380738072</v>
      </c>
      <c r="G57" s="1132"/>
      <c r="H57" s="1132">
        <v>154.67416741674168</v>
      </c>
      <c r="I57" s="1132"/>
      <c r="J57" s="1132">
        <v>17.887488748874887</v>
      </c>
      <c r="K57" s="1132"/>
      <c r="L57" s="1132">
        <v>84.176417641764175</v>
      </c>
      <c r="M57" s="1132"/>
      <c r="N57" s="1132">
        <v>35.774977497749774</v>
      </c>
      <c r="O57" s="1132"/>
      <c r="P57" s="1132">
        <v>139.94329432943294</v>
      </c>
      <c r="Q57" s="1132"/>
      <c r="R57" s="1132">
        <v>37.879387938793883</v>
      </c>
      <c r="S57" s="1132"/>
      <c r="T57" s="1132">
        <v>15.783078307830783</v>
      </c>
      <c r="U57" s="1132"/>
      <c r="V57" s="1132"/>
      <c r="W57" s="1132"/>
      <c r="X57" s="1132">
        <f t="shared" si="8"/>
        <v>1168.9999999999998</v>
      </c>
      <c r="Y57" s="1136"/>
      <c r="Z57" s="768">
        <v>2007</v>
      </c>
      <c r="AA57" s="348" t="s">
        <v>77</v>
      </c>
    </row>
    <row r="58" spans="2:27" s="1139" customFormat="1" ht="12.75" hidden="1" customHeight="1">
      <c r="B58" s="347">
        <v>2007</v>
      </c>
      <c r="C58" s="1130" t="s">
        <v>29</v>
      </c>
      <c r="D58" s="1131">
        <v>483.48805815160955</v>
      </c>
      <c r="E58" s="1132"/>
      <c r="F58" s="1132">
        <v>227.76739356178609</v>
      </c>
      <c r="G58" s="1132"/>
      <c r="H58" s="1132">
        <v>79.718587746625133</v>
      </c>
      <c r="I58" s="1132"/>
      <c r="J58" s="1132">
        <v>7.2471443406022846</v>
      </c>
      <c r="K58" s="1132"/>
      <c r="L58" s="1132">
        <v>83.859813084112147</v>
      </c>
      <c r="M58" s="1132"/>
      <c r="N58" s="1132">
        <v>21.741433021806852</v>
      </c>
      <c r="O58" s="1132"/>
      <c r="P58" s="1132">
        <v>42.447559709241951</v>
      </c>
      <c r="Q58" s="1132"/>
      <c r="R58" s="1132">
        <v>38.306334371754936</v>
      </c>
      <c r="S58" s="1132"/>
      <c r="T58" s="1132">
        <v>12.423676012461058</v>
      </c>
      <c r="U58" s="1132"/>
      <c r="V58" s="1132"/>
      <c r="W58" s="1132"/>
      <c r="X58" s="1132">
        <f t="shared" si="8"/>
        <v>997.00000000000011</v>
      </c>
      <c r="Y58" s="1136"/>
      <c r="Z58" s="768">
        <v>2007</v>
      </c>
      <c r="AA58" s="348" t="s">
        <v>29</v>
      </c>
    </row>
    <row r="59" spans="2:27" s="1139" customFormat="1" ht="12.75" hidden="1" customHeight="1">
      <c r="B59" s="347">
        <v>2007</v>
      </c>
      <c r="C59" s="1130" t="s">
        <v>35</v>
      </c>
      <c r="D59" s="1131">
        <v>665.97777777777776</v>
      </c>
      <c r="E59" s="1132"/>
      <c r="F59" s="1132">
        <v>319.58353909465018</v>
      </c>
      <c r="G59" s="1132"/>
      <c r="H59" s="1132">
        <v>100.80823045267489</v>
      </c>
      <c r="I59" s="1132"/>
      <c r="J59" s="1132">
        <v>3.2172839506172841</v>
      </c>
      <c r="K59" s="1132"/>
      <c r="L59" s="1132">
        <v>87.93909465020576</v>
      </c>
      <c r="M59" s="1132"/>
      <c r="N59" s="1132">
        <v>27.883127572016463</v>
      </c>
      <c r="O59" s="1132"/>
      <c r="P59" s="1132">
        <v>34.317695473251028</v>
      </c>
      <c r="Q59" s="1132"/>
      <c r="R59" s="1132">
        <v>43.96954732510288</v>
      </c>
      <c r="S59" s="1132"/>
      <c r="T59" s="1132">
        <v>19.303703703703704</v>
      </c>
      <c r="U59" s="1132"/>
      <c r="V59" s="1132"/>
      <c r="W59" s="1132"/>
      <c r="X59" s="1132">
        <f t="shared" si="8"/>
        <v>1302.9999999999998</v>
      </c>
      <c r="Y59" s="1136"/>
      <c r="Z59" s="768">
        <v>2007</v>
      </c>
      <c r="AA59" s="348" t="s">
        <v>78</v>
      </c>
    </row>
    <row r="60" spans="2:27" s="1139" customFormat="1" ht="12.75" hidden="1" customHeight="1">
      <c r="B60" s="347">
        <v>2007</v>
      </c>
      <c r="C60" s="1130" t="s">
        <v>4</v>
      </c>
      <c r="D60" s="1131">
        <v>598.125</v>
      </c>
      <c r="E60" s="1132"/>
      <c r="F60" s="1132">
        <v>221.71875</v>
      </c>
      <c r="G60" s="1132"/>
      <c r="H60" s="1132">
        <v>128.90625</v>
      </c>
      <c r="I60" s="1132"/>
      <c r="J60" s="1132">
        <v>1.03125</v>
      </c>
      <c r="K60" s="1132"/>
      <c r="L60" s="1132">
        <v>58.78125</v>
      </c>
      <c r="M60" s="1132"/>
      <c r="N60" s="1132">
        <v>24.75</v>
      </c>
      <c r="O60" s="1132"/>
      <c r="P60" s="1132">
        <v>22.6875</v>
      </c>
      <c r="Q60" s="1132"/>
      <c r="R60" s="1132">
        <v>25.78125</v>
      </c>
      <c r="S60" s="1132"/>
      <c r="T60" s="1132">
        <v>7.21875</v>
      </c>
      <c r="U60" s="1132"/>
      <c r="V60" s="1132"/>
      <c r="W60" s="1132"/>
      <c r="X60" s="1132">
        <f t="shared" si="8"/>
        <v>1089</v>
      </c>
      <c r="Y60" s="1136"/>
      <c r="Z60" s="768">
        <v>2007</v>
      </c>
      <c r="AA60" s="348" t="s">
        <v>79</v>
      </c>
    </row>
    <row r="61" spans="2:27" s="1139" customFormat="1" ht="12.75" hidden="1" customHeight="1">
      <c r="B61" s="347">
        <v>2007</v>
      </c>
      <c r="C61" s="1130" t="s">
        <v>68</v>
      </c>
      <c r="D61" s="1131">
        <v>577.03362151777139</v>
      </c>
      <c r="E61" s="1132"/>
      <c r="F61" s="1132">
        <v>213.22958693563882</v>
      </c>
      <c r="G61" s="1132"/>
      <c r="H61" s="1132">
        <v>90.951008645533136</v>
      </c>
      <c r="I61" s="1132"/>
      <c r="J61" s="1132">
        <v>2.0211335254562921</v>
      </c>
      <c r="K61" s="1132"/>
      <c r="L61" s="1132">
        <v>79.834774255523541</v>
      </c>
      <c r="M61" s="1132"/>
      <c r="N61" s="1132">
        <v>22.232468780019211</v>
      </c>
      <c r="O61" s="1132"/>
      <c r="P61" s="1132">
        <v>18.190201729106629</v>
      </c>
      <c r="Q61" s="1132"/>
      <c r="R61" s="1132">
        <v>29.306436119116235</v>
      </c>
      <c r="S61" s="1132"/>
      <c r="T61" s="1132">
        <v>19.200768491834776</v>
      </c>
      <c r="U61" s="1132"/>
      <c r="V61" s="1132"/>
      <c r="W61" s="1132"/>
      <c r="X61" s="1132">
        <f t="shared" ref="X61:X67" si="9">SUM(D61:U61)</f>
        <v>1052.0000000000002</v>
      </c>
      <c r="Y61" s="1136"/>
      <c r="Z61" s="768">
        <v>2007</v>
      </c>
      <c r="AA61" s="348" t="s">
        <v>80</v>
      </c>
    </row>
    <row r="62" spans="2:27" s="1139" customFormat="1" ht="12.75" hidden="1" customHeight="1">
      <c r="B62" s="347">
        <v>2007</v>
      </c>
      <c r="C62" s="369" t="s">
        <v>131</v>
      </c>
      <c r="D62" s="1131">
        <v>717.35941320293398</v>
      </c>
      <c r="E62" s="1132"/>
      <c r="F62" s="1132">
        <v>267.81418092909536</v>
      </c>
      <c r="G62" s="1132"/>
      <c r="H62" s="1132">
        <v>139.22086389568051</v>
      </c>
      <c r="I62" s="1132"/>
      <c r="J62" s="1132">
        <v>5.3137734311328444</v>
      </c>
      <c r="K62" s="1132"/>
      <c r="L62" s="1132">
        <v>80.769356153219235</v>
      </c>
      <c r="M62" s="1132"/>
      <c r="N62" s="1132">
        <v>27.631621841890791</v>
      </c>
      <c r="O62" s="1132"/>
      <c r="P62" s="1132">
        <v>17.004074979625102</v>
      </c>
      <c r="Q62" s="1132"/>
      <c r="R62" s="1132">
        <v>37.196414017929911</v>
      </c>
      <c r="S62" s="1132"/>
      <c r="T62" s="1132">
        <v>11.690301548492258</v>
      </c>
      <c r="U62" s="1132"/>
      <c r="V62" s="1132"/>
      <c r="W62" s="1132"/>
      <c r="X62" s="1132">
        <f t="shared" si="9"/>
        <v>1304</v>
      </c>
      <c r="Y62" s="1136"/>
      <c r="Z62" s="768">
        <v>2007</v>
      </c>
      <c r="AA62" s="348" t="s">
        <v>81</v>
      </c>
    </row>
    <row r="63" spans="2:27" s="1139" customFormat="1" ht="12.75" hidden="1" customHeight="1">
      <c r="B63" s="347">
        <v>2007</v>
      </c>
      <c r="C63" s="369" t="s">
        <v>37</v>
      </c>
      <c r="D63" s="1131">
        <v>609.87715930902107</v>
      </c>
      <c r="E63" s="1132"/>
      <c r="F63" s="1132">
        <v>207.91266794625719</v>
      </c>
      <c r="G63" s="1132"/>
      <c r="H63" s="1132">
        <v>97.025911708253361</v>
      </c>
      <c r="I63" s="1132"/>
      <c r="J63" s="1132">
        <v>2.1324376199616122</v>
      </c>
      <c r="K63" s="1132"/>
      <c r="L63" s="1132">
        <v>90.628598848368526</v>
      </c>
      <c r="M63" s="1132"/>
      <c r="N63" s="1132">
        <v>24.523032629558543</v>
      </c>
      <c r="O63" s="1132"/>
      <c r="P63" s="1132">
        <v>15.993282149712092</v>
      </c>
      <c r="Q63" s="1132"/>
      <c r="R63" s="1132">
        <v>50.112284069097889</v>
      </c>
      <c r="S63" s="1132"/>
      <c r="T63" s="1132">
        <v>12.794625719769673</v>
      </c>
      <c r="U63" s="1132"/>
      <c r="V63" s="1132"/>
      <c r="W63" s="1132"/>
      <c r="X63" s="1132">
        <f>SUM(D63:U63)</f>
        <v>1111.0000000000002</v>
      </c>
      <c r="Y63" s="1134"/>
      <c r="Z63" s="768">
        <v>2007</v>
      </c>
      <c r="AA63" s="348" t="s">
        <v>82</v>
      </c>
    </row>
    <row r="64" spans="2:27" s="1139" customFormat="1" ht="12.75" hidden="1" customHeight="1">
      <c r="B64" s="347">
        <v>2007</v>
      </c>
      <c r="C64" s="369" t="s">
        <v>31</v>
      </c>
      <c r="D64" s="1131" t="s">
        <v>391</v>
      </c>
      <c r="E64" s="1132"/>
      <c r="F64" s="1132" t="s">
        <v>391</v>
      </c>
      <c r="G64" s="1132"/>
      <c r="H64" s="1132" t="s">
        <v>391</v>
      </c>
      <c r="I64" s="1132"/>
      <c r="J64" s="1132" t="s">
        <v>391</v>
      </c>
      <c r="K64" s="1132"/>
      <c r="L64" s="1132" t="s">
        <v>391</v>
      </c>
      <c r="M64" s="1132"/>
      <c r="N64" s="1132" t="s">
        <v>391</v>
      </c>
      <c r="O64" s="1132"/>
      <c r="P64" s="1132" t="s">
        <v>391</v>
      </c>
      <c r="Q64" s="1132"/>
      <c r="R64" s="1132" t="s">
        <v>391</v>
      </c>
      <c r="S64" s="1132"/>
      <c r="T64" s="1132" t="s">
        <v>391</v>
      </c>
      <c r="U64" s="1132"/>
      <c r="V64" s="1132"/>
      <c r="W64" s="1132"/>
      <c r="X64" s="1132" t="s">
        <v>391</v>
      </c>
      <c r="Y64" s="1136"/>
      <c r="Z64" s="768">
        <v>2007</v>
      </c>
      <c r="AA64" s="348" t="s">
        <v>421</v>
      </c>
    </row>
    <row r="65" spans="2:28" s="1139" customFormat="1" ht="12.75" hidden="1" customHeight="1">
      <c r="B65" s="347">
        <v>2007</v>
      </c>
      <c r="C65" s="369" t="s">
        <v>38</v>
      </c>
      <c r="D65" s="1131">
        <v>639.12360515021464</v>
      </c>
      <c r="E65" s="1132"/>
      <c r="F65" s="1132">
        <v>268.61716738197424</v>
      </c>
      <c r="G65" s="1132"/>
      <c r="H65" s="1132">
        <v>113.21030042918454</v>
      </c>
      <c r="I65" s="1132"/>
      <c r="J65" s="1132">
        <v>8.2334763948497862</v>
      </c>
      <c r="K65" s="1132"/>
      <c r="L65" s="1132">
        <v>84.393133047210299</v>
      </c>
      <c r="M65" s="1132"/>
      <c r="N65" s="1132">
        <v>17.496137339055792</v>
      </c>
      <c r="O65" s="1132"/>
      <c r="P65" s="1132">
        <v>14.408583690987124</v>
      </c>
      <c r="Q65" s="1132"/>
      <c r="R65" s="1132">
        <v>39.109012875536479</v>
      </c>
      <c r="S65" s="1132"/>
      <c r="T65" s="1132">
        <v>14.408583690987124</v>
      </c>
      <c r="U65" s="1132"/>
      <c r="V65" s="1132"/>
      <c r="W65" s="1132"/>
      <c r="X65" s="1132">
        <f t="shared" si="9"/>
        <v>1199.0000000000002</v>
      </c>
      <c r="Y65" s="1134"/>
      <c r="Z65" s="768">
        <v>2007</v>
      </c>
      <c r="AA65" s="348" t="s">
        <v>38</v>
      </c>
    </row>
    <row r="66" spans="2:28" s="1139" customFormat="1" ht="12.75" hidden="1" customHeight="1">
      <c r="B66" s="347">
        <v>2007</v>
      </c>
      <c r="C66" s="369" t="s">
        <v>39</v>
      </c>
      <c r="D66" s="1131">
        <v>639.12360515021464</v>
      </c>
      <c r="E66" s="1132"/>
      <c r="F66" s="1132">
        <v>268.61716738197424</v>
      </c>
      <c r="G66" s="1132"/>
      <c r="H66" s="1132">
        <v>113.21030042918454</v>
      </c>
      <c r="I66" s="1132"/>
      <c r="J66" s="1132">
        <v>8.2334763948497862</v>
      </c>
      <c r="K66" s="1132"/>
      <c r="L66" s="1132">
        <v>84.393133047210299</v>
      </c>
      <c r="M66" s="1132"/>
      <c r="N66" s="1132">
        <v>17.496137339055792</v>
      </c>
      <c r="O66" s="1132"/>
      <c r="P66" s="1132">
        <v>14.408583690987124</v>
      </c>
      <c r="Q66" s="1132"/>
      <c r="R66" s="1132">
        <v>39.109012875536479</v>
      </c>
      <c r="S66" s="1132"/>
      <c r="T66" s="1132">
        <v>14.408583690987124</v>
      </c>
      <c r="U66" s="1132"/>
      <c r="V66" s="1132"/>
      <c r="W66" s="1132"/>
      <c r="X66" s="1132">
        <f t="shared" si="9"/>
        <v>1199.0000000000002</v>
      </c>
      <c r="Y66" s="1134"/>
      <c r="Z66" s="768">
        <v>2007</v>
      </c>
      <c r="AA66" s="348" t="s">
        <v>39</v>
      </c>
    </row>
    <row r="67" spans="2:28" s="1139" customFormat="1" ht="12.75" hidden="1" customHeight="1">
      <c r="B67" s="347">
        <v>2007</v>
      </c>
      <c r="C67" s="369" t="s">
        <v>32</v>
      </c>
      <c r="D67" s="1131">
        <v>875.28345323741007</v>
      </c>
      <c r="E67" s="1132"/>
      <c r="F67" s="1132">
        <v>256.05611510791368</v>
      </c>
      <c r="G67" s="1132"/>
      <c r="H67" s="1132">
        <v>96.913669064748206</v>
      </c>
      <c r="I67" s="1132"/>
      <c r="J67" s="1132">
        <v>9.1812949640287762</v>
      </c>
      <c r="K67" s="1132"/>
      <c r="L67" s="1132">
        <v>98.953956834532377</v>
      </c>
      <c r="M67" s="1132"/>
      <c r="N67" s="1132">
        <v>10.201438848920864</v>
      </c>
      <c r="O67" s="1132"/>
      <c r="P67" s="1132">
        <v>20.402877697841728</v>
      </c>
      <c r="Q67" s="1132"/>
      <c r="R67" s="1132">
        <v>36.725179856115105</v>
      </c>
      <c r="S67" s="1132"/>
      <c r="T67" s="1132">
        <v>14.282014388489209</v>
      </c>
      <c r="U67" s="1132"/>
      <c r="V67" s="1132"/>
      <c r="W67" s="1132"/>
      <c r="X67" s="1132">
        <f t="shared" si="9"/>
        <v>1417.9999999999998</v>
      </c>
      <c r="Y67" s="1134"/>
      <c r="Z67" s="768">
        <v>2007</v>
      </c>
      <c r="AA67" s="348" t="s">
        <v>32</v>
      </c>
    </row>
    <row r="68" spans="2:28" s="2" customFormat="1" ht="12.75" hidden="1" customHeight="1">
      <c r="B68" s="68">
        <v>2008</v>
      </c>
      <c r="C68" s="12" t="s">
        <v>33</v>
      </c>
      <c r="D68" s="85">
        <v>715.65774378585081</v>
      </c>
      <c r="E68" s="78"/>
      <c r="F68" s="78">
        <v>322.4053537284895</v>
      </c>
      <c r="G68" s="78"/>
      <c r="H68" s="78">
        <v>206.38049713193118</v>
      </c>
      <c r="I68" s="78"/>
      <c r="J68" s="78">
        <v>11.294455066921605</v>
      </c>
      <c r="K68" s="78"/>
      <c r="L68" s="78">
        <v>145.80114722753345</v>
      </c>
      <c r="M68" s="78"/>
      <c r="N68" s="78">
        <v>47.231357552581265</v>
      </c>
      <c r="O68" s="78"/>
      <c r="P68" s="78">
        <v>75.98087954110899</v>
      </c>
      <c r="Q68" s="78"/>
      <c r="R68" s="78">
        <v>67.766730401529642</v>
      </c>
      <c r="S68" s="78"/>
      <c r="T68" s="78">
        <v>18.481835564053537</v>
      </c>
      <c r="U68" s="89"/>
      <c r="V68" s="89"/>
      <c r="W68" s="89"/>
      <c r="X68" s="78">
        <f t="shared" ref="X68:X72" si="10">SUM(D68:U68)</f>
        <v>1611</v>
      </c>
      <c r="Y68" s="71"/>
      <c r="Z68" s="76">
        <v>2008</v>
      </c>
      <c r="AA68" s="71" t="s">
        <v>33</v>
      </c>
      <c r="AB68" s="138"/>
    </row>
    <row r="69" spans="2:28" s="2" customFormat="1" ht="12.75" hidden="1" customHeight="1">
      <c r="B69" s="68">
        <v>2008</v>
      </c>
      <c r="C69" s="12" t="s">
        <v>34</v>
      </c>
      <c r="D69" s="85">
        <v>678.47810480976307</v>
      </c>
      <c r="E69" s="78"/>
      <c r="F69" s="78">
        <v>279.61521895190236</v>
      </c>
      <c r="G69" s="78"/>
      <c r="H69" s="78">
        <v>151.11557788944722</v>
      </c>
      <c r="I69" s="78"/>
      <c r="J69" s="78">
        <v>5.1399856424982051</v>
      </c>
      <c r="K69" s="78"/>
      <c r="L69" s="78">
        <v>109.9956927494616</v>
      </c>
      <c r="M69" s="78"/>
      <c r="N69" s="78">
        <v>31.867910983488873</v>
      </c>
      <c r="O69" s="78"/>
      <c r="P69" s="78">
        <v>115.1356783919598</v>
      </c>
      <c r="Q69" s="78"/>
      <c r="R69" s="78">
        <v>34.951902368987795</v>
      </c>
      <c r="S69" s="78"/>
      <c r="T69" s="78">
        <v>25.699928212491027</v>
      </c>
      <c r="U69" s="89"/>
      <c r="V69" s="89"/>
      <c r="W69" s="89"/>
      <c r="X69" s="78">
        <f t="shared" si="10"/>
        <v>1431.9999999999998</v>
      </c>
      <c r="Y69" s="71"/>
      <c r="Z69" s="76">
        <v>2008</v>
      </c>
      <c r="AA69" s="71" t="s">
        <v>77</v>
      </c>
    </row>
    <row r="70" spans="2:28" s="2" customFormat="1" ht="12.75" hidden="1" customHeight="1">
      <c r="B70" s="68">
        <v>2008</v>
      </c>
      <c r="C70" s="12" t="s">
        <v>29</v>
      </c>
      <c r="D70" s="85">
        <v>597.27163667523564</v>
      </c>
      <c r="E70" s="78"/>
      <c r="F70" s="78">
        <v>267.06426735218508</v>
      </c>
      <c r="G70" s="78"/>
      <c r="H70" s="78">
        <v>137.6726649528706</v>
      </c>
      <c r="I70" s="78"/>
      <c r="J70" s="78">
        <v>11.386461011139675</v>
      </c>
      <c r="K70" s="78"/>
      <c r="L70" s="78">
        <v>91.091688089117397</v>
      </c>
      <c r="M70" s="78"/>
      <c r="N70" s="78">
        <v>33.12425021422451</v>
      </c>
      <c r="O70" s="78"/>
      <c r="P70" s="78">
        <v>34.159383033419026</v>
      </c>
      <c r="Q70" s="78"/>
      <c r="R70" s="78">
        <v>19.667523564695802</v>
      </c>
      <c r="S70" s="78"/>
      <c r="T70" s="78">
        <v>16.562125107112255</v>
      </c>
      <c r="U70" s="89"/>
      <c r="V70" s="89"/>
      <c r="W70" s="89"/>
      <c r="X70" s="78">
        <f t="shared" si="10"/>
        <v>1208</v>
      </c>
      <c r="Y70" s="71"/>
      <c r="Z70" s="76">
        <v>2008</v>
      </c>
      <c r="AA70" s="71" t="s">
        <v>29</v>
      </c>
    </row>
    <row r="71" spans="2:28" s="2" customFormat="1" ht="12.75" hidden="1" customHeight="1">
      <c r="B71" s="68">
        <v>2008</v>
      </c>
      <c r="C71" s="12" t="s">
        <v>35</v>
      </c>
      <c r="D71" s="85">
        <v>622.99404255319155</v>
      </c>
      <c r="E71" s="78"/>
      <c r="F71" s="78">
        <v>300.61276595744681</v>
      </c>
      <c r="G71" s="78"/>
      <c r="H71" s="78">
        <v>97.44</v>
      </c>
      <c r="I71" s="78"/>
      <c r="J71" s="78">
        <v>5.182978723404255</v>
      </c>
      <c r="K71" s="78"/>
      <c r="L71" s="78">
        <v>96.403404255319145</v>
      </c>
      <c r="M71" s="78"/>
      <c r="N71" s="78">
        <v>27.988085106382979</v>
      </c>
      <c r="O71" s="78"/>
      <c r="P71" s="78">
        <v>17.622127659574467</v>
      </c>
      <c r="Q71" s="78"/>
      <c r="R71" s="78">
        <v>30.06127659574468</v>
      </c>
      <c r="S71" s="78"/>
      <c r="T71" s="78">
        <v>19.695319148936171</v>
      </c>
      <c r="U71" s="89"/>
      <c r="V71" s="89"/>
      <c r="W71" s="89"/>
      <c r="X71" s="78">
        <f t="shared" si="10"/>
        <v>1218</v>
      </c>
      <c r="Y71" s="71"/>
      <c r="Z71" s="76">
        <v>2008</v>
      </c>
      <c r="AA71" s="71" t="s">
        <v>78</v>
      </c>
    </row>
    <row r="72" spans="2:28" s="2" customFormat="1" ht="12.75" hidden="1" customHeight="1">
      <c r="B72" s="68">
        <v>2008</v>
      </c>
      <c r="C72" s="12" t="s">
        <v>4</v>
      </c>
      <c r="D72" s="85">
        <v>984.64245104232464</v>
      </c>
      <c r="E72" s="78"/>
      <c r="F72" s="78">
        <v>284.72836386607707</v>
      </c>
      <c r="G72" s="78"/>
      <c r="H72" s="78">
        <v>152.20025268477573</v>
      </c>
      <c r="I72" s="78"/>
      <c r="J72" s="78">
        <v>6.2122552116234999</v>
      </c>
      <c r="K72" s="78"/>
      <c r="L72" s="78">
        <v>91.113076437144656</v>
      </c>
      <c r="M72" s="78"/>
      <c r="N72" s="78">
        <v>28.990524320909664</v>
      </c>
      <c r="O72" s="78"/>
      <c r="P72" s="78">
        <v>33.132027795325328</v>
      </c>
      <c r="Q72" s="78"/>
      <c r="R72" s="78">
        <v>35.202779532533164</v>
      </c>
      <c r="S72" s="78"/>
      <c r="T72" s="78">
        <v>22.778269109286164</v>
      </c>
      <c r="U72" s="89"/>
      <c r="V72" s="89"/>
      <c r="W72" s="89"/>
      <c r="X72" s="78">
        <f t="shared" si="10"/>
        <v>1638.9999999999998</v>
      </c>
      <c r="Y72" s="71"/>
      <c r="Z72" s="76">
        <v>2008</v>
      </c>
      <c r="AA72" s="71" t="s">
        <v>79</v>
      </c>
    </row>
    <row r="73" spans="2:28" s="2" customFormat="1" ht="12.75" hidden="1" customHeight="1">
      <c r="B73" s="68">
        <v>2008</v>
      </c>
      <c r="C73" s="12" t="s">
        <v>30</v>
      </c>
      <c r="D73" s="85">
        <v>1015.8160103292447</v>
      </c>
      <c r="E73" s="78"/>
      <c r="F73" s="78">
        <v>226.9922530664945</v>
      </c>
      <c r="G73" s="78"/>
      <c r="H73" s="78">
        <v>123.25371207230471</v>
      </c>
      <c r="I73" s="78"/>
      <c r="J73" s="78">
        <v>7.1897998708844417</v>
      </c>
      <c r="K73" s="78"/>
      <c r="L73" s="78">
        <v>94.494512588766952</v>
      </c>
      <c r="M73" s="78"/>
      <c r="N73" s="78">
        <v>33.894770819883796</v>
      </c>
      <c r="O73" s="78"/>
      <c r="P73" s="78">
        <v>31.840542285345386</v>
      </c>
      <c r="Q73" s="78"/>
      <c r="R73" s="78">
        <v>41.084570690768238</v>
      </c>
      <c r="S73" s="78"/>
      <c r="T73" s="78">
        <v>16.433828276307295</v>
      </c>
      <c r="U73" s="89"/>
      <c r="V73" s="89"/>
      <c r="W73" s="89"/>
      <c r="X73" s="78">
        <f t="shared" ref="X73:X78" si="11">SUM(D73:U73)</f>
        <v>1591.0000000000005</v>
      </c>
      <c r="Y73" s="71"/>
      <c r="Z73" s="76">
        <v>2008</v>
      </c>
      <c r="AA73" s="71" t="s">
        <v>80</v>
      </c>
    </row>
    <row r="74" spans="2:28" s="2" customFormat="1" ht="12.75" hidden="1" customHeight="1">
      <c r="B74" s="68">
        <v>2008</v>
      </c>
      <c r="C74" s="12" t="s">
        <v>36</v>
      </c>
      <c r="D74" s="85">
        <v>945.12103055721991</v>
      </c>
      <c r="E74" s="78"/>
      <c r="F74" s="78">
        <v>338.93289394847216</v>
      </c>
      <c r="G74" s="78"/>
      <c r="H74" s="78">
        <v>132.09167165967645</v>
      </c>
      <c r="I74" s="78"/>
      <c r="J74" s="78">
        <v>21.503295386458959</v>
      </c>
      <c r="K74" s="78"/>
      <c r="L74" s="78">
        <v>124.9239065308568</v>
      </c>
      <c r="M74" s="78"/>
      <c r="N74" s="78">
        <v>30.718993409227082</v>
      </c>
      <c r="O74" s="78"/>
      <c r="P74" s="78">
        <v>68.605751947273816</v>
      </c>
      <c r="Q74" s="78"/>
      <c r="R74" s="78">
        <v>25.599161174355903</v>
      </c>
      <c r="S74" s="78"/>
      <c r="T74" s="78">
        <v>21.503295386458959</v>
      </c>
      <c r="U74" s="89"/>
      <c r="V74" s="89"/>
      <c r="W74" s="89"/>
      <c r="X74" s="78">
        <f t="shared" si="11"/>
        <v>1709.0000000000002</v>
      </c>
      <c r="Y74" s="71"/>
      <c r="Z74" s="76">
        <v>2008</v>
      </c>
      <c r="AA74" s="71" t="s">
        <v>81</v>
      </c>
    </row>
    <row r="75" spans="2:28" s="2" customFormat="1" ht="12.75" hidden="1" customHeight="1">
      <c r="B75" s="68">
        <v>2008</v>
      </c>
      <c r="C75" s="12" t="s">
        <v>37</v>
      </c>
      <c r="D75" s="85">
        <v>1049.6004700352526</v>
      </c>
      <c r="E75" s="78"/>
      <c r="F75" s="78">
        <v>277.64982373678026</v>
      </c>
      <c r="G75" s="78"/>
      <c r="H75" s="78">
        <v>110.4289071680376</v>
      </c>
      <c r="I75" s="78"/>
      <c r="J75" s="78">
        <v>25.240893066980025</v>
      </c>
      <c r="K75" s="78"/>
      <c r="L75" s="78">
        <v>138.82491186839013</v>
      </c>
      <c r="M75" s="78"/>
      <c r="N75" s="78">
        <v>34.706227967097533</v>
      </c>
      <c r="O75" s="78"/>
      <c r="P75" s="78">
        <v>68.360752056404223</v>
      </c>
      <c r="Q75" s="78"/>
      <c r="R75" s="78">
        <v>63.10223266745006</v>
      </c>
      <c r="S75" s="78"/>
      <c r="T75" s="78">
        <v>22.085781433607522</v>
      </c>
      <c r="U75" s="89"/>
      <c r="V75" s="89"/>
      <c r="W75" s="89"/>
      <c r="X75" s="78">
        <f t="shared" si="11"/>
        <v>1790</v>
      </c>
      <c r="Y75" s="71"/>
      <c r="Z75" s="76">
        <v>2008</v>
      </c>
      <c r="AA75" s="71" t="s">
        <v>82</v>
      </c>
    </row>
    <row r="76" spans="2:28" s="2" customFormat="1" ht="12.75" hidden="1" customHeight="1">
      <c r="B76" s="68">
        <v>2008</v>
      </c>
      <c r="C76" s="12" t="s">
        <v>31</v>
      </c>
      <c r="D76" s="85">
        <v>1258.5063829787234</v>
      </c>
      <c r="E76" s="78"/>
      <c r="F76" s="78">
        <v>274.52712765957449</v>
      </c>
      <c r="G76" s="78"/>
      <c r="H76" s="78">
        <v>177.87712765957446</v>
      </c>
      <c r="I76" s="78"/>
      <c r="J76" s="78">
        <v>11.310106382978724</v>
      </c>
      <c r="K76" s="78"/>
      <c r="L76" s="78">
        <v>93.565425531914897</v>
      </c>
      <c r="M76" s="78"/>
      <c r="N76" s="78">
        <v>24.676595744680853</v>
      </c>
      <c r="O76" s="78"/>
      <c r="P76" s="78">
        <v>42.155851063829786</v>
      </c>
      <c r="Q76" s="78"/>
      <c r="R76" s="78">
        <v>32.902127659574468</v>
      </c>
      <c r="S76" s="78"/>
      <c r="T76" s="78">
        <v>17.479255319148937</v>
      </c>
      <c r="U76" s="89"/>
      <c r="V76" s="89"/>
      <c r="W76" s="89"/>
      <c r="X76" s="78">
        <f>SUM(D76:U76)</f>
        <v>1932.9999999999998</v>
      </c>
      <c r="Y76" s="71"/>
      <c r="Z76" s="76">
        <v>2008</v>
      </c>
      <c r="AA76" s="71" t="s">
        <v>31</v>
      </c>
    </row>
    <row r="77" spans="2:28" s="2" customFormat="1" ht="12.75" hidden="1" customHeight="1">
      <c r="B77" s="68">
        <v>2008</v>
      </c>
      <c r="C77" s="12" t="s">
        <v>38</v>
      </c>
      <c r="D77" s="85">
        <v>1001.4569125852449</v>
      </c>
      <c r="E77" s="78"/>
      <c r="F77" s="78">
        <v>295.62926224426536</v>
      </c>
      <c r="G77" s="78"/>
      <c r="H77" s="78">
        <v>116.615003099814</v>
      </c>
      <c r="I77" s="78"/>
      <c r="J77" s="78">
        <v>24.550526968381899</v>
      </c>
      <c r="K77" s="78"/>
      <c r="L77" s="78">
        <v>94.110353378797271</v>
      </c>
      <c r="M77" s="78"/>
      <c r="N77" s="78">
        <v>29.665220086794793</v>
      </c>
      <c r="O77" s="78"/>
      <c r="P77" s="78">
        <v>42.963422194668318</v>
      </c>
      <c r="Q77" s="78"/>
      <c r="R77" s="78">
        <v>23.527588344699318</v>
      </c>
      <c r="S77" s="78"/>
      <c r="T77" s="78">
        <v>21.481711097334159</v>
      </c>
      <c r="U77" s="89"/>
      <c r="V77" s="89"/>
      <c r="W77" s="89"/>
      <c r="X77" s="78">
        <f t="shared" si="11"/>
        <v>1650.0000000000002</v>
      </c>
      <c r="Y77" s="71"/>
      <c r="Z77" s="76">
        <v>2008</v>
      </c>
      <c r="AA77" s="71" t="s">
        <v>50</v>
      </c>
    </row>
    <row r="78" spans="2:28" s="2" customFormat="1" ht="12.75" hidden="1" customHeight="1">
      <c r="B78" s="68">
        <v>2008</v>
      </c>
      <c r="C78" s="12" t="s">
        <v>39</v>
      </c>
      <c r="D78" s="85">
        <v>1032.7818070067608</v>
      </c>
      <c r="E78" s="78"/>
      <c r="F78" s="78">
        <v>276.63798401966812</v>
      </c>
      <c r="G78" s="78"/>
      <c r="H78" s="78">
        <v>124.99938537185002</v>
      </c>
      <c r="I78" s="78"/>
      <c r="J78" s="78">
        <v>4.0983405039950833</v>
      </c>
      <c r="K78" s="78"/>
      <c r="L78" s="78">
        <v>108.6060233558697</v>
      </c>
      <c r="M78" s="78"/>
      <c r="N78" s="78">
        <v>42.0079901659496</v>
      </c>
      <c r="O78" s="78"/>
      <c r="P78" s="78">
        <v>19.467117393976643</v>
      </c>
      <c r="Q78" s="78"/>
      <c r="R78" s="78">
        <v>40.983405039950831</v>
      </c>
      <c r="S78" s="78"/>
      <c r="T78" s="78">
        <v>17.417947141979102</v>
      </c>
      <c r="U78" s="89"/>
      <c r="V78" s="89"/>
      <c r="W78" s="89"/>
      <c r="X78" s="78">
        <f t="shared" si="11"/>
        <v>1666.9999999999998</v>
      </c>
      <c r="Y78" s="71"/>
      <c r="Z78" s="76">
        <v>2008</v>
      </c>
      <c r="AA78" s="71" t="s">
        <v>39</v>
      </c>
    </row>
    <row r="79" spans="2:28" s="2" customFormat="1" ht="12.75" hidden="1" customHeight="1">
      <c r="B79" s="68">
        <v>2008</v>
      </c>
      <c r="C79" s="12" t="s">
        <v>32</v>
      </c>
      <c r="D79" s="85">
        <v>1168.404938271605</v>
      </c>
      <c r="E79" s="78"/>
      <c r="F79" s="78">
        <v>195.42716049382716</v>
      </c>
      <c r="G79" s="78"/>
      <c r="H79" s="78">
        <v>142.41234567901233</v>
      </c>
      <c r="I79" s="78"/>
      <c r="J79" s="78">
        <v>6.2370370370370374</v>
      </c>
      <c r="K79" s="78"/>
      <c r="L79" s="78">
        <v>87.318518518518516</v>
      </c>
      <c r="M79" s="78"/>
      <c r="N79" s="78">
        <v>22.869135802469135</v>
      </c>
      <c r="O79" s="78"/>
      <c r="P79" s="78">
        <v>27.027160493827161</v>
      </c>
      <c r="Q79" s="78"/>
      <c r="R79" s="78">
        <v>21.829629629629629</v>
      </c>
      <c r="S79" s="78"/>
      <c r="T79" s="78">
        <v>12.474074074074075</v>
      </c>
      <c r="U79" s="89"/>
      <c r="V79" s="89"/>
      <c r="W79" s="89"/>
      <c r="X79" s="78">
        <f>SUM(D79:U79)</f>
        <v>1683.9999999999998</v>
      </c>
      <c r="Y79" s="71"/>
      <c r="Z79" s="76">
        <v>2008</v>
      </c>
      <c r="AA79" s="71" t="s">
        <v>32</v>
      </c>
    </row>
    <row r="80" spans="2:28" s="2" customFormat="1" ht="12.75" hidden="1" customHeight="1">
      <c r="B80" s="68">
        <v>2009</v>
      </c>
      <c r="C80" s="12" t="s">
        <v>33</v>
      </c>
      <c r="D80" s="659">
        <v>923.29213483146066</v>
      </c>
      <c r="E80" s="283"/>
      <c r="F80" s="283">
        <v>392.62921348314609</v>
      </c>
      <c r="G80" s="283"/>
      <c r="H80" s="283">
        <v>205.51685393258427</v>
      </c>
      <c r="I80" s="283"/>
      <c r="J80" s="283">
        <v>16.359550561797754</v>
      </c>
      <c r="K80" s="283"/>
      <c r="L80" s="283">
        <v>144.16853932584269</v>
      </c>
      <c r="M80" s="283"/>
      <c r="N80" s="283">
        <v>43.966292134831463</v>
      </c>
      <c r="O80" s="283"/>
      <c r="P80" s="283">
        <v>94.067415730337075</v>
      </c>
      <c r="Q80" s="283"/>
      <c r="R80" s="283">
        <v>65.438202247191015</v>
      </c>
      <c r="S80" s="283"/>
      <c r="T80" s="283">
        <v>25.561797752808989</v>
      </c>
      <c r="U80" s="283"/>
      <c r="V80" s="283"/>
      <c r="W80" s="283"/>
      <c r="X80" s="283">
        <f t="shared" ref="X80:X87" si="12">SUM(D80:U80)</f>
        <v>1911</v>
      </c>
      <c r="Y80" s="71"/>
      <c r="Z80" s="594">
        <v>2009</v>
      </c>
      <c r="AA80" s="71" t="s">
        <v>33</v>
      </c>
    </row>
    <row r="81" spans="2:28" s="2" customFormat="1" ht="12.75" hidden="1" customHeight="1">
      <c r="B81" s="68">
        <v>2009</v>
      </c>
      <c r="C81" s="12" t="s">
        <v>34</v>
      </c>
      <c r="D81" s="659">
        <v>575.85714285714289</v>
      </c>
      <c r="E81" s="283"/>
      <c r="F81" s="283">
        <v>280.67857142857144</v>
      </c>
      <c r="G81" s="283"/>
      <c r="H81" s="283">
        <v>175.03571428571428</v>
      </c>
      <c r="I81" s="283"/>
      <c r="J81" s="283">
        <v>18.642857142857142</v>
      </c>
      <c r="K81" s="283"/>
      <c r="L81" s="283">
        <v>131.53571428571428</v>
      </c>
      <c r="M81" s="283"/>
      <c r="N81" s="283">
        <v>38.321428571428569</v>
      </c>
      <c r="O81" s="283"/>
      <c r="P81" s="283">
        <v>140.85714285714286</v>
      </c>
      <c r="Q81" s="283"/>
      <c r="R81" s="283">
        <v>45.571428571428569</v>
      </c>
      <c r="S81" s="283"/>
      <c r="T81" s="283">
        <v>14.5</v>
      </c>
      <c r="U81" s="283"/>
      <c r="V81" s="283"/>
      <c r="W81" s="283"/>
      <c r="X81" s="283">
        <f t="shared" si="12"/>
        <v>1421.0000000000002</v>
      </c>
      <c r="Y81" s="71"/>
      <c r="Z81" s="594"/>
      <c r="AA81" s="71" t="s">
        <v>77</v>
      </c>
    </row>
    <row r="82" spans="2:28" s="2" customFormat="1" ht="12.75" hidden="1" customHeight="1">
      <c r="B82" s="68">
        <v>2009</v>
      </c>
      <c r="C82" s="12" t="s">
        <v>29</v>
      </c>
      <c r="D82" s="659">
        <v>588.86482084690556</v>
      </c>
      <c r="E82" s="283"/>
      <c r="F82" s="283">
        <v>315.5</v>
      </c>
      <c r="G82" s="283"/>
      <c r="H82" s="283">
        <v>113.04560260586319</v>
      </c>
      <c r="I82" s="283"/>
      <c r="J82" s="283">
        <v>15.415309446254073</v>
      </c>
      <c r="K82" s="283"/>
      <c r="L82" s="283">
        <v>103.79641693811075</v>
      </c>
      <c r="M82" s="283"/>
      <c r="N82" s="283">
        <v>40.079804560260584</v>
      </c>
      <c r="O82" s="283"/>
      <c r="P82" s="283">
        <v>42.135179153094462</v>
      </c>
      <c r="Q82" s="283"/>
      <c r="R82" s="283">
        <v>23.636807817589577</v>
      </c>
      <c r="S82" s="283"/>
      <c r="T82" s="283">
        <v>19.526058631921824</v>
      </c>
      <c r="U82" s="283"/>
      <c r="V82" s="283"/>
      <c r="W82" s="283"/>
      <c r="X82" s="283">
        <f t="shared" si="12"/>
        <v>1262</v>
      </c>
      <c r="Y82" s="71"/>
      <c r="Z82" s="594"/>
      <c r="AA82" s="71" t="s">
        <v>29</v>
      </c>
    </row>
    <row r="83" spans="2:28" s="2" customFormat="1" ht="12.75" hidden="1" customHeight="1">
      <c r="B83" s="68">
        <v>2009</v>
      </c>
      <c r="C83" s="12" t="s">
        <v>35</v>
      </c>
      <c r="D83" s="659">
        <v>979.04056545789797</v>
      </c>
      <c r="E83" s="283"/>
      <c r="F83" s="283">
        <v>287.89305470190533</v>
      </c>
      <c r="G83" s="283"/>
      <c r="H83" s="283">
        <v>127.61216963736939</v>
      </c>
      <c r="I83" s="283"/>
      <c r="J83" s="283">
        <v>24.501536570374924</v>
      </c>
      <c r="K83" s="283"/>
      <c r="L83" s="283">
        <v>119.44499078057775</v>
      </c>
      <c r="M83" s="283"/>
      <c r="N83" s="283">
        <v>33.68961278426552</v>
      </c>
      <c r="O83" s="283"/>
      <c r="P83" s="283">
        <v>42.877688998156117</v>
      </c>
      <c r="Q83" s="283"/>
      <c r="R83" s="283">
        <v>24.501536570374924</v>
      </c>
      <c r="S83" s="283"/>
      <c r="T83" s="283">
        <v>21.438844499078058</v>
      </c>
      <c r="U83" s="283"/>
      <c r="V83" s="283"/>
      <c r="W83" s="283"/>
      <c r="X83" s="283">
        <f t="shared" si="12"/>
        <v>1660.9999999999998</v>
      </c>
      <c r="Y83" s="71"/>
      <c r="Z83" s="594"/>
      <c r="AA83" s="71" t="s">
        <v>78</v>
      </c>
    </row>
    <row r="84" spans="2:28" s="2" customFormat="1" ht="12.75" hidden="1" customHeight="1">
      <c r="B84" s="68">
        <v>2009</v>
      </c>
      <c r="C84" s="12" t="s">
        <v>4</v>
      </c>
      <c r="D84" s="659">
        <v>1060.5549645390072</v>
      </c>
      <c r="E84" s="283"/>
      <c r="F84" s="283">
        <v>273.72517730496452</v>
      </c>
      <c r="G84" s="283"/>
      <c r="H84" s="283">
        <v>186.29964539007094</v>
      </c>
      <c r="I84" s="283"/>
      <c r="J84" s="283">
        <v>18.73404255319149</v>
      </c>
      <c r="K84" s="283"/>
      <c r="L84" s="283">
        <v>110.322695035461</v>
      </c>
      <c r="M84" s="283"/>
      <c r="N84" s="283">
        <v>38.508865248226954</v>
      </c>
      <c r="O84" s="283"/>
      <c r="P84" s="283">
        <v>26.019503546099291</v>
      </c>
      <c r="Q84" s="283"/>
      <c r="R84" s="283">
        <v>23.937943262411348</v>
      </c>
      <c r="S84" s="283"/>
      <c r="T84" s="283">
        <v>22.897163120567377</v>
      </c>
      <c r="U84" s="283"/>
      <c r="V84" s="283"/>
      <c r="W84" s="283"/>
      <c r="X84" s="283">
        <f t="shared" si="12"/>
        <v>1761.0000000000005</v>
      </c>
      <c r="Y84" s="71"/>
      <c r="Z84" s="594"/>
      <c r="AA84" s="71" t="s">
        <v>79</v>
      </c>
    </row>
    <row r="85" spans="2:28" s="2" customFormat="1" ht="12.75" hidden="1" customHeight="1">
      <c r="B85" s="68">
        <v>2009</v>
      </c>
      <c r="C85" s="12" t="s">
        <v>30</v>
      </c>
      <c r="D85" s="659">
        <v>1320.6451434878586</v>
      </c>
      <c r="E85" s="283"/>
      <c r="F85" s="283">
        <v>238.52152317880794</v>
      </c>
      <c r="G85" s="283"/>
      <c r="H85" s="283">
        <v>99.125827814569533</v>
      </c>
      <c r="I85" s="283"/>
      <c r="J85" s="283">
        <v>15.48841059602649</v>
      </c>
      <c r="K85" s="283"/>
      <c r="L85" s="283">
        <v>84.669977924944817</v>
      </c>
      <c r="M85" s="283"/>
      <c r="N85" s="283">
        <v>25.814017660044151</v>
      </c>
      <c r="O85" s="283"/>
      <c r="P85" s="283">
        <v>32.009381898454748</v>
      </c>
      <c r="Q85" s="283"/>
      <c r="R85" s="283">
        <v>24.781456953642383</v>
      </c>
      <c r="S85" s="283"/>
      <c r="T85" s="283">
        <v>29.944260485651213</v>
      </c>
      <c r="U85" s="283"/>
      <c r="V85" s="283"/>
      <c r="W85" s="283"/>
      <c r="X85" s="283">
        <f t="shared" si="12"/>
        <v>1870.9999999999998</v>
      </c>
      <c r="Y85" s="71"/>
      <c r="Z85" s="594"/>
      <c r="AA85" s="71" t="s">
        <v>80</v>
      </c>
    </row>
    <row r="86" spans="2:28" s="2" customFormat="1" ht="12.75" hidden="1" customHeight="1">
      <c r="B86" s="68">
        <v>2009</v>
      </c>
      <c r="C86" s="12" t="s">
        <v>36</v>
      </c>
      <c r="D86" s="659">
        <v>847</v>
      </c>
      <c r="E86" s="283"/>
      <c r="F86" s="283">
        <v>304</v>
      </c>
      <c r="G86" s="283"/>
      <c r="H86" s="283">
        <v>140</v>
      </c>
      <c r="I86" s="283"/>
      <c r="J86" s="283">
        <v>8</v>
      </c>
      <c r="K86" s="283"/>
      <c r="L86" s="283">
        <v>98</v>
      </c>
      <c r="M86" s="283"/>
      <c r="N86" s="283">
        <v>39</v>
      </c>
      <c r="O86" s="283"/>
      <c r="P86" s="283">
        <v>38</v>
      </c>
      <c r="Q86" s="283"/>
      <c r="R86" s="283">
        <v>34</v>
      </c>
      <c r="S86" s="283"/>
      <c r="T86" s="283">
        <v>23</v>
      </c>
      <c r="U86" s="283"/>
      <c r="V86" s="283"/>
      <c r="W86" s="283"/>
      <c r="X86" s="283">
        <f t="shared" si="12"/>
        <v>1531</v>
      </c>
      <c r="Y86" s="71"/>
      <c r="Z86" s="594"/>
      <c r="AA86" s="71" t="s">
        <v>81</v>
      </c>
    </row>
    <row r="87" spans="2:28" s="2" customFormat="1" ht="12.75" hidden="1" customHeight="1">
      <c r="B87" s="68">
        <v>2009</v>
      </c>
      <c r="C87" s="12" t="s">
        <v>37</v>
      </c>
      <c r="D87" s="659">
        <v>914</v>
      </c>
      <c r="E87" s="283"/>
      <c r="F87" s="283">
        <v>248</v>
      </c>
      <c r="G87" s="283"/>
      <c r="H87" s="283">
        <v>105</v>
      </c>
      <c r="I87" s="283"/>
      <c r="J87" s="283">
        <v>10.325484764542937</v>
      </c>
      <c r="K87" s="283"/>
      <c r="L87" s="283">
        <v>98</v>
      </c>
      <c r="M87" s="283"/>
      <c r="N87" s="283">
        <v>36</v>
      </c>
      <c r="O87" s="283"/>
      <c r="P87" s="283">
        <v>30</v>
      </c>
      <c r="Q87" s="283"/>
      <c r="R87" s="283">
        <v>30</v>
      </c>
      <c r="S87" s="283"/>
      <c r="T87" s="283">
        <v>20</v>
      </c>
      <c r="U87" s="283"/>
      <c r="V87" s="283"/>
      <c r="W87" s="283"/>
      <c r="X87" s="283">
        <f t="shared" si="12"/>
        <v>1491.325484764543</v>
      </c>
      <c r="Y87" s="71"/>
      <c r="Z87" s="594">
        <v>2009</v>
      </c>
      <c r="AA87" s="71" t="s">
        <v>82</v>
      </c>
    </row>
    <row r="88" spans="2:28" s="2" customFormat="1" ht="12.75" hidden="1" customHeight="1">
      <c r="B88" s="68">
        <v>2009</v>
      </c>
      <c r="C88" s="12" t="s">
        <v>31</v>
      </c>
      <c r="D88" s="659">
        <v>1047</v>
      </c>
      <c r="E88" s="283"/>
      <c r="F88" s="283">
        <v>240</v>
      </c>
      <c r="G88" s="283"/>
      <c r="H88" s="283">
        <v>142</v>
      </c>
      <c r="I88" s="283"/>
      <c r="J88" s="283">
        <v>1</v>
      </c>
      <c r="K88" s="283"/>
      <c r="L88" s="283">
        <v>85</v>
      </c>
      <c r="M88" s="283"/>
      <c r="N88" s="283">
        <v>32</v>
      </c>
      <c r="O88" s="283"/>
      <c r="P88" s="283">
        <v>37</v>
      </c>
      <c r="Q88" s="283"/>
      <c r="R88" s="283">
        <v>41</v>
      </c>
      <c r="S88" s="283"/>
      <c r="T88" s="283">
        <v>30</v>
      </c>
      <c r="U88" s="283"/>
      <c r="V88" s="283"/>
      <c r="W88" s="283"/>
      <c r="X88" s="283">
        <f>SUM(D88:T88)</f>
        <v>1655</v>
      </c>
      <c r="Y88" s="71"/>
      <c r="Z88" s="594"/>
      <c r="AA88" s="71" t="s">
        <v>31</v>
      </c>
    </row>
    <row r="89" spans="2:28" s="36" customFormat="1" ht="12.75" hidden="1" customHeight="1">
      <c r="B89" s="68">
        <v>2009</v>
      </c>
      <c r="C89" s="12" t="s">
        <v>38</v>
      </c>
      <c r="D89" s="659">
        <v>787.86354378818737</v>
      </c>
      <c r="E89" s="283"/>
      <c r="F89" s="283">
        <v>323.19959266802442</v>
      </c>
      <c r="G89" s="283"/>
      <c r="H89" s="113">
        <v>167.27902240325867</v>
      </c>
      <c r="I89" s="113"/>
      <c r="J89" s="113">
        <v>4.1303462321792264</v>
      </c>
      <c r="K89" s="113"/>
      <c r="L89" s="113">
        <v>120.81262729124236</v>
      </c>
      <c r="M89" s="113"/>
      <c r="N89" s="113">
        <v>21.684317718940935</v>
      </c>
      <c r="O89" s="113"/>
      <c r="P89" s="113">
        <v>34.075356415478616</v>
      </c>
      <c r="Q89" s="113"/>
      <c r="R89" s="113">
        <v>32.010183299388999</v>
      </c>
      <c r="S89" s="113"/>
      <c r="T89" s="283">
        <v>29.945010183299388</v>
      </c>
      <c r="U89" s="283"/>
      <c r="V89" s="283"/>
      <c r="W89" s="283"/>
      <c r="X89" s="283">
        <f t="shared" ref="X89:X100" si="13">SUM(D89:U89)</f>
        <v>1521</v>
      </c>
      <c r="Y89" s="71"/>
      <c r="Z89" s="594"/>
      <c r="AA89" s="71" t="s">
        <v>50</v>
      </c>
    </row>
    <row r="90" spans="2:28" s="36" customFormat="1" ht="12.75" hidden="1" customHeight="1">
      <c r="B90" s="68">
        <v>2009</v>
      </c>
      <c r="C90" s="12" t="s">
        <v>39</v>
      </c>
      <c r="D90" s="659">
        <v>1036.1737451737451</v>
      </c>
      <c r="E90" s="283"/>
      <c r="F90" s="283">
        <v>233.7078507078507</v>
      </c>
      <c r="G90" s="283"/>
      <c r="H90" s="283">
        <v>137.53603603603602</v>
      </c>
      <c r="I90" s="283"/>
      <c r="J90" s="283">
        <v>2.0682110682110681</v>
      </c>
      <c r="K90" s="283"/>
      <c r="L90" s="283">
        <v>81.694337194337194</v>
      </c>
      <c r="M90" s="283"/>
      <c r="N90" s="283">
        <v>26.886743886743886</v>
      </c>
      <c r="O90" s="283"/>
      <c r="P90" s="283">
        <v>28.954954954954957</v>
      </c>
      <c r="Q90" s="283"/>
      <c r="R90" s="283">
        <v>41.364221364221365</v>
      </c>
      <c r="S90" s="283"/>
      <c r="T90" s="283">
        <v>18.613899613899616</v>
      </c>
      <c r="U90" s="283"/>
      <c r="V90" s="283"/>
      <c r="W90" s="283"/>
      <c r="X90" s="283">
        <f t="shared" si="13"/>
        <v>1606.9999999999995</v>
      </c>
      <c r="Y90" s="71"/>
      <c r="Z90" s="594"/>
      <c r="AA90" s="71" t="s">
        <v>39</v>
      </c>
    </row>
    <row r="91" spans="2:28" s="36" customFormat="1" ht="12.75" hidden="1" customHeight="1">
      <c r="B91" s="68">
        <v>2009</v>
      </c>
      <c r="C91" s="12" t="s">
        <v>32</v>
      </c>
      <c r="D91" s="659">
        <v>1446.8059855521155</v>
      </c>
      <c r="E91" s="283"/>
      <c r="F91" s="283">
        <v>240.27863777089783</v>
      </c>
      <c r="G91" s="283"/>
      <c r="H91" s="283">
        <v>137.59545923632612</v>
      </c>
      <c r="I91" s="283"/>
      <c r="J91" s="283">
        <v>1</v>
      </c>
      <c r="K91" s="283"/>
      <c r="L91" s="283">
        <v>68.797729618163061</v>
      </c>
      <c r="M91" s="283"/>
      <c r="N91" s="283">
        <v>29.778121775025799</v>
      </c>
      <c r="O91" s="283"/>
      <c r="P91" s="283">
        <v>20.536635706914346</v>
      </c>
      <c r="Q91" s="283"/>
      <c r="R91" s="283">
        <v>26</v>
      </c>
      <c r="S91" s="283"/>
      <c r="T91" s="283">
        <v>19.509803921568626</v>
      </c>
      <c r="U91" s="283"/>
      <c r="V91" s="283"/>
      <c r="W91" s="283"/>
      <c r="X91" s="283">
        <f t="shared" si="13"/>
        <v>1990.3023735810111</v>
      </c>
      <c r="Y91" s="71"/>
      <c r="Z91" s="594">
        <v>2009</v>
      </c>
      <c r="AA91" s="71" t="s">
        <v>32</v>
      </c>
      <c r="AB91" s="217"/>
    </row>
    <row r="92" spans="2:28" s="36" customFormat="1" ht="12.75" hidden="1" customHeight="1">
      <c r="B92" s="68">
        <v>2010</v>
      </c>
      <c r="C92" s="12" t="s">
        <v>33</v>
      </c>
      <c r="D92" s="284">
        <v>952.82758620689651</v>
      </c>
      <c r="E92" s="89"/>
      <c r="F92" s="89">
        <v>332.04597701149424</v>
      </c>
      <c r="G92" s="89"/>
      <c r="H92" s="89">
        <v>199.02134646962233</v>
      </c>
      <c r="I92" s="89"/>
      <c r="J92" s="89">
        <v>6.1871921182266014</v>
      </c>
      <c r="K92" s="89"/>
      <c r="L92" s="89">
        <v>192.83415435139574</v>
      </c>
      <c r="M92" s="89"/>
      <c r="N92" s="89">
        <v>41.247947454844009</v>
      </c>
      <c r="O92" s="89"/>
      <c r="P92" s="89">
        <v>57.747126436781606</v>
      </c>
      <c r="Q92" s="89"/>
      <c r="R92" s="89">
        <v>64.965517241379317</v>
      </c>
      <c r="S92" s="89"/>
      <c r="T92" s="89">
        <v>37</v>
      </c>
      <c r="U92" s="89"/>
      <c r="V92" s="89"/>
      <c r="W92" s="89"/>
      <c r="X92" s="89">
        <f t="shared" si="13"/>
        <v>1883.8768472906404</v>
      </c>
      <c r="Y92" s="71"/>
      <c r="Z92" s="594">
        <v>2010</v>
      </c>
      <c r="AA92" s="71" t="s">
        <v>33</v>
      </c>
      <c r="AB92" s="217"/>
    </row>
    <row r="93" spans="2:28" s="36" customFormat="1" ht="12.75" hidden="1" customHeight="1">
      <c r="B93" s="68">
        <v>2010</v>
      </c>
      <c r="C93" s="12" t="s">
        <v>34</v>
      </c>
      <c r="D93" s="284">
        <v>656</v>
      </c>
      <c r="E93" s="89"/>
      <c r="F93" s="89">
        <v>313</v>
      </c>
      <c r="G93" s="89"/>
      <c r="H93" s="89">
        <v>198</v>
      </c>
      <c r="I93" s="89"/>
      <c r="J93" s="89">
        <v>3</v>
      </c>
      <c r="K93" s="89"/>
      <c r="L93" s="89">
        <v>87</v>
      </c>
      <c r="M93" s="89"/>
      <c r="N93" s="89">
        <v>16</v>
      </c>
      <c r="O93" s="89"/>
      <c r="P93" s="89">
        <v>57</v>
      </c>
      <c r="Q93" s="89"/>
      <c r="R93" s="89">
        <v>53</v>
      </c>
      <c r="S93" s="89"/>
      <c r="T93" s="89">
        <v>20</v>
      </c>
      <c r="U93" s="89"/>
      <c r="V93" s="89"/>
      <c r="W93" s="89"/>
      <c r="X93" s="89">
        <f t="shared" si="13"/>
        <v>1403</v>
      </c>
      <c r="Y93" s="71"/>
      <c r="Z93" s="594"/>
      <c r="AA93" s="71" t="s">
        <v>77</v>
      </c>
    </row>
    <row r="94" spans="2:28" s="36" customFormat="1" ht="12.75" hidden="1" customHeight="1">
      <c r="B94" s="68">
        <v>2010</v>
      </c>
      <c r="C94" s="12" t="s">
        <v>29</v>
      </c>
      <c r="D94" s="284">
        <v>623.24561403508767</v>
      </c>
      <c r="E94" s="89"/>
      <c r="F94" s="89">
        <v>225.14619883040936</v>
      </c>
      <c r="G94" s="89"/>
      <c r="H94" s="89">
        <v>136.11111111111111</v>
      </c>
      <c r="I94" s="89"/>
      <c r="J94" s="89">
        <v>6.1403508771929829</v>
      </c>
      <c r="K94" s="89"/>
      <c r="L94" s="89">
        <v>112.57309941520468</v>
      </c>
      <c r="M94" s="89"/>
      <c r="N94" s="89">
        <v>36.842105263157897</v>
      </c>
      <c r="O94" s="89"/>
      <c r="P94" s="89">
        <v>33.771929824561404</v>
      </c>
      <c r="Q94" s="89"/>
      <c r="R94" s="89">
        <v>34.795321637426902</v>
      </c>
      <c r="S94" s="89"/>
      <c r="T94" s="89">
        <v>16.374269005847953</v>
      </c>
      <c r="U94" s="89"/>
      <c r="V94" s="89"/>
      <c r="W94" s="89"/>
      <c r="X94" s="89">
        <f t="shared" si="13"/>
        <v>1225</v>
      </c>
      <c r="Y94" s="71"/>
      <c r="Z94" s="594">
        <v>2010</v>
      </c>
      <c r="AA94" s="71" t="s">
        <v>29</v>
      </c>
    </row>
    <row r="95" spans="2:28" s="36" customFormat="1" ht="12.75" hidden="1" customHeight="1">
      <c r="B95" s="68">
        <v>2010</v>
      </c>
      <c r="C95" s="12" t="s">
        <v>35</v>
      </c>
      <c r="D95" s="284">
        <v>842.93736951983294</v>
      </c>
      <c r="E95" s="89"/>
      <c r="F95" s="89">
        <v>289.21294363256783</v>
      </c>
      <c r="G95" s="89"/>
      <c r="H95" s="89">
        <v>112.18580375782881</v>
      </c>
      <c r="I95" s="89"/>
      <c r="J95" s="89">
        <v>4.1169102296450939</v>
      </c>
      <c r="K95" s="89"/>
      <c r="L95" s="89">
        <v>108.06889352818372</v>
      </c>
      <c r="M95" s="89"/>
      <c r="N95" s="89">
        <v>34.993736951983301</v>
      </c>
      <c r="O95" s="89"/>
      <c r="P95" s="89">
        <v>30.876826722338205</v>
      </c>
      <c r="Q95" s="89"/>
      <c r="R95" s="89">
        <v>43.227557411273487</v>
      </c>
      <c r="S95" s="89"/>
      <c r="T95" s="89">
        <v>13.379958246346556</v>
      </c>
      <c r="U95" s="89"/>
      <c r="V95" s="89"/>
      <c r="W95" s="89"/>
      <c r="X95" s="89">
        <f t="shared" si="13"/>
        <v>1478.9999999999998</v>
      </c>
      <c r="Y95" s="71"/>
      <c r="Z95" s="594">
        <v>2010</v>
      </c>
      <c r="AA95" s="71" t="s">
        <v>78</v>
      </c>
    </row>
    <row r="96" spans="2:28" s="36" customFormat="1" ht="12.75" hidden="1" customHeight="1">
      <c r="B96" s="68">
        <v>2010</v>
      </c>
      <c r="C96" s="12" t="s">
        <v>4</v>
      </c>
      <c r="D96" s="284">
        <v>1381.9892209701127</v>
      </c>
      <c r="E96" s="89"/>
      <c r="F96" s="89">
        <v>296.72121509064186</v>
      </c>
      <c r="G96" s="89"/>
      <c r="H96" s="89">
        <v>178.84566389024988</v>
      </c>
      <c r="I96" s="89"/>
      <c r="J96" s="89">
        <v>6.0970112689857912</v>
      </c>
      <c r="K96" s="89"/>
      <c r="L96" s="89">
        <v>109.74620284174425</v>
      </c>
      <c r="M96" s="89"/>
      <c r="N96" s="89">
        <v>44.71141597256247</v>
      </c>
      <c r="O96" s="89"/>
      <c r="P96" s="89">
        <v>19.307202351788337</v>
      </c>
      <c r="Q96" s="89"/>
      <c r="R96" s="89">
        <v>16.258696717295443</v>
      </c>
      <c r="S96" s="89"/>
      <c r="T96" s="89">
        <v>20.323370896619306</v>
      </c>
      <c r="U96" s="89"/>
      <c r="V96" s="89"/>
      <c r="W96" s="89"/>
      <c r="X96" s="89">
        <f t="shared" si="13"/>
        <v>2074.0000000000005</v>
      </c>
      <c r="Y96" s="71"/>
      <c r="Z96" s="594">
        <v>2010</v>
      </c>
      <c r="AA96" s="71" t="s">
        <v>79</v>
      </c>
    </row>
    <row r="97" spans="2:27" s="36" customFormat="1" ht="12.75" hidden="1" customHeight="1">
      <c r="B97" s="68">
        <v>2010</v>
      </c>
      <c r="C97" s="12" t="s">
        <v>68</v>
      </c>
      <c r="D97" s="284">
        <v>1206.3915225878416</v>
      </c>
      <c r="E97" s="89"/>
      <c r="F97" s="89">
        <v>268.4272169548243</v>
      </c>
      <c r="G97" s="89"/>
      <c r="H97" s="89">
        <v>101.04294478527608</v>
      </c>
      <c r="I97" s="89"/>
      <c r="J97" s="89">
        <v>15.309537088678193</v>
      </c>
      <c r="K97" s="89"/>
      <c r="L97" s="89">
        <v>100.0223089793642</v>
      </c>
      <c r="M97" s="89"/>
      <c r="N97" s="89">
        <v>37.76352481873954</v>
      </c>
      <c r="O97" s="89"/>
      <c r="P97" s="89">
        <v>51.031790295593979</v>
      </c>
      <c r="Q97" s="89"/>
      <c r="R97" s="89">
        <v>28.577802565532625</v>
      </c>
      <c r="S97" s="89"/>
      <c r="T97" s="89">
        <v>21.43335192414947</v>
      </c>
      <c r="U97" s="89"/>
      <c r="V97" s="89"/>
      <c r="W97" s="89"/>
      <c r="X97" s="89">
        <f t="shared" si="13"/>
        <v>1830</v>
      </c>
      <c r="Y97" s="71"/>
      <c r="Z97" s="594">
        <v>2010</v>
      </c>
      <c r="AA97" s="71" t="s">
        <v>80</v>
      </c>
    </row>
    <row r="98" spans="2:27" s="36" customFormat="1" ht="12.75" hidden="1" customHeight="1">
      <c r="B98" s="68">
        <v>2010</v>
      </c>
      <c r="C98" s="12" t="s">
        <v>36</v>
      </c>
      <c r="D98" s="284">
        <v>846</v>
      </c>
      <c r="E98" s="89"/>
      <c r="F98" s="89">
        <v>347</v>
      </c>
      <c r="G98" s="89"/>
      <c r="H98" s="89">
        <v>186</v>
      </c>
      <c r="I98" s="89"/>
      <c r="J98" s="89">
        <v>20</v>
      </c>
      <c r="K98" s="89"/>
      <c r="L98" s="89">
        <v>127</v>
      </c>
      <c r="M98" s="89"/>
      <c r="N98" s="89">
        <v>63</v>
      </c>
      <c r="O98" s="89"/>
      <c r="P98" s="89">
        <v>167</v>
      </c>
      <c r="Q98" s="89"/>
      <c r="R98" s="89">
        <v>28</v>
      </c>
      <c r="S98" s="89"/>
      <c r="T98" s="89">
        <v>31</v>
      </c>
      <c r="U98" s="89"/>
      <c r="V98" s="89"/>
      <c r="W98" s="89"/>
      <c r="X98" s="89">
        <f t="shared" si="13"/>
        <v>1815</v>
      </c>
      <c r="Y98" s="71"/>
      <c r="Z98" s="594">
        <v>2010</v>
      </c>
      <c r="AA98" s="71" t="s">
        <v>81</v>
      </c>
    </row>
    <row r="99" spans="2:27" s="36" customFormat="1" ht="12.75" hidden="1" customHeight="1">
      <c r="B99" s="68">
        <v>2010</v>
      </c>
      <c r="C99" s="12" t="s">
        <v>37</v>
      </c>
      <c r="D99" s="284">
        <v>777</v>
      </c>
      <c r="E99" s="89"/>
      <c r="F99" s="89">
        <v>282</v>
      </c>
      <c r="G99" s="89"/>
      <c r="H99" s="89">
        <v>171</v>
      </c>
      <c r="I99" s="89"/>
      <c r="J99" s="89">
        <v>12.268370607028753</v>
      </c>
      <c r="K99" s="89"/>
      <c r="L99" s="89">
        <v>107</v>
      </c>
      <c r="M99" s="89"/>
      <c r="N99" s="89">
        <v>63</v>
      </c>
      <c r="O99" s="89"/>
      <c r="P99" s="89">
        <v>113</v>
      </c>
      <c r="Q99" s="89"/>
      <c r="R99" s="89">
        <v>43</v>
      </c>
      <c r="S99" s="89"/>
      <c r="T99" s="89">
        <v>32</v>
      </c>
      <c r="U99" s="89"/>
      <c r="V99" s="89"/>
      <c r="W99" s="89"/>
      <c r="X99" s="89">
        <f t="shared" si="13"/>
        <v>1600.2683706070288</v>
      </c>
      <c r="Y99" s="71"/>
      <c r="Z99" s="594">
        <v>2010</v>
      </c>
      <c r="AA99" s="71" t="s">
        <v>82</v>
      </c>
    </row>
    <row r="100" spans="2:27" s="36" customFormat="1" ht="12.75" hidden="1" customHeight="1">
      <c r="B100" s="68">
        <v>2010</v>
      </c>
      <c r="C100" s="12" t="s">
        <v>31</v>
      </c>
      <c r="D100" s="284">
        <v>1274</v>
      </c>
      <c r="E100" s="89"/>
      <c r="F100" s="89">
        <v>300</v>
      </c>
      <c r="G100" s="89"/>
      <c r="H100" s="89">
        <v>140</v>
      </c>
      <c r="I100" s="89"/>
      <c r="J100" s="89">
        <v>14</v>
      </c>
      <c r="K100" s="89"/>
      <c r="L100" s="89">
        <v>135</v>
      </c>
      <c r="M100" s="89"/>
      <c r="N100" s="89">
        <v>44</v>
      </c>
      <c r="O100" s="89"/>
      <c r="P100" s="89">
        <v>39</v>
      </c>
      <c r="Q100" s="89"/>
      <c r="R100" s="89">
        <v>81</v>
      </c>
      <c r="S100" s="89"/>
      <c r="T100" s="89">
        <v>45</v>
      </c>
      <c r="U100" s="89"/>
      <c r="V100" s="89"/>
      <c r="W100" s="89"/>
      <c r="X100" s="89">
        <f t="shared" si="13"/>
        <v>2072</v>
      </c>
      <c r="Y100" s="71"/>
      <c r="Z100" s="594">
        <v>2010</v>
      </c>
      <c r="AA100" s="71" t="s">
        <v>31</v>
      </c>
    </row>
    <row r="101" spans="2:27" s="36" customFormat="1" ht="12.75" hidden="1" customHeight="1">
      <c r="B101" s="68">
        <v>2010</v>
      </c>
      <c r="C101" s="12" t="s">
        <v>38</v>
      </c>
      <c r="D101" s="284">
        <v>893</v>
      </c>
      <c r="E101" s="89"/>
      <c r="F101" s="89">
        <v>412</v>
      </c>
      <c r="G101" s="89"/>
      <c r="H101" s="89">
        <v>191</v>
      </c>
      <c r="I101" s="89"/>
      <c r="J101" s="89">
        <v>15</v>
      </c>
      <c r="K101" s="89"/>
      <c r="L101" s="89">
        <v>153</v>
      </c>
      <c r="M101" s="89"/>
      <c r="N101" s="89">
        <v>39</v>
      </c>
      <c r="O101" s="89"/>
      <c r="P101" s="89">
        <v>43</v>
      </c>
      <c r="Q101" s="89"/>
      <c r="R101" s="89">
        <v>47</v>
      </c>
      <c r="S101" s="89"/>
      <c r="T101" s="89">
        <v>37</v>
      </c>
      <c r="U101" s="89"/>
      <c r="V101" s="89"/>
      <c r="W101" s="89"/>
      <c r="X101" s="89">
        <f t="shared" ref="X101:X108" si="14">SUM(D101:U101)</f>
        <v>1830</v>
      </c>
      <c r="Y101" s="71"/>
      <c r="Z101" s="594">
        <v>2010</v>
      </c>
      <c r="AA101" s="71" t="s">
        <v>50</v>
      </c>
    </row>
    <row r="102" spans="2:27" s="36" customFormat="1" ht="12.75" hidden="1" customHeight="1">
      <c r="B102" s="68">
        <v>2010</v>
      </c>
      <c r="C102" s="12" t="s">
        <v>39</v>
      </c>
      <c r="D102" s="284">
        <v>1152</v>
      </c>
      <c r="E102" s="89"/>
      <c r="F102" s="89">
        <v>350</v>
      </c>
      <c r="G102" s="89"/>
      <c r="H102" s="89">
        <v>127</v>
      </c>
      <c r="I102" s="89"/>
      <c r="J102" s="89">
        <v>10</v>
      </c>
      <c r="K102" s="89"/>
      <c r="L102" s="89">
        <v>106</v>
      </c>
      <c r="M102" s="89"/>
      <c r="N102" s="89">
        <v>25</v>
      </c>
      <c r="O102" s="89"/>
      <c r="P102" s="89">
        <v>42</v>
      </c>
      <c r="Q102" s="89"/>
      <c r="R102" s="89">
        <v>32</v>
      </c>
      <c r="S102" s="89"/>
      <c r="T102" s="89">
        <v>29</v>
      </c>
      <c r="U102" s="89"/>
      <c r="V102" s="89"/>
      <c r="W102" s="89"/>
      <c r="X102" s="89">
        <f t="shared" si="14"/>
        <v>1873</v>
      </c>
      <c r="Y102" s="71"/>
      <c r="Z102" s="594">
        <v>2010</v>
      </c>
      <c r="AA102" s="71" t="s">
        <v>39</v>
      </c>
    </row>
    <row r="103" spans="2:27" s="36" customFormat="1" ht="12.75" hidden="1" customHeight="1">
      <c r="B103" s="68">
        <v>2010</v>
      </c>
      <c r="C103" s="12" t="s">
        <v>32</v>
      </c>
      <c r="D103" s="284">
        <v>1189</v>
      </c>
      <c r="E103" s="89"/>
      <c r="F103" s="89">
        <v>284</v>
      </c>
      <c r="G103" s="89"/>
      <c r="H103" s="89">
        <v>154</v>
      </c>
      <c r="I103" s="89"/>
      <c r="J103" s="89">
        <v>20</v>
      </c>
      <c r="K103" s="89"/>
      <c r="L103" s="89">
        <v>98</v>
      </c>
      <c r="M103" s="89"/>
      <c r="N103" s="89">
        <v>58</v>
      </c>
      <c r="O103" s="89"/>
      <c r="P103" s="89">
        <v>114</v>
      </c>
      <c r="Q103" s="89"/>
      <c r="R103" s="89">
        <v>24</v>
      </c>
      <c r="S103" s="89"/>
      <c r="T103" s="89">
        <v>27</v>
      </c>
      <c r="U103" s="89"/>
      <c r="V103" s="89"/>
      <c r="W103" s="89"/>
      <c r="X103" s="89">
        <f t="shared" si="14"/>
        <v>1968</v>
      </c>
      <c r="Y103" s="71"/>
      <c r="Z103" s="594">
        <v>2010</v>
      </c>
      <c r="AA103" s="71" t="s">
        <v>32</v>
      </c>
    </row>
    <row r="104" spans="2:27" s="36" customFormat="1" ht="12.75" hidden="1" customHeight="1">
      <c r="B104" s="68">
        <v>2011</v>
      </c>
      <c r="C104" s="12" t="s">
        <v>33</v>
      </c>
      <c r="D104" s="284">
        <v>772</v>
      </c>
      <c r="E104" s="89"/>
      <c r="F104" s="89">
        <v>406</v>
      </c>
      <c r="G104" s="89"/>
      <c r="H104" s="89">
        <v>250</v>
      </c>
      <c r="I104" s="89"/>
      <c r="J104" s="89">
        <v>27</v>
      </c>
      <c r="K104" s="89"/>
      <c r="L104" s="89">
        <v>143</v>
      </c>
      <c r="M104" s="89"/>
      <c r="N104" s="89">
        <v>54</v>
      </c>
      <c r="O104" s="89"/>
      <c r="P104" s="89">
        <v>113</v>
      </c>
      <c r="Q104" s="89"/>
      <c r="R104" s="89">
        <v>27</v>
      </c>
      <c r="S104" s="89"/>
      <c r="T104" s="89">
        <v>39</v>
      </c>
      <c r="U104" s="89"/>
      <c r="V104" s="89"/>
      <c r="W104" s="89"/>
      <c r="X104" s="89">
        <f t="shared" si="14"/>
        <v>1831</v>
      </c>
      <c r="Y104" s="71"/>
      <c r="Z104" s="594">
        <v>2011</v>
      </c>
      <c r="AA104" s="71" t="s">
        <v>33</v>
      </c>
    </row>
    <row r="105" spans="2:27" s="36" customFormat="1" ht="12.75" hidden="1" customHeight="1">
      <c r="B105" s="68">
        <v>2011</v>
      </c>
      <c r="C105" s="12" t="s">
        <v>34</v>
      </c>
      <c r="D105" s="284">
        <v>538</v>
      </c>
      <c r="E105" s="89"/>
      <c r="F105" s="89">
        <v>271</v>
      </c>
      <c r="G105" s="89"/>
      <c r="H105" s="89">
        <v>104</v>
      </c>
      <c r="I105" s="89"/>
      <c r="J105" s="89">
        <v>20</v>
      </c>
      <c r="K105" s="89"/>
      <c r="L105" s="89">
        <v>102</v>
      </c>
      <c r="M105" s="89"/>
      <c r="N105" s="89">
        <v>60</v>
      </c>
      <c r="O105" s="89"/>
      <c r="P105" s="89">
        <v>203</v>
      </c>
      <c r="Q105" s="89"/>
      <c r="R105" s="89">
        <v>26</v>
      </c>
      <c r="S105" s="89"/>
      <c r="T105" s="89">
        <v>22</v>
      </c>
      <c r="U105" s="89"/>
      <c r="V105" s="89"/>
      <c r="W105" s="89"/>
      <c r="X105" s="89">
        <f t="shared" si="14"/>
        <v>1346</v>
      </c>
      <c r="Y105" s="71"/>
      <c r="Z105" s="594">
        <v>2011</v>
      </c>
      <c r="AA105" s="71" t="s">
        <v>77</v>
      </c>
    </row>
    <row r="106" spans="2:27" s="36" customFormat="1" ht="12.75" hidden="1" customHeight="1">
      <c r="B106" s="68">
        <v>2011</v>
      </c>
      <c r="C106" s="12" t="s">
        <v>29</v>
      </c>
      <c r="D106" s="284">
        <v>681</v>
      </c>
      <c r="E106" s="89"/>
      <c r="F106" s="89">
        <v>299</v>
      </c>
      <c r="G106" s="89"/>
      <c r="H106" s="89">
        <v>152</v>
      </c>
      <c r="I106" s="89"/>
      <c r="J106" s="89">
        <v>15</v>
      </c>
      <c r="K106" s="89"/>
      <c r="L106" s="89">
        <v>108</v>
      </c>
      <c r="M106" s="89"/>
      <c r="N106" s="89">
        <v>57</v>
      </c>
      <c r="O106" s="89"/>
      <c r="P106" s="89">
        <v>55</v>
      </c>
      <c r="Q106" s="89"/>
      <c r="R106" s="89">
        <v>20</v>
      </c>
      <c r="S106" s="89"/>
      <c r="T106" s="89">
        <v>19</v>
      </c>
      <c r="U106" s="89"/>
      <c r="V106" s="89"/>
      <c r="W106" s="89"/>
      <c r="X106" s="89">
        <f t="shared" si="14"/>
        <v>1406</v>
      </c>
      <c r="Y106" s="71"/>
      <c r="Z106" s="594">
        <v>2011</v>
      </c>
      <c r="AA106" s="71" t="s">
        <v>29</v>
      </c>
    </row>
    <row r="107" spans="2:27" s="36" customFormat="1" ht="12.75" hidden="1" customHeight="1">
      <c r="B107" s="68">
        <v>2011</v>
      </c>
      <c r="C107" s="12" t="s">
        <v>35</v>
      </c>
      <c r="D107" s="284">
        <v>942</v>
      </c>
      <c r="E107" s="89"/>
      <c r="F107" s="89">
        <v>304</v>
      </c>
      <c r="G107" s="89"/>
      <c r="H107" s="89">
        <v>140</v>
      </c>
      <c r="I107" s="89"/>
      <c r="J107" s="89">
        <v>21</v>
      </c>
      <c r="K107" s="89"/>
      <c r="L107" s="89">
        <v>123</v>
      </c>
      <c r="M107" s="89"/>
      <c r="N107" s="89">
        <v>51</v>
      </c>
      <c r="O107" s="89"/>
      <c r="P107" s="89">
        <v>45</v>
      </c>
      <c r="Q107" s="89"/>
      <c r="R107" s="89">
        <v>27</v>
      </c>
      <c r="S107" s="89"/>
      <c r="T107" s="89">
        <v>26</v>
      </c>
      <c r="U107" s="89"/>
      <c r="V107" s="89"/>
      <c r="W107" s="89"/>
      <c r="X107" s="89">
        <f t="shared" si="14"/>
        <v>1679</v>
      </c>
      <c r="Y107" s="71"/>
      <c r="Z107" s="594">
        <v>2011</v>
      </c>
      <c r="AA107" s="71" t="s">
        <v>78</v>
      </c>
    </row>
    <row r="108" spans="2:27" s="36" customFormat="1" ht="12.75" hidden="1" customHeight="1">
      <c r="B108" s="68">
        <v>2011</v>
      </c>
      <c r="C108" s="12" t="s">
        <v>4</v>
      </c>
      <c r="D108" s="284">
        <v>1097</v>
      </c>
      <c r="E108" s="89"/>
      <c r="F108" s="89">
        <v>302</v>
      </c>
      <c r="G108" s="89"/>
      <c r="H108" s="89">
        <v>124</v>
      </c>
      <c r="I108" s="89"/>
      <c r="J108" s="89">
        <v>16</v>
      </c>
      <c r="K108" s="89"/>
      <c r="L108" s="89">
        <v>109</v>
      </c>
      <c r="M108" s="89"/>
      <c r="N108" s="89">
        <v>48</v>
      </c>
      <c r="O108" s="89"/>
      <c r="P108" s="89">
        <v>73</v>
      </c>
      <c r="Q108" s="89"/>
      <c r="R108" s="89">
        <v>26</v>
      </c>
      <c r="S108" s="89"/>
      <c r="T108" s="89">
        <v>29</v>
      </c>
      <c r="U108" s="89"/>
      <c r="V108" s="89"/>
      <c r="W108" s="89"/>
      <c r="X108" s="89">
        <f t="shared" si="14"/>
        <v>1824</v>
      </c>
      <c r="Y108" s="71"/>
      <c r="Z108" s="594">
        <v>2011</v>
      </c>
      <c r="AA108" s="71" t="s">
        <v>79</v>
      </c>
    </row>
    <row r="109" spans="2:27" s="36" customFormat="1" ht="12.75" hidden="1" customHeight="1">
      <c r="B109" s="68">
        <v>2011</v>
      </c>
      <c r="C109" s="12" t="s">
        <v>30</v>
      </c>
      <c r="D109" s="284">
        <v>1188</v>
      </c>
      <c r="E109" s="89"/>
      <c r="F109" s="89">
        <v>279</v>
      </c>
      <c r="G109" s="89"/>
      <c r="H109" s="89">
        <v>133</v>
      </c>
      <c r="I109" s="89"/>
      <c r="J109" s="89">
        <v>19</v>
      </c>
      <c r="K109" s="89"/>
      <c r="L109" s="89">
        <v>102</v>
      </c>
      <c r="M109" s="89"/>
      <c r="N109" s="89">
        <v>58</v>
      </c>
      <c r="O109" s="89"/>
      <c r="P109" s="89">
        <v>30</v>
      </c>
      <c r="Q109" s="89"/>
      <c r="R109" s="89">
        <v>30</v>
      </c>
      <c r="S109" s="89"/>
      <c r="T109" s="89">
        <v>17</v>
      </c>
      <c r="U109" s="89"/>
      <c r="V109" s="89"/>
      <c r="W109" s="89"/>
      <c r="X109" s="89">
        <f t="shared" ref="X109:X115" si="15">SUM(D109:U109)</f>
        <v>1856</v>
      </c>
      <c r="Y109" s="71"/>
      <c r="Z109" s="594">
        <v>2011</v>
      </c>
      <c r="AA109" s="71" t="s">
        <v>80</v>
      </c>
    </row>
    <row r="110" spans="2:27" s="36" customFormat="1" ht="12.75" hidden="1" customHeight="1">
      <c r="B110" s="68">
        <v>2011</v>
      </c>
      <c r="C110" s="12" t="s">
        <v>36</v>
      </c>
      <c r="D110" s="284">
        <v>894</v>
      </c>
      <c r="E110" s="89"/>
      <c r="F110" s="89">
        <v>340</v>
      </c>
      <c r="G110" s="89"/>
      <c r="H110" s="89">
        <v>168</v>
      </c>
      <c r="I110" s="89"/>
      <c r="J110" s="89">
        <v>22</v>
      </c>
      <c r="K110" s="89"/>
      <c r="L110" s="89">
        <v>113</v>
      </c>
      <c r="M110" s="89"/>
      <c r="N110" s="89">
        <v>81</v>
      </c>
      <c r="O110" s="89"/>
      <c r="P110" s="89">
        <v>182</v>
      </c>
      <c r="Q110" s="89"/>
      <c r="R110" s="89">
        <v>28</v>
      </c>
      <c r="S110" s="89"/>
      <c r="T110" s="89">
        <v>38</v>
      </c>
      <c r="U110" s="89"/>
      <c r="V110" s="89"/>
      <c r="W110" s="89"/>
      <c r="X110" s="89">
        <f t="shared" si="15"/>
        <v>1866</v>
      </c>
      <c r="Y110" s="71"/>
      <c r="Z110" s="594">
        <v>2011</v>
      </c>
      <c r="AA110" s="71" t="s">
        <v>81</v>
      </c>
    </row>
    <row r="111" spans="2:27" s="36" customFormat="1" ht="12.75" hidden="1" customHeight="1">
      <c r="B111" s="68">
        <v>2011</v>
      </c>
      <c r="C111" s="12" t="s">
        <v>37</v>
      </c>
      <c r="D111" s="284">
        <v>1030</v>
      </c>
      <c r="E111" s="89"/>
      <c r="F111" s="89">
        <v>327</v>
      </c>
      <c r="G111" s="89"/>
      <c r="H111" s="89">
        <v>144</v>
      </c>
      <c r="I111" s="89"/>
      <c r="J111" s="89">
        <v>12</v>
      </c>
      <c r="K111" s="89"/>
      <c r="L111" s="89">
        <v>130</v>
      </c>
      <c r="M111" s="89"/>
      <c r="N111" s="89">
        <v>58</v>
      </c>
      <c r="O111" s="89"/>
      <c r="P111" s="89">
        <v>87</v>
      </c>
      <c r="Q111" s="89"/>
      <c r="R111" s="89">
        <v>28</v>
      </c>
      <c r="S111" s="89"/>
      <c r="T111" s="89">
        <v>23</v>
      </c>
      <c r="U111" s="89"/>
      <c r="V111" s="89"/>
      <c r="W111" s="89"/>
      <c r="X111" s="89">
        <f t="shared" si="15"/>
        <v>1839</v>
      </c>
      <c r="Y111" s="71"/>
      <c r="Z111" s="594">
        <v>2011</v>
      </c>
      <c r="AA111" s="71" t="s">
        <v>82</v>
      </c>
    </row>
    <row r="112" spans="2:27" s="36" customFormat="1" ht="12.75" hidden="1" customHeight="1">
      <c r="B112" s="68">
        <v>2011</v>
      </c>
      <c r="C112" s="12" t="s">
        <v>31</v>
      </c>
      <c r="D112" s="284">
        <v>1662</v>
      </c>
      <c r="E112" s="89"/>
      <c r="F112" s="89">
        <v>300</v>
      </c>
      <c r="G112" s="89"/>
      <c r="H112" s="89">
        <v>119</v>
      </c>
      <c r="I112" s="89"/>
      <c r="J112" s="89">
        <v>17</v>
      </c>
      <c r="K112" s="89"/>
      <c r="L112" s="89">
        <v>94</v>
      </c>
      <c r="M112" s="89"/>
      <c r="N112" s="89">
        <v>51</v>
      </c>
      <c r="O112" s="89"/>
      <c r="P112" s="89">
        <v>78</v>
      </c>
      <c r="Q112" s="89"/>
      <c r="R112" s="89">
        <v>30</v>
      </c>
      <c r="S112" s="89"/>
      <c r="T112" s="89">
        <v>42</v>
      </c>
      <c r="U112" s="89"/>
      <c r="V112" s="89"/>
      <c r="W112" s="89"/>
      <c r="X112" s="89">
        <f t="shared" si="15"/>
        <v>2393</v>
      </c>
      <c r="Y112" s="71"/>
      <c r="Z112" s="594">
        <v>2011</v>
      </c>
      <c r="AA112" s="71" t="s">
        <v>31</v>
      </c>
    </row>
    <row r="113" spans="2:27" s="36" customFormat="1" ht="12.75" hidden="1" customHeight="1">
      <c r="B113" s="68">
        <v>2011</v>
      </c>
      <c r="C113" s="12" t="s">
        <v>38</v>
      </c>
      <c r="D113" s="284">
        <v>846</v>
      </c>
      <c r="E113" s="89"/>
      <c r="F113" s="89">
        <v>402</v>
      </c>
      <c r="G113" s="89"/>
      <c r="H113" s="89">
        <v>179</v>
      </c>
      <c r="I113" s="89"/>
      <c r="J113" s="89">
        <v>29</v>
      </c>
      <c r="K113" s="89"/>
      <c r="L113" s="89">
        <v>159</v>
      </c>
      <c r="M113" s="89"/>
      <c r="N113" s="89">
        <v>65</v>
      </c>
      <c r="O113" s="89"/>
      <c r="P113" s="89">
        <v>56</v>
      </c>
      <c r="Q113" s="89"/>
      <c r="R113" s="89">
        <v>58</v>
      </c>
      <c r="S113" s="89"/>
      <c r="T113" s="89">
        <v>21</v>
      </c>
      <c r="U113" s="89"/>
      <c r="V113" s="89"/>
      <c r="W113" s="89"/>
      <c r="X113" s="89">
        <f t="shared" si="15"/>
        <v>1815</v>
      </c>
      <c r="Y113" s="71"/>
      <c r="Z113" s="594">
        <v>2011</v>
      </c>
      <c r="AA113" s="71" t="s">
        <v>50</v>
      </c>
    </row>
    <row r="114" spans="2:27" s="36" customFormat="1" ht="12.75" hidden="1" customHeight="1">
      <c r="B114" s="68">
        <v>2011</v>
      </c>
      <c r="C114" s="12" t="s">
        <v>39</v>
      </c>
      <c r="D114" s="284">
        <v>1199</v>
      </c>
      <c r="E114" s="89"/>
      <c r="F114" s="89">
        <v>322</v>
      </c>
      <c r="G114" s="89"/>
      <c r="H114" s="89">
        <v>126</v>
      </c>
      <c r="I114" s="89"/>
      <c r="J114" s="89">
        <v>29</v>
      </c>
      <c r="K114" s="89"/>
      <c r="L114" s="89">
        <v>87</v>
      </c>
      <c r="M114" s="89"/>
      <c r="N114" s="89">
        <v>67</v>
      </c>
      <c r="O114" s="89"/>
      <c r="P114" s="89">
        <v>52</v>
      </c>
      <c r="Q114" s="89"/>
      <c r="R114" s="89">
        <v>26</v>
      </c>
      <c r="S114" s="89"/>
      <c r="T114" s="89">
        <v>28</v>
      </c>
      <c r="U114" s="89"/>
      <c r="V114" s="89"/>
      <c r="W114" s="89"/>
      <c r="X114" s="89">
        <f t="shared" si="15"/>
        <v>1936</v>
      </c>
      <c r="Y114" s="71"/>
      <c r="Z114" s="594">
        <v>2011</v>
      </c>
      <c r="AA114" s="71" t="s">
        <v>39</v>
      </c>
    </row>
    <row r="115" spans="2:27" s="36" customFormat="1" ht="12.75" hidden="1" customHeight="1">
      <c r="B115" s="68">
        <v>2011</v>
      </c>
      <c r="C115" s="12" t="s">
        <v>32</v>
      </c>
      <c r="D115" s="284">
        <v>1659</v>
      </c>
      <c r="E115" s="257"/>
      <c r="F115" s="89">
        <v>315</v>
      </c>
      <c r="G115" s="257"/>
      <c r="H115" s="89">
        <v>163</v>
      </c>
      <c r="I115" s="89"/>
      <c r="J115" s="89">
        <v>17</v>
      </c>
      <c r="K115" s="89"/>
      <c r="L115" s="89">
        <v>100</v>
      </c>
      <c r="M115" s="89"/>
      <c r="N115" s="89">
        <v>69</v>
      </c>
      <c r="O115" s="257"/>
      <c r="P115" s="89">
        <v>116</v>
      </c>
      <c r="Q115" s="257"/>
      <c r="R115" s="89">
        <v>26</v>
      </c>
      <c r="S115" s="89"/>
      <c r="T115" s="89">
        <v>17</v>
      </c>
      <c r="U115" s="89"/>
      <c r="V115" s="89"/>
      <c r="W115" s="89"/>
      <c r="X115" s="89">
        <f t="shared" si="15"/>
        <v>2482</v>
      </c>
      <c r="Y115" s="71"/>
      <c r="Z115" s="594">
        <v>2011</v>
      </c>
      <c r="AA115" s="71" t="s">
        <v>32</v>
      </c>
    </row>
    <row r="116" spans="2:27" s="36" customFormat="1" ht="12.75" hidden="1" customHeight="1">
      <c r="B116" s="68">
        <v>2012</v>
      </c>
      <c r="C116" s="12" t="s">
        <v>33</v>
      </c>
      <c r="D116" s="284">
        <v>1617</v>
      </c>
      <c r="E116" s="89"/>
      <c r="F116" s="89">
        <v>306</v>
      </c>
      <c r="G116" s="89"/>
      <c r="H116" s="89">
        <v>159</v>
      </c>
      <c r="I116" s="89"/>
      <c r="J116" s="89">
        <v>17</v>
      </c>
      <c r="K116" s="89"/>
      <c r="L116" s="89">
        <v>107</v>
      </c>
      <c r="M116" s="89"/>
      <c r="N116" s="89">
        <v>59</v>
      </c>
      <c r="O116" s="89"/>
      <c r="P116" s="89">
        <v>115</v>
      </c>
      <c r="Q116" s="89"/>
      <c r="R116" s="89">
        <v>26</v>
      </c>
      <c r="S116" s="89"/>
      <c r="T116" s="89">
        <v>16</v>
      </c>
      <c r="U116" s="89"/>
      <c r="V116" s="89"/>
      <c r="W116" s="89"/>
      <c r="X116" s="89">
        <f t="shared" ref="X116:X121" si="16">SUM(D116:U116)</f>
        <v>2422</v>
      </c>
      <c r="Y116" s="71"/>
      <c r="Z116" s="594">
        <v>2012</v>
      </c>
      <c r="AA116" s="71" t="s">
        <v>33</v>
      </c>
    </row>
    <row r="117" spans="2:27" s="36" customFormat="1" ht="12.75" hidden="1" customHeight="1">
      <c r="B117" s="68">
        <v>2012</v>
      </c>
      <c r="C117" s="12" t="s">
        <v>34</v>
      </c>
      <c r="D117" s="284">
        <v>619</v>
      </c>
      <c r="E117" s="89"/>
      <c r="F117" s="89">
        <v>232</v>
      </c>
      <c r="G117" s="89"/>
      <c r="H117" s="89">
        <v>76</v>
      </c>
      <c r="I117" s="89"/>
      <c r="J117" s="89">
        <v>15</v>
      </c>
      <c r="K117" s="89"/>
      <c r="L117" s="89">
        <v>119</v>
      </c>
      <c r="M117" s="89"/>
      <c r="N117" s="89">
        <v>46</v>
      </c>
      <c r="O117" s="89"/>
      <c r="P117" s="89">
        <v>67</v>
      </c>
      <c r="Q117" s="89"/>
      <c r="R117" s="89">
        <v>29</v>
      </c>
      <c r="S117" s="89"/>
      <c r="T117" s="89">
        <v>21</v>
      </c>
      <c r="U117" s="89"/>
      <c r="V117" s="89"/>
      <c r="W117" s="89"/>
      <c r="X117" s="89">
        <f t="shared" si="16"/>
        <v>1224</v>
      </c>
      <c r="Y117" s="71"/>
      <c r="Z117" s="594">
        <v>2012</v>
      </c>
      <c r="AA117" s="71" t="s">
        <v>77</v>
      </c>
    </row>
    <row r="118" spans="2:27" s="36" customFormat="1" ht="12.75" hidden="1" customHeight="1">
      <c r="B118" s="68">
        <v>2012</v>
      </c>
      <c r="C118" s="12" t="s">
        <v>29</v>
      </c>
      <c r="D118" s="284">
        <v>783</v>
      </c>
      <c r="E118" s="89"/>
      <c r="F118" s="89">
        <v>307</v>
      </c>
      <c r="G118" s="89"/>
      <c r="H118" s="89">
        <v>147</v>
      </c>
      <c r="I118" s="89"/>
      <c r="J118" s="89">
        <v>24</v>
      </c>
      <c r="K118" s="89"/>
      <c r="L118" s="89">
        <v>109</v>
      </c>
      <c r="M118" s="89"/>
      <c r="N118" s="89">
        <v>70</v>
      </c>
      <c r="O118" s="89"/>
      <c r="P118" s="89">
        <v>52</v>
      </c>
      <c r="Q118" s="89"/>
      <c r="R118" s="89">
        <v>23</v>
      </c>
      <c r="S118" s="89"/>
      <c r="T118" s="89">
        <v>32</v>
      </c>
      <c r="U118" s="89"/>
      <c r="V118" s="89"/>
      <c r="W118" s="89"/>
      <c r="X118" s="89">
        <f t="shared" si="16"/>
        <v>1547</v>
      </c>
      <c r="Y118" s="71"/>
      <c r="Z118" s="594">
        <v>2012</v>
      </c>
      <c r="AA118" s="71" t="s">
        <v>29</v>
      </c>
    </row>
    <row r="119" spans="2:27" s="36" customFormat="1" ht="12.75" hidden="1" customHeight="1">
      <c r="B119" s="68">
        <v>2012</v>
      </c>
      <c r="C119" s="12" t="s">
        <v>35</v>
      </c>
      <c r="D119" s="284">
        <v>1112</v>
      </c>
      <c r="E119" s="89"/>
      <c r="F119" s="89">
        <v>327</v>
      </c>
      <c r="G119" s="89"/>
      <c r="H119" s="89">
        <v>102</v>
      </c>
      <c r="I119" s="89"/>
      <c r="J119" s="89">
        <v>15</v>
      </c>
      <c r="K119" s="89"/>
      <c r="L119" s="89">
        <v>110</v>
      </c>
      <c r="M119" s="89"/>
      <c r="N119" s="89">
        <v>76</v>
      </c>
      <c r="O119" s="89"/>
      <c r="P119" s="89">
        <v>41</v>
      </c>
      <c r="Q119" s="89"/>
      <c r="R119" s="89">
        <v>37</v>
      </c>
      <c r="S119" s="89"/>
      <c r="T119" s="89">
        <v>22</v>
      </c>
      <c r="U119" s="89"/>
      <c r="V119" s="89"/>
      <c r="W119" s="89"/>
      <c r="X119" s="89">
        <f t="shared" si="16"/>
        <v>1842</v>
      </c>
      <c r="Y119" s="71"/>
      <c r="Z119" s="594">
        <v>2012</v>
      </c>
      <c r="AA119" s="71" t="s">
        <v>78</v>
      </c>
    </row>
    <row r="120" spans="2:27" s="36" customFormat="1" ht="12.75" hidden="1" customHeight="1">
      <c r="B120" s="68">
        <v>2012</v>
      </c>
      <c r="C120" s="12" t="s">
        <v>4</v>
      </c>
      <c r="D120" s="284">
        <v>1348</v>
      </c>
      <c r="E120" s="89"/>
      <c r="F120" s="89">
        <v>330</v>
      </c>
      <c r="G120" s="89"/>
      <c r="H120" s="89">
        <v>164</v>
      </c>
      <c r="I120" s="89"/>
      <c r="J120" s="89">
        <v>10</v>
      </c>
      <c r="K120" s="89"/>
      <c r="L120" s="89">
        <v>107</v>
      </c>
      <c r="M120" s="89"/>
      <c r="N120" s="89">
        <v>60</v>
      </c>
      <c r="O120" s="89"/>
      <c r="P120" s="89">
        <v>43</v>
      </c>
      <c r="Q120" s="89"/>
      <c r="R120" s="89">
        <v>27</v>
      </c>
      <c r="S120" s="89"/>
      <c r="T120" s="89">
        <v>17</v>
      </c>
      <c r="U120" s="89"/>
      <c r="V120" s="89"/>
      <c r="W120" s="89"/>
      <c r="X120" s="89">
        <f t="shared" si="16"/>
        <v>2106</v>
      </c>
      <c r="Y120" s="71"/>
      <c r="Z120" s="594">
        <v>2012</v>
      </c>
      <c r="AA120" s="71" t="s">
        <v>79</v>
      </c>
    </row>
    <row r="121" spans="2:27" s="36" customFormat="1" ht="12.75" hidden="1" customHeight="1">
      <c r="B121" s="68">
        <v>2012</v>
      </c>
      <c r="C121" s="12" t="s">
        <v>30</v>
      </c>
      <c r="D121" s="284">
        <v>1139</v>
      </c>
      <c r="E121" s="89"/>
      <c r="F121" s="89">
        <v>255</v>
      </c>
      <c r="G121" s="89"/>
      <c r="H121" s="89">
        <v>97</v>
      </c>
      <c r="I121" s="89"/>
      <c r="J121" s="89">
        <v>21</v>
      </c>
      <c r="K121" s="89"/>
      <c r="L121" s="89">
        <v>91</v>
      </c>
      <c r="M121" s="89"/>
      <c r="N121" s="89">
        <v>69</v>
      </c>
      <c r="O121" s="89"/>
      <c r="P121" s="89">
        <v>46</v>
      </c>
      <c r="Q121" s="89"/>
      <c r="R121" s="89">
        <v>18</v>
      </c>
      <c r="S121" s="89"/>
      <c r="T121" s="89">
        <v>18</v>
      </c>
      <c r="U121" s="89"/>
      <c r="V121" s="89"/>
      <c r="W121" s="89"/>
      <c r="X121" s="89">
        <f t="shared" si="16"/>
        <v>1754</v>
      </c>
      <c r="Y121" s="71"/>
      <c r="Z121" s="594">
        <v>2012</v>
      </c>
      <c r="AA121" s="71" t="s">
        <v>80</v>
      </c>
    </row>
    <row r="122" spans="2:27" s="36" customFormat="1" ht="12.75" hidden="1" customHeight="1">
      <c r="B122" s="68">
        <v>2012</v>
      </c>
      <c r="C122" s="12" t="s">
        <v>36</v>
      </c>
      <c r="D122" s="284">
        <v>1155</v>
      </c>
      <c r="E122" s="89"/>
      <c r="F122" s="89">
        <v>288</v>
      </c>
      <c r="G122" s="89"/>
      <c r="H122" s="89">
        <v>185</v>
      </c>
      <c r="I122" s="89"/>
      <c r="J122" s="89">
        <v>21</v>
      </c>
      <c r="K122" s="89"/>
      <c r="L122" s="89">
        <v>94</v>
      </c>
      <c r="M122" s="89"/>
      <c r="N122" s="89">
        <v>44</v>
      </c>
      <c r="O122" s="89"/>
      <c r="P122" s="89">
        <v>50</v>
      </c>
      <c r="Q122" s="89"/>
      <c r="R122" s="89">
        <v>37</v>
      </c>
      <c r="S122" s="89"/>
      <c r="T122" s="89">
        <v>16</v>
      </c>
      <c r="U122" s="89"/>
      <c r="V122" s="89"/>
      <c r="W122" s="89"/>
      <c r="X122" s="89">
        <f>SUM(D122:U122)</f>
        <v>1890</v>
      </c>
      <c r="Y122" s="71"/>
      <c r="Z122" s="594">
        <v>2012</v>
      </c>
      <c r="AA122" s="71" t="s">
        <v>81</v>
      </c>
    </row>
    <row r="123" spans="2:27" s="36" customFormat="1" ht="12.75" hidden="1" customHeight="1">
      <c r="B123" s="68">
        <v>2012</v>
      </c>
      <c r="C123" s="12" t="s">
        <v>37</v>
      </c>
      <c r="D123" s="284">
        <v>814</v>
      </c>
      <c r="E123" s="89"/>
      <c r="F123" s="89">
        <v>282</v>
      </c>
      <c r="G123" s="89"/>
      <c r="H123" s="89">
        <v>105</v>
      </c>
      <c r="I123" s="89"/>
      <c r="J123" s="89">
        <v>18</v>
      </c>
      <c r="K123" s="89"/>
      <c r="L123" s="89">
        <v>90</v>
      </c>
      <c r="M123" s="89"/>
      <c r="N123" s="89">
        <v>51</v>
      </c>
      <c r="O123" s="89"/>
      <c r="P123" s="89">
        <v>47</v>
      </c>
      <c r="Q123" s="89"/>
      <c r="R123" s="89">
        <v>41</v>
      </c>
      <c r="S123" s="89"/>
      <c r="T123" s="89">
        <v>31</v>
      </c>
      <c r="U123" s="89"/>
      <c r="V123" s="89"/>
      <c r="W123" s="89"/>
      <c r="X123" s="89">
        <f>SUM(D123:U123)</f>
        <v>1479</v>
      </c>
      <c r="Y123" s="71"/>
      <c r="Z123" s="594">
        <v>2012</v>
      </c>
      <c r="AA123" s="71" t="s">
        <v>82</v>
      </c>
    </row>
    <row r="124" spans="2:27" s="36" customFormat="1" ht="12.75" hidden="1" customHeight="1">
      <c r="B124" s="68">
        <v>2012</v>
      </c>
      <c r="C124" s="12" t="s">
        <v>31</v>
      </c>
      <c r="D124" s="284">
        <v>1650</v>
      </c>
      <c r="E124" s="89"/>
      <c r="F124" s="89">
        <v>283</v>
      </c>
      <c r="G124" s="89"/>
      <c r="H124" s="89">
        <v>98</v>
      </c>
      <c r="I124" s="89"/>
      <c r="J124" s="89">
        <v>11</v>
      </c>
      <c r="K124" s="89"/>
      <c r="L124" s="89">
        <v>109</v>
      </c>
      <c r="M124" s="89"/>
      <c r="N124" s="89">
        <v>57</v>
      </c>
      <c r="O124" s="89"/>
      <c r="P124" s="89">
        <v>44</v>
      </c>
      <c r="Q124" s="89"/>
      <c r="R124" s="89">
        <v>30</v>
      </c>
      <c r="S124" s="89"/>
      <c r="T124" s="89">
        <v>30</v>
      </c>
      <c r="U124" s="89"/>
      <c r="V124" s="89"/>
      <c r="W124" s="89"/>
      <c r="X124" s="89">
        <f>SUM(D124:T124)</f>
        <v>2312</v>
      </c>
      <c r="Y124" s="71"/>
      <c r="Z124" s="594">
        <v>2012</v>
      </c>
      <c r="AA124" s="71" t="s">
        <v>31</v>
      </c>
    </row>
    <row r="125" spans="2:27" s="36" customFormat="1" ht="12.75" hidden="1" customHeight="1">
      <c r="B125" s="68">
        <v>2012</v>
      </c>
      <c r="C125" s="12" t="s">
        <v>38</v>
      </c>
      <c r="D125" s="284">
        <v>948</v>
      </c>
      <c r="E125" s="89"/>
      <c r="F125" s="89">
        <v>378</v>
      </c>
      <c r="G125" s="89"/>
      <c r="H125" s="89">
        <v>137</v>
      </c>
      <c r="I125" s="89"/>
      <c r="J125" s="89">
        <v>15</v>
      </c>
      <c r="K125" s="89"/>
      <c r="L125" s="89">
        <v>86</v>
      </c>
      <c r="M125" s="89"/>
      <c r="N125" s="89">
        <v>62</v>
      </c>
      <c r="O125" s="89"/>
      <c r="P125" s="89">
        <v>61</v>
      </c>
      <c r="Q125" s="89"/>
      <c r="R125" s="89">
        <v>24</v>
      </c>
      <c r="S125" s="89"/>
      <c r="T125" s="89">
        <v>35</v>
      </c>
      <c r="U125" s="89"/>
      <c r="V125" s="89"/>
      <c r="W125" s="89"/>
      <c r="X125" s="89">
        <f>SUM(D125:T125)</f>
        <v>1746</v>
      </c>
      <c r="Y125" s="71"/>
      <c r="Z125" s="594">
        <v>2012</v>
      </c>
      <c r="AA125" s="71" t="s">
        <v>50</v>
      </c>
    </row>
    <row r="126" spans="2:27" s="36" customFormat="1" ht="12.75" hidden="1" customHeight="1">
      <c r="B126" s="68">
        <v>2012</v>
      </c>
      <c r="C126" s="12" t="s">
        <v>39</v>
      </c>
      <c r="D126" s="284">
        <v>1442</v>
      </c>
      <c r="E126" s="89"/>
      <c r="F126" s="89">
        <v>304</v>
      </c>
      <c r="G126" s="89"/>
      <c r="H126" s="89">
        <v>146</v>
      </c>
      <c r="I126" s="89"/>
      <c r="J126" s="89">
        <v>18</v>
      </c>
      <c r="K126" s="89"/>
      <c r="L126" s="89">
        <v>99</v>
      </c>
      <c r="M126" s="89"/>
      <c r="N126" s="89">
        <v>36</v>
      </c>
      <c r="O126" s="89"/>
      <c r="P126" s="89">
        <v>56</v>
      </c>
      <c r="Q126" s="89"/>
      <c r="R126" s="89">
        <v>35</v>
      </c>
      <c r="S126" s="89"/>
      <c r="T126" s="89">
        <v>31</v>
      </c>
      <c r="U126" s="89"/>
      <c r="V126" s="89"/>
      <c r="W126" s="89"/>
      <c r="X126" s="89">
        <f>SUM(D126:T126)</f>
        <v>2167</v>
      </c>
      <c r="Y126" s="71"/>
      <c r="Z126" s="594">
        <v>2012</v>
      </c>
      <c r="AA126" s="71" t="s">
        <v>39</v>
      </c>
    </row>
    <row r="127" spans="2:27" s="36" customFormat="1" ht="12.75" hidden="1" customHeight="1">
      <c r="B127" s="68">
        <v>2012</v>
      </c>
      <c r="C127" s="12" t="s">
        <v>32</v>
      </c>
      <c r="D127" s="284">
        <v>1690</v>
      </c>
      <c r="E127" s="89"/>
      <c r="F127" s="89">
        <v>337</v>
      </c>
      <c r="G127" s="89"/>
      <c r="H127" s="89">
        <v>110</v>
      </c>
      <c r="I127" s="89"/>
      <c r="J127" s="89">
        <v>18</v>
      </c>
      <c r="K127" s="89"/>
      <c r="L127" s="89">
        <v>115</v>
      </c>
      <c r="M127" s="89"/>
      <c r="N127" s="89">
        <v>66</v>
      </c>
      <c r="O127" s="89"/>
      <c r="P127" s="89">
        <v>64</v>
      </c>
      <c r="Q127" s="89"/>
      <c r="R127" s="89">
        <v>43</v>
      </c>
      <c r="S127" s="89"/>
      <c r="T127" s="89">
        <v>26</v>
      </c>
      <c r="U127" s="89"/>
      <c r="V127" s="89"/>
      <c r="W127" s="89"/>
      <c r="X127" s="89">
        <f>SUM(D127:T127)</f>
        <v>2469</v>
      </c>
      <c r="Y127" s="71"/>
      <c r="Z127" s="594">
        <v>2012</v>
      </c>
      <c r="AA127" s="71" t="s">
        <v>32</v>
      </c>
    </row>
    <row r="128" spans="2:27" s="36" customFormat="1" ht="12.75" hidden="1" customHeight="1">
      <c r="B128" s="68">
        <v>2013</v>
      </c>
      <c r="C128" s="12" t="s">
        <v>33</v>
      </c>
      <c r="D128" s="284">
        <v>983</v>
      </c>
      <c r="E128" s="89"/>
      <c r="F128" s="89">
        <v>391</v>
      </c>
      <c r="G128" s="89"/>
      <c r="H128" s="89">
        <v>236</v>
      </c>
      <c r="I128" s="89"/>
      <c r="J128" s="89">
        <v>18</v>
      </c>
      <c r="K128" s="89"/>
      <c r="L128" s="89">
        <v>158</v>
      </c>
      <c r="M128" s="89"/>
      <c r="N128" s="89">
        <v>73</v>
      </c>
      <c r="O128" s="89"/>
      <c r="P128" s="89">
        <v>116</v>
      </c>
      <c r="Q128" s="89"/>
      <c r="R128" s="89">
        <v>51</v>
      </c>
      <c r="S128" s="89"/>
      <c r="T128" s="89">
        <v>35</v>
      </c>
      <c r="U128" s="89"/>
      <c r="V128" s="89"/>
      <c r="W128" s="89"/>
      <c r="X128" s="89">
        <f t="shared" ref="X128:X135" si="17">SUM(D128:T128)</f>
        <v>2061</v>
      </c>
      <c r="Y128" s="71"/>
      <c r="Z128" s="594">
        <v>2013</v>
      </c>
      <c r="AA128" s="71" t="s">
        <v>33</v>
      </c>
    </row>
    <row r="129" spans="2:27" s="36" customFormat="1" ht="12.75" hidden="1" customHeight="1">
      <c r="B129" s="68">
        <v>2013</v>
      </c>
      <c r="C129" s="12" t="s">
        <v>34</v>
      </c>
      <c r="D129" s="284">
        <v>688</v>
      </c>
      <c r="E129" s="268"/>
      <c r="F129" s="89">
        <v>270</v>
      </c>
      <c r="G129" s="268"/>
      <c r="H129" s="89">
        <v>93</v>
      </c>
      <c r="I129" s="268"/>
      <c r="J129" s="89">
        <v>12</v>
      </c>
      <c r="K129" s="268"/>
      <c r="L129" s="89">
        <v>84</v>
      </c>
      <c r="M129" s="268"/>
      <c r="N129" s="89">
        <v>62</v>
      </c>
      <c r="O129" s="268"/>
      <c r="P129" s="89">
        <v>87</v>
      </c>
      <c r="Q129" s="268"/>
      <c r="R129" s="89">
        <v>26</v>
      </c>
      <c r="S129" s="268"/>
      <c r="T129" s="89">
        <v>32</v>
      </c>
      <c r="U129" s="89"/>
      <c r="V129" s="89"/>
      <c r="W129" s="268"/>
      <c r="X129" s="89">
        <f t="shared" si="17"/>
        <v>1354</v>
      </c>
      <c r="Y129" s="660"/>
      <c r="Z129" s="594">
        <v>2013</v>
      </c>
      <c r="AA129" s="71" t="s">
        <v>77</v>
      </c>
    </row>
    <row r="130" spans="2:27" s="36" customFormat="1" ht="12.75" hidden="1" customHeight="1">
      <c r="B130" s="68">
        <v>2013</v>
      </c>
      <c r="C130" s="12" t="s">
        <v>29</v>
      </c>
      <c r="D130" s="284">
        <v>915</v>
      </c>
      <c r="E130" s="89"/>
      <c r="F130" s="89">
        <v>322</v>
      </c>
      <c r="G130" s="89"/>
      <c r="H130" s="89">
        <v>124</v>
      </c>
      <c r="I130" s="89"/>
      <c r="J130" s="89">
        <v>16</v>
      </c>
      <c r="K130" s="89"/>
      <c r="L130" s="89">
        <v>120</v>
      </c>
      <c r="M130" s="89"/>
      <c r="N130" s="89">
        <v>74</v>
      </c>
      <c r="O130" s="89"/>
      <c r="P130" s="89">
        <v>63</v>
      </c>
      <c r="Q130" s="89"/>
      <c r="R130" s="89">
        <v>33</v>
      </c>
      <c r="S130" s="89"/>
      <c r="T130" s="89">
        <v>29</v>
      </c>
      <c r="U130" s="89"/>
      <c r="V130" s="89"/>
      <c r="W130" s="89"/>
      <c r="X130" s="89">
        <f t="shared" si="17"/>
        <v>1696</v>
      </c>
      <c r="Y130" s="71"/>
      <c r="Z130" s="594">
        <v>2013</v>
      </c>
      <c r="AA130" s="71" t="s">
        <v>29</v>
      </c>
    </row>
    <row r="131" spans="2:27" s="36" customFormat="1" ht="12.75" hidden="1" customHeight="1">
      <c r="B131" s="68">
        <v>2013</v>
      </c>
      <c r="C131" s="12" t="s">
        <v>35</v>
      </c>
      <c r="D131" s="284">
        <v>1259</v>
      </c>
      <c r="E131" s="89"/>
      <c r="F131" s="89">
        <v>352</v>
      </c>
      <c r="G131" s="89"/>
      <c r="H131" s="89">
        <v>160</v>
      </c>
      <c r="I131" s="89"/>
      <c r="J131" s="89">
        <v>21</v>
      </c>
      <c r="K131" s="89"/>
      <c r="L131" s="89">
        <v>114</v>
      </c>
      <c r="M131" s="89"/>
      <c r="N131" s="89">
        <v>63</v>
      </c>
      <c r="O131" s="89"/>
      <c r="P131" s="89">
        <v>56</v>
      </c>
      <c r="Q131" s="89"/>
      <c r="R131" s="89">
        <v>30</v>
      </c>
      <c r="S131" s="89"/>
      <c r="T131" s="89">
        <v>28</v>
      </c>
      <c r="U131" s="89"/>
      <c r="V131" s="89"/>
      <c r="W131" s="89"/>
      <c r="X131" s="89">
        <f t="shared" si="17"/>
        <v>2083</v>
      </c>
      <c r="Y131" s="71"/>
      <c r="Z131" s="594">
        <v>2013</v>
      </c>
      <c r="AA131" s="71" t="s">
        <v>78</v>
      </c>
    </row>
    <row r="132" spans="2:27" s="36" customFormat="1" ht="12.75" hidden="1" customHeight="1">
      <c r="B132" s="68">
        <v>2013</v>
      </c>
      <c r="C132" s="12" t="s">
        <v>4</v>
      </c>
      <c r="D132" s="284">
        <v>1559</v>
      </c>
      <c r="E132" s="89"/>
      <c r="F132" s="89">
        <v>297</v>
      </c>
      <c r="G132" s="89"/>
      <c r="H132" s="89">
        <v>110</v>
      </c>
      <c r="I132" s="89"/>
      <c r="J132" s="89">
        <v>17</v>
      </c>
      <c r="K132" s="89"/>
      <c r="L132" s="89">
        <v>99</v>
      </c>
      <c r="M132" s="89"/>
      <c r="N132" s="89">
        <v>70</v>
      </c>
      <c r="O132" s="89"/>
      <c r="P132" s="89">
        <v>48</v>
      </c>
      <c r="Q132" s="89"/>
      <c r="R132" s="89">
        <v>34</v>
      </c>
      <c r="S132" s="89"/>
      <c r="T132" s="89">
        <v>40</v>
      </c>
      <c r="U132" s="89"/>
      <c r="V132" s="89"/>
      <c r="W132" s="89"/>
      <c r="X132" s="89">
        <f t="shared" si="17"/>
        <v>2274</v>
      </c>
      <c r="Y132" s="71"/>
      <c r="Z132" s="594">
        <v>2013</v>
      </c>
      <c r="AA132" s="71" t="s">
        <v>79</v>
      </c>
    </row>
    <row r="133" spans="2:27" s="36" customFormat="1" ht="12.75" hidden="1" customHeight="1">
      <c r="B133" s="68">
        <v>2013</v>
      </c>
      <c r="C133" s="12" t="s">
        <v>30</v>
      </c>
      <c r="D133" s="284">
        <v>1386</v>
      </c>
      <c r="E133" s="89"/>
      <c r="F133" s="89">
        <v>353</v>
      </c>
      <c r="G133" s="89"/>
      <c r="H133" s="89">
        <v>153</v>
      </c>
      <c r="I133" s="89"/>
      <c r="J133" s="89">
        <v>31</v>
      </c>
      <c r="K133" s="89"/>
      <c r="L133" s="89">
        <v>124</v>
      </c>
      <c r="M133" s="89"/>
      <c r="N133" s="89">
        <v>94</v>
      </c>
      <c r="O133" s="89"/>
      <c r="P133" s="89">
        <v>83</v>
      </c>
      <c r="Q133" s="89"/>
      <c r="R133" s="89">
        <v>44</v>
      </c>
      <c r="S133" s="89"/>
      <c r="T133" s="89">
        <v>27</v>
      </c>
      <c r="U133" s="89"/>
      <c r="V133" s="89"/>
      <c r="W133" s="89"/>
      <c r="X133" s="89">
        <f t="shared" si="17"/>
        <v>2295</v>
      </c>
      <c r="Y133" s="71"/>
      <c r="Z133" s="594">
        <v>2013</v>
      </c>
      <c r="AA133" s="71" t="s">
        <v>80</v>
      </c>
    </row>
    <row r="134" spans="2:27" s="36" customFormat="1" ht="12.75" hidden="1" customHeight="1">
      <c r="B134" s="68">
        <v>2013</v>
      </c>
      <c r="C134" s="12" t="s">
        <v>36</v>
      </c>
      <c r="D134" s="284">
        <v>1074</v>
      </c>
      <c r="E134" s="89"/>
      <c r="F134" s="89">
        <v>390</v>
      </c>
      <c r="G134" s="89"/>
      <c r="H134" s="89">
        <v>162</v>
      </c>
      <c r="I134" s="89"/>
      <c r="J134" s="89">
        <v>33</v>
      </c>
      <c r="K134" s="89"/>
      <c r="L134" s="89">
        <v>112</v>
      </c>
      <c r="M134" s="89"/>
      <c r="N134" s="89">
        <v>75</v>
      </c>
      <c r="O134" s="89"/>
      <c r="P134" s="89">
        <v>192</v>
      </c>
      <c r="Q134" s="89"/>
      <c r="R134" s="89">
        <v>41</v>
      </c>
      <c r="S134" s="89"/>
      <c r="T134" s="89">
        <v>38</v>
      </c>
      <c r="U134" s="89"/>
      <c r="V134" s="89"/>
      <c r="W134" s="89"/>
      <c r="X134" s="89">
        <f t="shared" si="17"/>
        <v>2117</v>
      </c>
      <c r="Y134" s="71"/>
      <c r="Z134" s="594">
        <v>2013</v>
      </c>
      <c r="AA134" s="71" t="s">
        <v>81</v>
      </c>
    </row>
    <row r="135" spans="2:27" s="36" customFormat="1" ht="12.75" hidden="1" customHeight="1">
      <c r="B135" s="68">
        <v>2013</v>
      </c>
      <c r="C135" s="12" t="s">
        <v>37</v>
      </c>
      <c r="D135" s="284">
        <v>1014</v>
      </c>
      <c r="E135" s="89"/>
      <c r="F135" s="89">
        <v>302</v>
      </c>
      <c r="G135" s="89"/>
      <c r="H135" s="89">
        <v>138</v>
      </c>
      <c r="I135" s="89"/>
      <c r="J135" s="89">
        <v>5</v>
      </c>
      <c r="K135" s="89"/>
      <c r="L135" s="89">
        <v>90</v>
      </c>
      <c r="M135" s="89"/>
      <c r="N135" s="89">
        <v>75</v>
      </c>
      <c r="O135" s="89"/>
      <c r="P135" s="89">
        <v>67</v>
      </c>
      <c r="Q135" s="89"/>
      <c r="R135" s="89">
        <v>56</v>
      </c>
      <c r="S135" s="89"/>
      <c r="T135" s="89">
        <v>30</v>
      </c>
      <c r="U135" s="89"/>
      <c r="V135" s="89"/>
      <c r="W135" s="89"/>
      <c r="X135" s="89">
        <f t="shared" si="17"/>
        <v>1777</v>
      </c>
      <c r="Y135" s="71"/>
      <c r="Z135" s="594">
        <v>2013</v>
      </c>
      <c r="AA135" s="71" t="s">
        <v>82</v>
      </c>
    </row>
    <row r="136" spans="2:27" s="36" customFormat="1" ht="12.75" hidden="1" customHeight="1">
      <c r="B136" s="68">
        <v>2013</v>
      </c>
      <c r="C136" s="12" t="s">
        <v>31</v>
      </c>
      <c r="D136" s="284">
        <v>2026</v>
      </c>
      <c r="E136" s="89"/>
      <c r="F136" s="89">
        <v>341</v>
      </c>
      <c r="G136" s="89"/>
      <c r="H136" s="89">
        <v>130</v>
      </c>
      <c r="I136" s="89"/>
      <c r="J136" s="89">
        <v>1</v>
      </c>
      <c r="K136" s="89"/>
      <c r="L136" s="89">
        <v>80</v>
      </c>
      <c r="M136" s="89"/>
      <c r="N136" s="89">
        <v>90</v>
      </c>
      <c r="O136" s="89"/>
      <c r="P136" s="89">
        <v>78</v>
      </c>
      <c r="Q136" s="89"/>
      <c r="R136" s="89">
        <v>66</v>
      </c>
      <c r="S136" s="89"/>
      <c r="T136" s="89">
        <v>37</v>
      </c>
      <c r="U136" s="89"/>
      <c r="V136" s="89"/>
      <c r="W136" s="89"/>
      <c r="X136" s="89">
        <f t="shared" ref="X136:X149" si="18">SUM(D136:T136)</f>
        <v>2849</v>
      </c>
      <c r="Y136" s="71"/>
      <c r="Z136" s="594">
        <v>2013</v>
      </c>
      <c r="AA136" s="71" t="s">
        <v>31</v>
      </c>
    </row>
    <row r="137" spans="2:27" s="36" customFormat="1" ht="12.75" hidden="1" customHeight="1">
      <c r="B137" s="68">
        <v>2013</v>
      </c>
      <c r="C137" s="12" t="s">
        <v>38</v>
      </c>
      <c r="D137" s="284">
        <v>863</v>
      </c>
      <c r="E137" s="89"/>
      <c r="F137" s="89">
        <v>386</v>
      </c>
      <c r="G137" s="89"/>
      <c r="H137" s="89">
        <v>184</v>
      </c>
      <c r="I137" s="89"/>
      <c r="J137" s="89">
        <v>1</v>
      </c>
      <c r="K137" s="89"/>
      <c r="L137" s="89">
        <v>93</v>
      </c>
      <c r="M137" s="89"/>
      <c r="N137" s="89">
        <v>92</v>
      </c>
      <c r="O137" s="89" t="s">
        <v>41</v>
      </c>
      <c r="P137" s="89">
        <v>64</v>
      </c>
      <c r="Q137" s="89"/>
      <c r="R137" s="89">
        <v>64</v>
      </c>
      <c r="S137" s="89"/>
      <c r="T137" s="89">
        <v>26</v>
      </c>
      <c r="U137" s="89"/>
      <c r="V137" s="89"/>
      <c r="W137" s="89"/>
      <c r="X137" s="89">
        <f t="shared" si="18"/>
        <v>1773</v>
      </c>
      <c r="Y137" s="71"/>
      <c r="Z137" s="594">
        <v>2013</v>
      </c>
      <c r="AA137" s="71" t="s">
        <v>50</v>
      </c>
    </row>
    <row r="138" spans="2:27" s="36" customFormat="1" ht="12.75" hidden="1" customHeight="1">
      <c r="B138" s="68">
        <v>2013</v>
      </c>
      <c r="C138" s="12" t="s">
        <v>39</v>
      </c>
      <c r="D138" s="284">
        <v>1692</v>
      </c>
      <c r="E138" s="89"/>
      <c r="F138" s="89">
        <v>382</v>
      </c>
      <c r="G138" s="89"/>
      <c r="H138" s="89">
        <v>153</v>
      </c>
      <c r="I138" s="89"/>
      <c r="J138" s="89">
        <v>1</v>
      </c>
      <c r="K138" s="89"/>
      <c r="L138" s="89">
        <v>102</v>
      </c>
      <c r="M138" s="89"/>
      <c r="N138" s="89">
        <v>87</v>
      </c>
      <c r="O138" s="89"/>
      <c r="P138" s="89">
        <v>75</v>
      </c>
      <c r="Q138" s="89"/>
      <c r="R138" s="89">
        <v>66</v>
      </c>
      <c r="S138" s="89"/>
      <c r="T138" s="89">
        <v>24</v>
      </c>
      <c r="U138" s="89"/>
      <c r="V138" s="89"/>
      <c r="W138" s="89"/>
      <c r="X138" s="89">
        <f t="shared" si="18"/>
        <v>2582</v>
      </c>
      <c r="Y138" s="71"/>
      <c r="Z138" s="594">
        <v>2013</v>
      </c>
      <c r="AA138" s="71" t="s">
        <v>39</v>
      </c>
    </row>
    <row r="139" spans="2:27" s="36" customFormat="1" ht="12.75" hidden="1" customHeight="1">
      <c r="B139" s="68">
        <v>2013</v>
      </c>
      <c r="C139" s="12" t="s">
        <v>32</v>
      </c>
      <c r="D139" s="284">
        <v>1951</v>
      </c>
      <c r="E139" s="89"/>
      <c r="F139" s="89">
        <v>310</v>
      </c>
      <c r="G139" s="89"/>
      <c r="H139" s="89">
        <v>139</v>
      </c>
      <c r="I139" s="89"/>
      <c r="J139" s="89">
        <v>11</v>
      </c>
      <c r="K139" s="89"/>
      <c r="L139" s="89">
        <v>117</v>
      </c>
      <c r="M139" s="89"/>
      <c r="N139" s="89">
        <v>60</v>
      </c>
      <c r="O139" s="89"/>
      <c r="P139" s="89">
        <v>78</v>
      </c>
      <c r="Q139" s="89"/>
      <c r="R139" s="89">
        <v>55</v>
      </c>
      <c r="S139" s="89"/>
      <c r="T139" s="89">
        <v>29</v>
      </c>
      <c r="U139" s="89"/>
      <c r="V139" s="89"/>
      <c r="W139" s="89"/>
      <c r="X139" s="89">
        <f t="shared" si="18"/>
        <v>2750</v>
      </c>
      <c r="Y139" s="71"/>
      <c r="Z139" s="594">
        <v>2013</v>
      </c>
      <c r="AA139" s="71" t="s">
        <v>32</v>
      </c>
    </row>
    <row r="140" spans="2:27" s="36" customFormat="1" ht="12.75" hidden="1" customHeight="1">
      <c r="B140" s="68">
        <v>2014</v>
      </c>
      <c r="C140" s="12" t="s">
        <v>33</v>
      </c>
      <c r="D140" s="284">
        <v>1071</v>
      </c>
      <c r="E140" s="89"/>
      <c r="F140" s="89">
        <v>456</v>
      </c>
      <c r="G140" s="89"/>
      <c r="H140" s="89">
        <v>230</v>
      </c>
      <c r="I140" s="89"/>
      <c r="J140" s="89">
        <v>4</v>
      </c>
      <c r="K140" s="89"/>
      <c r="L140" s="89">
        <v>144</v>
      </c>
      <c r="M140" s="89"/>
      <c r="N140" s="89">
        <v>88</v>
      </c>
      <c r="O140" s="89"/>
      <c r="P140" s="89">
        <v>195</v>
      </c>
      <c r="Q140" s="89"/>
      <c r="R140" s="89">
        <v>109</v>
      </c>
      <c r="S140" s="89"/>
      <c r="T140" s="89">
        <v>31</v>
      </c>
      <c r="U140" s="89"/>
      <c r="V140" s="89"/>
      <c r="W140" s="89"/>
      <c r="X140" s="89">
        <f t="shared" si="18"/>
        <v>2328</v>
      </c>
      <c r="Y140" s="71"/>
      <c r="Z140" s="594">
        <v>2014</v>
      </c>
      <c r="AA140" s="71" t="s">
        <v>33</v>
      </c>
    </row>
    <row r="141" spans="2:27" s="36" customFormat="1" ht="12.75" hidden="1" customHeight="1">
      <c r="B141" s="68">
        <v>2014</v>
      </c>
      <c r="C141" s="12" t="s">
        <v>34</v>
      </c>
      <c r="D141" s="284">
        <v>678</v>
      </c>
      <c r="E141" s="89"/>
      <c r="F141" s="89">
        <v>319</v>
      </c>
      <c r="G141" s="89"/>
      <c r="H141" s="89">
        <v>176</v>
      </c>
      <c r="I141" s="89"/>
      <c r="J141" s="89">
        <v>1</v>
      </c>
      <c r="K141" s="89"/>
      <c r="L141" s="89">
        <v>100</v>
      </c>
      <c r="M141" s="89"/>
      <c r="N141" s="89">
        <v>75</v>
      </c>
      <c r="O141" s="89"/>
      <c r="P141" s="89">
        <v>98</v>
      </c>
      <c r="Q141" s="89"/>
      <c r="R141" s="89">
        <v>67</v>
      </c>
      <c r="S141" s="89"/>
      <c r="T141" s="89">
        <v>26</v>
      </c>
      <c r="U141" s="89"/>
      <c r="V141" s="89"/>
      <c r="W141" s="89"/>
      <c r="X141" s="89">
        <f t="shared" si="18"/>
        <v>1540</v>
      </c>
      <c r="Y141" s="71"/>
      <c r="Z141" s="594">
        <v>2014</v>
      </c>
      <c r="AA141" s="71" t="s">
        <v>77</v>
      </c>
    </row>
    <row r="142" spans="2:27" s="36" customFormat="1" ht="12.75" hidden="1" customHeight="1">
      <c r="B142" s="68">
        <v>2014</v>
      </c>
      <c r="C142" s="12" t="s">
        <v>29</v>
      </c>
      <c r="D142" s="284">
        <v>864</v>
      </c>
      <c r="E142" s="89"/>
      <c r="F142" s="89">
        <v>383</v>
      </c>
      <c r="G142" s="89"/>
      <c r="H142" s="89">
        <v>139</v>
      </c>
      <c r="I142" s="89"/>
      <c r="J142" s="89">
        <v>12</v>
      </c>
      <c r="K142" s="89"/>
      <c r="L142" s="89">
        <v>125</v>
      </c>
      <c r="M142" s="89"/>
      <c r="N142" s="89">
        <v>76</v>
      </c>
      <c r="O142" s="89"/>
      <c r="P142" s="89">
        <v>84</v>
      </c>
      <c r="Q142" s="89"/>
      <c r="R142" s="89">
        <v>37</v>
      </c>
      <c r="S142" s="89"/>
      <c r="T142" s="89">
        <v>39</v>
      </c>
      <c r="U142" s="89"/>
      <c r="V142" s="89"/>
      <c r="W142" s="89"/>
      <c r="X142" s="89">
        <f t="shared" si="18"/>
        <v>1759</v>
      </c>
      <c r="Y142" s="71"/>
      <c r="Z142" s="594">
        <v>2014</v>
      </c>
      <c r="AA142" s="71" t="s">
        <v>29</v>
      </c>
    </row>
    <row r="143" spans="2:27" s="36" customFormat="1" ht="12.75" hidden="1" customHeight="1">
      <c r="B143" s="68">
        <v>2014</v>
      </c>
      <c r="C143" s="12" t="s">
        <v>35</v>
      </c>
      <c r="D143" s="284">
        <v>1149</v>
      </c>
      <c r="E143" s="89"/>
      <c r="F143" s="89">
        <v>294</v>
      </c>
      <c r="G143" s="89"/>
      <c r="H143" s="89">
        <v>111</v>
      </c>
      <c r="I143" s="89"/>
      <c r="J143" s="89">
        <v>8</v>
      </c>
      <c r="K143" s="89"/>
      <c r="L143" s="89">
        <v>88</v>
      </c>
      <c r="M143" s="89"/>
      <c r="N143" s="89">
        <v>56</v>
      </c>
      <c r="O143" s="89"/>
      <c r="P143" s="89">
        <v>63</v>
      </c>
      <c r="Q143" s="89"/>
      <c r="R143" s="89">
        <v>36</v>
      </c>
      <c r="S143" s="89"/>
      <c r="T143" s="89">
        <v>24</v>
      </c>
      <c r="U143" s="89"/>
      <c r="V143" s="89"/>
      <c r="W143" s="89"/>
      <c r="X143" s="89">
        <f t="shared" si="18"/>
        <v>1829</v>
      </c>
      <c r="Y143" s="71"/>
      <c r="Z143" s="594">
        <v>2014</v>
      </c>
      <c r="AA143" s="71" t="s">
        <v>78</v>
      </c>
    </row>
    <row r="144" spans="2:27" s="36" customFormat="1" ht="12.75" hidden="1" customHeight="1">
      <c r="B144" s="68">
        <v>2014</v>
      </c>
      <c r="C144" s="12" t="s">
        <v>4</v>
      </c>
      <c r="D144" s="284">
        <v>1472</v>
      </c>
      <c r="E144" s="89"/>
      <c r="F144" s="89">
        <v>330</v>
      </c>
      <c r="G144" s="89"/>
      <c r="H144" s="89">
        <v>123</v>
      </c>
      <c r="I144" s="89"/>
      <c r="J144" s="89">
        <v>9</v>
      </c>
      <c r="K144" s="89"/>
      <c r="L144" s="89">
        <v>102</v>
      </c>
      <c r="M144" s="89"/>
      <c r="N144" s="89">
        <v>97</v>
      </c>
      <c r="O144" s="89"/>
      <c r="P144" s="89">
        <v>99</v>
      </c>
      <c r="Q144" s="89"/>
      <c r="R144" s="89">
        <v>51</v>
      </c>
      <c r="S144" s="89"/>
      <c r="T144" s="89">
        <v>40</v>
      </c>
      <c r="U144" s="89"/>
      <c r="V144" s="89"/>
      <c r="W144" s="89"/>
      <c r="X144" s="89">
        <f t="shared" si="18"/>
        <v>2323</v>
      </c>
      <c r="Y144" s="71"/>
      <c r="Z144" s="594">
        <v>2014</v>
      </c>
      <c r="AA144" s="71" t="s">
        <v>79</v>
      </c>
    </row>
    <row r="145" spans="2:30" s="36" customFormat="1" ht="12.75" hidden="1" customHeight="1">
      <c r="B145" s="68">
        <v>2014</v>
      </c>
      <c r="C145" s="12" t="s">
        <v>30</v>
      </c>
      <c r="D145" s="284">
        <v>1312</v>
      </c>
      <c r="E145" s="89"/>
      <c r="F145" s="89">
        <v>353</v>
      </c>
      <c r="G145" s="89"/>
      <c r="H145" s="89">
        <v>164</v>
      </c>
      <c r="I145" s="89"/>
      <c r="J145" s="89">
        <v>15</v>
      </c>
      <c r="K145" s="89"/>
      <c r="L145" s="89">
        <v>114</v>
      </c>
      <c r="M145" s="89"/>
      <c r="N145" s="89">
        <v>65</v>
      </c>
      <c r="O145" s="89"/>
      <c r="P145" s="89">
        <v>80</v>
      </c>
      <c r="Q145" s="89"/>
      <c r="R145" s="89">
        <v>55</v>
      </c>
      <c r="S145" s="89"/>
      <c r="T145" s="89">
        <v>34</v>
      </c>
      <c r="U145" s="89"/>
      <c r="V145" s="89"/>
      <c r="W145" s="89"/>
      <c r="X145" s="89">
        <f t="shared" si="18"/>
        <v>2192</v>
      </c>
      <c r="Y145" s="71"/>
      <c r="Z145" s="594">
        <v>2014</v>
      </c>
      <c r="AA145" s="71" t="s">
        <v>80</v>
      </c>
    </row>
    <row r="146" spans="2:30" s="36" customFormat="1" ht="12.75" hidden="1" customHeight="1">
      <c r="B146" s="68">
        <v>2014</v>
      </c>
      <c r="C146" s="12" t="s">
        <v>36</v>
      </c>
      <c r="D146" s="284">
        <v>1185</v>
      </c>
      <c r="E146" s="89"/>
      <c r="F146" s="89">
        <v>350</v>
      </c>
      <c r="G146" s="89"/>
      <c r="H146" s="89">
        <v>135</v>
      </c>
      <c r="I146" s="89"/>
      <c r="J146" s="89">
        <v>10</v>
      </c>
      <c r="K146" s="89"/>
      <c r="L146" s="89">
        <v>99</v>
      </c>
      <c r="M146" s="89"/>
      <c r="N146" s="89">
        <v>100</v>
      </c>
      <c r="O146" s="89"/>
      <c r="P146" s="89">
        <v>121</v>
      </c>
      <c r="Q146" s="89"/>
      <c r="R146" s="89">
        <v>57</v>
      </c>
      <c r="S146" s="89"/>
      <c r="T146" s="89">
        <v>29</v>
      </c>
      <c r="U146" s="89"/>
      <c r="V146" s="89"/>
      <c r="W146" s="89"/>
      <c r="X146" s="89">
        <f t="shared" si="18"/>
        <v>2086</v>
      </c>
      <c r="Y146" s="71"/>
      <c r="Z146" s="594">
        <v>2014</v>
      </c>
      <c r="AA146" s="71" t="s">
        <v>81</v>
      </c>
    </row>
    <row r="147" spans="2:30" s="36" customFormat="1" ht="12.75" hidden="1" customHeight="1">
      <c r="B147" s="68">
        <v>2014</v>
      </c>
      <c r="C147" s="12" t="s">
        <v>37</v>
      </c>
      <c r="D147" s="284">
        <v>1213</v>
      </c>
      <c r="E147" s="89"/>
      <c r="F147" s="89">
        <v>355</v>
      </c>
      <c r="G147" s="89"/>
      <c r="H147" s="89">
        <v>263</v>
      </c>
      <c r="I147" s="89"/>
      <c r="J147" s="89">
        <v>11</v>
      </c>
      <c r="K147" s="89"/>
      <c r="L147" s="89">
        <v>118</v>
      </c>
      <c r="M147" s="89"/>
      <c r="N147" s="89">
        <v>84</v>
      </c>
      <c r="O147" s="89"/>
      <c r="P147" s="89">
        <v>88</v>
      </c>
      <c r="Q147" s="89"/>
      <c r="R147" s="89">
        <v>62</v>
      </c>
      <c r="S147" s="89"/>
      <c r="T147" s="89">
        <v>52</v>
      </c>
      <c r="U147" s="89"/>
      <c r="V147" s="89"/>
      <c r="W147" s="89"/>
      <c r="X147" s="89">
        <f t="shared" si="18"/>
        <v>2246</v>
      </c>
      <c r="Y147" s="71"/>
      <c r="Z147" s="594">
        <v>2014</v>
      </c>
      <c r="AA147" s="71" t="s">
        <v>82</v>
      </c>
    </row>
    <row r="148" spans="2:30" s="36" customFormat="1" ht="12.75" hidden="1" customHeight="1">
      <c r="B148" s="68">
        <v>2014</v>
      </c>
      <c r="C148" s="12" t="s">
        <v>31</v>
      </c>
      <c r="D148" s="284">
        <v>1748</v>
      </c>
      <c r="E148" s="89"/>
      <c r="F148" s="89">
        <v>376</v>
      </c>
      <c r="G148" s="89"/>
      <c r="H148" s="89">
        <v>107</v>
      </c>
      <c r="I148" s="89"/>
      <c r="J148" s="89">
        <v>19</v>
      </c>
      <c r="K148" s="89"/>
      <c r="L148" s="89">
        <v>79</v>
      </c>
      <c r="M148" s="89"/>
      <c r="N148" s="89">
        <v>86</v>
      </c>
      <c r="O148" s="89"/>
      <c r="P148" s="89">
        <v>83</v>
      </c>
      <c r="Q148" s="89"/>
      <c r="R148" s="89">
        <v>46</v>
      </c>
      <c r="S148" s="89"/>
      <c r="T148" s="89">
        <v>24</v>
      </c>
      <c r="U148" s="89"/>
      <c r="V148" s="89"/>
      <c r="W148" s="89"/>
      <c r="X148" s="89">
        <f t="shared" si="18"/>
        <v>2568</v>
      </c>
      <c r="Y148" s="71"/>
      <c r="Z148" s="594">
        <v>2014</v>
      </c>
      <c r="AA148" s="71" t="s">
        <v>31</v>
      </c>
    </row>
    <row r="149" spans="2:30" s="36" customFormat="1" ht="12.75" hidden="1" customHeight="1">
      <c r="B149" s="68">
        <v>2014</v>
      </c>
      <c r="C149" s="12" t="s">
        <v>38</v>
      </c>
      <c r="D149" s="284">
        <v>825</v>
      </c>
      <c r="E149" s="89"/>
      <c r="F149" s="89">
        <v>396</v>
      </c>
      <c r="G149" s="89"/>
      <c r="H149" s="89">
        <v>213</v>
      </c>
      <c r="I149" s="89"/>
      <c r="J149" s="89">
        <v>5</v>
      </c>
      <c r="K149" s="89"/>
      <c r="L149" s="89">
        <v>79</v>
      </c>
      <c r="M149" s="89"/>
      <c r="N149" s="89">
        <v>108</v>
      </c>
      <c r="O149" s="89"/>
      <c r="P149" s="89">
        <v>87</v>
      </c>
      <c r="Q149" s="89"/>
      <c r="R149" s="89">
        <v>59</v>
      </c>
      <c r="S149" s="89"/>
      <c r="T149" s="89">
        <v>34</v>
      </c>
      <c r="U149" s="89"/>
      <c r="V149" s="89"/>
      <c r="W149" s="89"/>
      <c r="X149" s="89">
        <f t="shared" si="18"/>
        <v>1806</v>
      </c>
      <c r="Y149" s="71"/>
      <c r="Z149" s="594">
        <v>2014</v>
      </c>
      <c r="AA149" s="71" t="s">
        <v>50</v>
      </c>
    </row>
    <row r="150" spans="2:30" s="36" customFormat="1" ht="12.75" hidden="1" customHeight="1">
      <c r="B150" s="68">
        <v>2014</v>
      </c>
      <c r="C150" s="12" t="s">
        <v>39</v>
      </c>
      <c r="D150" s="284">
        <v>1713</v>
      </c>
      <c r="E150" s="89"/>
      <c r="F150" s="89">
        <v>365</v>
      </c>
      <c r="G150" s="89"/>
      <c r="H150" s="89">
        <v>145</v>
      </c>
      <c r="I150" s="89"/>
      <c r="J150" s="89">
        <v>10</v>
      </c>
      <c r="K150" s="89"/>
      <c r="L150" s="89">
        <v>122</v>
      </c>
      <c r="M150" s="89"/>
      <c r="N150" s="89">
        <v>75</v>
      </c>
      <c r="O150" s="89"/>
      <c r="P150" s="89">
        <v>83</v>
      </c>
      <c r="Q150" s="89"/>
      <c r="R150" s="89">
        <v>54</v>
      </c>
      <c r="S150" s="89"/>
      <c r="T150" s="89">
        <v>32</v>
      </c>
      <c r="U150" s="89"/>
      <c r="V150" s="89"/>
      <c r="W150" s="89"/>
      <c r="X150" s="89">
        <f t="shared" ref="X150:X155" si="19">SUM(D150:T150)</f>
        <v>2599</v>
      </c>
      <c r="Y150" s="71"/>
      <c r="Z150" s="594">
        <v>2014</v>
      </c>
      <c r="AA150" s="71" t="s">
        <v>39</v>
      </c>
    </row>
    <row r="151" spans="2:30" s="36" customFormat="1" ht="12.75" hidden="1" customHeight="1">
      <c r="B151" s="68">
        <v>2014</v>
      </c>
      <c r="C151" s="12" t="s">
        <v>32</v>
      </c>
      <c r="D151" s="284">
        <v>1814</v>
      </c>
      <c r="E151" s="89"/>
      <c r="F151" s="89">
        <v>320</v>
      </c>
      <c r="G151" s="89"/>
      <c r="H151" s="89">
        <v>128</v>
      </c>
      <c r="I151" s="89"/>
      <c r="J151" s="89">
        <v>0</v>
      </c>
      <c r="K151" s="89"/>
      <c r="L151" s="89">
        <v>104</v>
      </c>
      <c r="M151" s="89"/>
      <c r="N151" s="89">
        <v>56</v>
      </c>
      <c r="O151" s="89"/>
      <c r="P151" s="89">
        <v>80</v>
      </c>
      <c r="Q151" s="89"/>
      <c r="R151" s="89">
        <v>57</v>
      </c>
      <c r="S151" s="89"/>
      <c r="T151" s="89">
        <v>49</v>
      </c>
      <c r="U151" s="89"/>
      <c r="V151" s="89"/>
      <c r="W151" s="89"/>
      <c r="X151" s="89">
        <f t="shared" si="19"/>
        <v>2608</v>
      </c>
      <c r="Y151" s="71"/>
      <c r="Z151" s="594">
        <v>2014</v>
      </c>
      <c r="AA151" s="71" t="s">
        <v>32</v>
      </c>
    </row>
    <row r="152" spans="2:30" s="36" customFormat="1" ht="12.75" hidden="1" customHeight="1">
      <c r="B152" s="68">
        <v>2015</v>
      </c>
      <c r="C152" s="12" t="s">
        <v>33</v>
      </c>
      <c r="D152" s="284">
        <v>1306</v>
      </c>
      <c r="E152" s="89"/>
      <c r="F152" s="89">
        <v>368</v>
      </c>
      <c r="G152" s="89"/>
      <c r="H152" s="89">
        <v>220</v>
      </c>
      <c r="I152" s="89"/>
      <c r="J152" s="89">
        <v>4</v>
      </c>
      <c r="K152" s="89"/>
      <c r="L152" s="89">
        <v>138</v>
      </c>
      <c r="M152" s="89"/>
      <c r="N152" s="89">
        <v>94</v>
      </c>
      <c r="O152" s="89"/>
      <c r="P152" s="89">
        <v>181</v>
      </c>
      <c r="Q152" s="89"/>
      <c r="R152" s="89">
        <v>74</v>
      </c>
      <c r="S152" s="89"/>
      <c r="T152" s="89">
        <v>48</v>
      </c>
      <c r="U152" s="89"/>
      <c r="V152" s="89"/>
      <c r="W152" s="89"/>
      <c r="X152" s="89">
        <f t="shared" si="19"/>
        <v>2433</v>
      </c>
      <c r="Y152" s="71"/>
      <c r="Z152" s="594">
        <v>2015</v>
      </c>
      <c r="AA152" s="71" t="s">
        <v>33</v>
      </c>
    </row>
    <row r="153" spans="2:30" s="36" customFormat="1" ht="12.75" hidden="1" customHeight="1">
      <c r="B153" s="68">
        <v>2015</v>
      </c>
      <c r="C153" s="12" t="s">
        <v>34</v>
      </c>
      <c r="D153" s="284">
        <v>814</v>
      </c>
      <c r="E153" s="89"/>
      <c r="F153" s="89">
        <v>258</v>
      </c>
      <c r="G153" s="89"/>
      <c r="H153" s="89">
        <v>180</v>
      </c>
      <c r="I153" s="89"/>
      <c r="J153" s="89">
        <v>0</v>
      </c>
      <c r="K153" s="89"/>
      <c r="L153" s="89">
        <v>96</v>
      </c>
      <c r="M153" s="89"/>
      <c r="N153" s="89">
        <v>83</v>
      </c>
      <c r="O153" s="89"/>
      <c r="P153" s="89">
        <v>80</v>
      </c>
      <c r="Q153" s="89"/>
      <c r="R153" s="89">
        <v>46</v>
      </c>
      <c r="S153" s="89"/>
      <c r="T153" s="89">
        <v>27</v>
      </c>
      <c r="U153" s="89"/>
      <c r="V153" s="89"/>
      <c r="W153" s="89"/>
      <c r="X153" s="89">
        <f t="shared" si="19"/>
        <v>1584</v>
      </c>
      <c r="Y153" s="71"/>
      <c r="Z153" s="594">
        <v>2015</v>
      </c>
      <c r="AA153" s="71" t="s">
        <v>77</v>
      </c>
    </row>
    <row r="154" spans="2:30" s="36" customFormat="1" ht="12.75" hidden="1" customHeight="1">
      <c r="B154" s="68">
        <v>2015</v>
      </c>
      <c r="C154" s="12" t="s">
        <v>29</v>
      </c>
      <c r="D154" s="284">
        <v>1033</v>
      </c>
      <c r="E154" s="89"/>
      <c r="F154" s="89">
        <v>363</v>
      </c>
      <c r="G154" s="89"/>
      <c r="H154" s="89">
        <v>102</v>
      </c>
      <c r="I154" s="89"/>
      <c r="J154" s="89">
        <v>2</v>
      </c>
      <c r="K154" s="89"/>
      <c r="L154" s="89">
        <v>103</v>
      </c>
      <c r="M154" s="89"/>
      <c r="N154" s="89">
        <v>105</v>
      </c>
      <c r="O154" s="89"/>
      <c r="P154" s="89">
        <v>81</v>
      </c>
      <c r="Q154" s="89"/>
      <c r="R154" s="89">
        <v>114</v>
      </c>
      <c r="S154" s="89"/>
      <c r="T154" s="89">
        <v>30</v>
      </c>
      <c r="U154" s="89"/>
      <c r="V154" s="89"/>
      <c r="W154" s="89"/>
      <c r="X154" s="89">
        <f t="shared" si="19"/>
        <v>1933</v>
      </c>
      <c r="Y154" s="71"/>
      <c r="Z154" s="594">
        <v>2015</v>
      </c>
      <c r="AA154" s="71" t="s">
        <v>29</v>
      </c>
    </row>
    <row r="155" spans="2:30" s="36" customFormat="1" ht="12.75" hidden="1" customHeight="1">
      <c r="B155" s="68">
        <v>2015</v>
      </c>
      <c r="C155" s="12" t="s">
        <v>35</v>
      </c>
      <c r="D155" s="284">
        <v>1290</v>
      </c>
      <c r="E155" s="89"/>
      <c r="F155" s="89">
        <v>371</v>
      </c>
      <c r="G155" s="89"/>
      <c r="H155" s="89">
        <v>183</v>
      </c>
      <c r="I155" s="89"/>
      <c r="J155" s="89">
        <v>3</v>
      </c>
      <c r="K155" s="89"/>
      <c r="L155" s="89">
        <v>122</v>
      </c>
      <c r="M155" s="89"/>
      <c r="N155" s="89">
        <v>76</v>
      </c>
      <c r="O155" s="89"/>
      <c r="P155" s="89">
        <v>89</v>
      </c>
      <c r="Q155" s="89"/>
      <c r="R155" s="89">
        <v>39</v>
      </c>
      <c r="S155" s="89"/>
      <c r="T155" s="89">
        <v>51</v>
      </c>
      <c r="U155" s="89"/>
      <c r="V155" s="89"/>
      <c r="W155" s="89"/>
      <c r="X155" s="89">
        <f t="shared" si="19"/>
        <v>2224</v>
      </c>
      <c r="Y155" s="71"/>
      <c r="Z155" s="594">
        <v>2015</v>
      </c>
      <c r="AA155" s="71" t="s">
        <v>78</v>
      </c>
    </row>
    <row r="156" spans="2:30" s="36" customFormat="1" ht="12.75" hidden="1" customHeight="1">
      <c r="B156" s="68">
        <v>2015</v>
      </c>
      <c r="C156" s="12" t="s">
        <v>4</v>
      </c>
      <c r="D156" s="284">
        <v>1885</v>
      </c>
      <c r="E156" s="89"/>
      <c r="F156" s="89">
        <v>293</v>
      </c>
      <c r="G156" s="89"/>
      <c r="H156" s="89">
        <v>87</v>
      </c>
      <c r="I156" s="89"/>
      <c r="J156" s="89">
        <v>21</v>
      </c>
      <c r="K156" s="89"/>
      <c r="L156" s="89">
        <v>101</v>
      </c>
      <c r="M156" s="89"/>
      <c r="N156" s="89">
        <v>85</v>
      </c>
      <c r="O156" s="89"/>
      <c r="P156" s="89">
        <v>79</v>
      </c>
      <c r="Q156" s="89"/>
      <c r="R156" s="89">
        <v>39</v>
      </c>
      <c r="S156" s="89"/>
      <c r="T156" s="89">
        <v>25</v>
      </c>
      <c r="U156" s="89"/>
      <c r="V156" s="89"/>
      <c r="W156" s="89"/>
      <c r="X156" s="89">
        <f t="shared" ref="X156:X166" si="20">SUM(D156:T156)</f>
        <v>2615</v>
      </c>
      <c r="Y156" s="71"/>
      <c r="Z156" s="594">
        <v>2015</v>
      </c>
      <c r="AA156" s="71" t="s">
        <v>79</v>
      </c>
      <c r="AD156" s="354"/>
    </row>
    <row r="157" spans="2:30" s="36" customFormat="1" ht="12.75" hidden="1" customHeight="1">
      <c r="B157" s="68">
        <v>2015</v>
      </c>
      <c r="C157" s="12" t="s">
        <v>30</v>
      </c>
      <c r="D157" s="284">
        <v>1428</v>
      </c>
      <c r="E157" s="89"/>
      <c r="F157" s="89">
        <v>283</v>
      </c>
      <c r="G157" s="89"/>
      <c r="H157" s="89">
        <v>124</v>
      </c>
      <c r="I157" s="89"/>
      <c r="J157" s="89">
        <v>17</v>
      </c>
      <c r="K157" s="89"/>
      <c r="L157" s="89">
        <v>62</v>
      </c>
      <c r="M157" s="89"/>
      <c r="N157" s="89">
        <v>48</v>
      </c>
      <c r="O157" s="89"/>
      <c r="P157" s="89">
        <v>58</v>
      </c>
      <c r="Q157" s="89"/>
      <c r="R157" s="89">
        <v>23</v>
      </c>
      <c r="S157" s="89"/>
      <c r="T157" s="89">
        <v>23</v>
      </c>
      <c r="U157" s="89"/>
      <c r="V157" s="89"/>
      <c r="W157" s="89"/>
      <c r="X157" s="89">
        <f t="shared" si="20"/>
        <v>2066</v>
      </c>
      <c r="Y157" s="71"/>
      <c r="Z157" s="594">
        <v>2015</v>
      </c>
      <c r="AA157" s="71" t="s">
        <v>80</v>
      </c>
      <c r="AD157" s="354"/>
    </row>
    <row r="158" spans="2:30" s="36" customFormat="1" ht="12.75" hidden="1" customHeight="1">
      <c r="B158" s="68">
        <v>2015</v>
      </c>
      <c r="C158" s="12" t="s">
        <v>36</v>
      </c>
      <c r="D158" s="284">
        <v>1330</v>
      </c>
      <c r="E158" s="89"/>
      <c r="F158" s="89">
        <v>292</v>
      </c>
      <c r="G158" s="89"/>
      <c r="H158" s="89">
        <v>84</v>
      </c>
      <c r="I158" s="89"/>
      <c r="J158" s="89">
        <v>6</v>
      </c>
      <c r="K158" s="89"/>
      <c r="L158" s="89">
        <v>94</v>
      </c>
      <c r="M158" s="89"/>
      <c r="N158" s="89">
        <v>85</v>
      </c>
      <c r="O158" s="89"/>
      <c r="P158" s="89">
        <v>127</v>
      </c>
      <c r="Q158" s="89"/>
      <c r="R158" s="89">
        <v>34</v>
      </c>
      <c r="S158" s="89"/>
      <c r="T158" s="89">
        <v>48</v>
      </c>
      <c r="U158" s="89"/>
      <c r="V158" s="89"/>
      <c r="W158" s="89"/>
      <c r="X158" s="89">
        <f t="shared" si="20"/>
        <v>2100</v>
      </c>
      <c r="Y158" s="71"/>
      <c r="Z158" s="594">
        <v>2015</v>
      </c>
      <c r="AA158" s="71" t="s">
        <v>81</v>
      </c>
      <c r="AD158" s="354"/>
    </row>
    <row r="159" spans="2:30" s="36" customFormat="1" ht="12.75" hidden="1" customHeight="1">
      <c r="B159" s="68">
        <v>2015</v>
      </c>
      <c r="C159" s="12" t="s">
        <v>37</v>
      </c>
      <c r="D159" s="284">
        <v>1250</v>
      </c>
      <c r="E159" s="89"/>
      <c r="F159" s="89">
        <v>270</v>
      </c>
      <c r="G159" s="89"/>
      <c r="H159" s="89">
        <v>179</v>
      </c>
      <c r="I159" s="89"/>
      <c r="J159" s="89">
        <v>4</v>
      </c>
      <c r="K159" s="89"/>
      <c r="L159" s="89">
        <v>104</v>
      </c>
      <c r="M159" s="89"/>
      <c r="N159" s="89">
        <v>92</v>
      </c>
      <c r="O159" s="89"/>
      <c r="P159" s="89">
        <v>84</v>
      </c>
      <c r="Q159" s="89"/>
      <c r="R159" s="89">
        <v>54</v>
      </c>
      <c r="S159" s="89"/>
      <c r="T159" s="89">
        <v>38</v>
      </c>
      <c r="U159" s="89"/>
      <c r="V159" s="89"/>
      <c r="W159" s="89"/>
      <c r="X159" s="89">
        <f t="shared" si="20"/>
        <v>2075</v>
      </c>
      <c r="Y159" s="71"/>
      <c r="Z159" s="594">
        <v>2015</v>
      </c>
      <c r="AA159" s="71" t="s">
        <v>82</v>
      </c>
      <c r="AD159" s="354"/>
    </row>
    <row r="160" spans="2:30" s="10" customFormat="1" ht="12.75" hidden="1" customHeight="1">
      <c r="B160" s="68">
        <v>2015</v>
      </c>
      <c r="C160" s="12" t="s">
        <v>31</v>
      </c>
      <c r="D160" s="284">
        <v>2155</v>
      </c>
      <c r="E160" s="89"/>
      <c r="F160" s="89">
        <v>233</v>
      </c>
      <c r="G160" s="89"/>
      <c r="H160" s="89">
        <v>86</v>
      </c>
      <c r="I160" s="89"/>
      <c r="J160" s="89">
        <v>6</v>
      </c>
      <c r="K160" s="89"/>
      <c r="L160" s="89">
        <v>85</v>
      </c>
      <c r="M160" s="89"/>
      <c r="N160" s="89">
        <v>76</v>
      </c>
      <c r="O160" s="89"/>
      <c r="P160" s="89">
        <v>69</v>
      </c>
      <c r="Q160" s="89"/>
      <c r="R160" s="89">
        <v>32</v>
      </c>
      <c r="S160" s="89"/>
      <c r="T160" s="89">
        <v>33</v>
      </c>
      <c r="U160" s="89"/>
      <c r="V160" s="89"/>
      <c r="W160" s="89"/>
      <c r="X160" s="89">
        <f t="shared" si="20"/>
        <v>2775</v>
      </c>
      <c r="Y160" s="71"/>
      <c r="Z160" s="594">
        <v>2015</v>
      </c>
      <c r="AA160" s="71" t="s">
        <v>31</v>
      </c>
      <c r="AD160" s="354"/>
    </row>
    <row r="161" spans="2:31" s="10" customFormat="1" ht="12.75" hidden="1" customHeight="1">
      <c r="B161" s="68">
        <v>2015</v>
      </c>
      <c r="C161" s="12" t="s">
        <v>38</v>
      </c>
      <c r="D161" s="284">
        <v>1189</v>
      </c>
      <c r="E161" s="89"/>
      <c r="F161" s="89">
        <v>267</v>
      </c>
      <c r="G161" s="89"/>
      <c r="H161" s="89">
        <v>149</v>
      </c>
      <c r="I161" s="89"/>
      <c r="J161" s="89">
        <v>12</v>
      </c>
      <c r="K161" s="89"/>
      <c r="L161" s="89">
        <v>118</v>
      </c>
      <c r="M161" s="89"/>
      <c r="N161" s="89">
        <v>92</v>
      </c>
      <c r="O161" s="89"/>
      <c r="P161" s="89">
        <v>69</v>
      </c>
      <c r="Q161" s="89"/>
      <c r="R161" s="89">
        <v>50</v>
      </c>
      <c r="S161" s="89"/>
      <c r="T161" s="89">
        <v>31</v>
      </c>
      <c r="U161" s="89"/>
      <c r="V161" s="89"/>
      <c r="W161" s="89"/>
      <c r="X161" s="89">
        <f t="shared" si="20"/>
        <v>1977</v>
      </c>
      <c r="Y161" s="71"/>
      <c r="Z161" s="594">
        <v>2015</v>
      </c>
      <c r="AA161" s="71" t="s">
        <v>50</v>
      </c>
      <c r="AD161" s="354"/>
      <c r="AE161" s="36"/>
    </row>
    <row r="162" spans="2:31" s="10" customFormat="1" ht="12.75" hidden="1" customHeight="1">
      <c r="B162" s="68">
        <v>2015</v>
      </c>
      <c r="C162" s="12" t="s">
        <v>39</v>
      </c>
      <c r="D162" s="284">
        <v>1845</v>
      </c>
      <c r="E162" s="89"/>
      <c r="F162" s="89">
        <v>306</v>
      </c>
      <c r="G162" s="89"/>
      <c r="H162" s="89">
        <v>141</v>
      </c>
      <c r="I162" s="89"/>
      <c r="J162" s="89">
        <v>11</v>
      </c>
      <c r="K162" s="89"/>
      <c r="L162" s="89">
        <v>103</v>
      </c>
      <c r="M162" s="89"/>
      <c r="N162" s="89">
        <v>78</v>
      </c>
      <c r="O162" s="89"/>
      <c r="P162" s="89">
        <v>73</v>
      </c>
      <c r="Q162" s="89"/>
      <c r="R162" s="89">
        <v>22</v>
      </c>
      <c r="S162" s="89"/>
      <c r="T162" s="89">
        <v>32</v>
      </c>
      <c r="U162" s="89"/>
      <c r="V162" s="89"/>
      <c r="W162" s="89"/>
      <c r="X162" s="89">
        <f t="shared" si="20"/>
        <v>2611</v>
      </c>
      <c r="Y162" s="71"/>
      <c r="Z162" s="594">
        <v>2015</v>
      </c>
      <c r="AA162" s="71" t="s">
        <v>39</v>
      </c>
      <c r="AD162" s="354"/>
    </row>
    <row r="163" spans="2:31" s="10" customFormat="1" ht="12.75" hidden="1" customHeight="1">
      <c r="B163" s="68">
        <v>2015</v>
      </c>
      <c r="C163" s="12" t="s">
        <v>32</v>
      </c>
      <c r="D163" s="284">
        <v>1881</v>
      </c>
      <c r="E163" s="89"/>
      <c r="F163" s="89">
        <v>253</v>
      </c>
      <c r="G163" s="89"/>
      <c r="H163" s="89">
        <v>137</v>
      </c>
      <c r="I163" s="89"/>
      <c r="J163" s="89">
        <v>9</v>
      </c>
      <c r="K163" s="89"/>
      <c r="L163" s="89">
        <v>80</v>
      </c>
      <c r="M163" s="89"/>
      <c r="N163" s="89">
        <v>94</v>
      </c>
      <c r="O163" s="89"/>
      <c r="P163" s="89">
        <v>55</v>
      </c>
      <c r="Q163" s="89"/>
      <c r="R163" s="89">
        <v>42</v>
      </c>
      <c r="S163" s="89"/>
      <c r="T163" s="89">
        <v>18</v>
      </c>
      <c r="U163" s="89"/>
      <c r="V163" s="89"/>
      <c r="W163" s="89"/>
      <c r="X163" s="89">
        <f t="shared" si="20"/>
        <v>2569</v>
      </c>
      <c r="Y163" s="71"/>
      <c r="Z163" s="594">
        <v>2015</v>
      </c>
      <c r="AA163" s="71" t="s">
        <v>32</v>
      </c>
      <c r="AD163" s="354"/>
    </row>
    <row r="164" spans="2:31" s="10" customFormat="1" ht="12.75" hidden="1" customHeight="1">
      <c r="B164" s="68">
        <v>2016</v>
      </c>
      <c r="C164" s="12" t="s">
        <v>33</v>
      </c>
      <c r="D164" s="284">
        <v>1246</v>
      </c>
      <c r="E164" s="89"/>
      <c r="F164" s="89">
        <v>301</v>
      </c>
      <c r="G164" s="89"/>
      <c r="H164" s="89">
        <v>159</v>
      </c>
      <c r="I164" s="89"/>
      <c r="J164" s="89">
        <v>17</v>
      </c>
      <c r="K164" s="89"/>
      <c r="L164" s="89">
        <v>97</v>
      </c>
      <c r="M164" s="89"/>
      <c r="N164" s="89">
        <v>76</v>
      </c>
      <c r="O164" s="89"/>
      <c r="P164" s="89">
        <v>85</v>
      </c>
      <c r="Q164" s="89"/>
      <c r="R164" s="89">
        <v>44</v>
      </c>
      <c r="S164" s="89"/>
      <c r="T164" s="89">
        <v>24</v>
      </c>
      <c r="U164" s="89"/>
      <c r="V164" s="89"/>
      <c r="W164" s="89"/>
      <c r="X164" s="89">
        <f t="shared" si="20"/>
        <v>2049</v>
      </c>
      <c r="Y164" s="71"/>
      <c r="Z164" s="594">
        <v>2016</v>
      </c>
      <c r="AA164" s="71" t="s">
        <v>33</v>
      </c>
      <c r="AD164" s="354"/>
    </row>
    <row r="165" spans="2:31" s="10" customFormat="1" ht="12.75" hidden="1" customHeight="1">
      <c r="B165" s="68">
        <v>2016</v>
      </c>
      <c r="C165" s="12" t="s">
        <v>34</v>
      </c>
      <c r="D165" s="284">
        <v>859</v>
      </c>
      <c r="E165" s="89"/>
      <c r="F165" s="89">
        <v>147</v>
      </c>
      <c r="G165" s="89"/>
      <c r="H165" s="89">
        <v>51</v>
      </c>
      <c r="I165" s="89"/>
      <c r="J165" s="89">
        <v>5</v>
      </c>
      <c r="K165" s="89"/>
      <c r="L165" s="89">
        <v>56</v>
      </c>
      <c r="M165" s="89"/>
      <c r="N165" s="89">
        <v>41</v>
      </c>
      <c r="O165" s="89"/>
      <c r="P165" s="89">
        <v>30</v>
      </c>
      <c r="Q165" s="89"/>
      <c r="R165" s="89">
        <v>15</v>
      </c>
      <c r="S165" s="89"/>
      <c r="T165" s="89">
        <v>14</v>
      </c>
      <c r="U165" s="89"/>
      <c r="V165" s="89"/>
      <c r="W165" s="89"/>
      <c r="X165" s="89">
        <f t="shared" si="20"/>
        <v>1218</v>
      </c>
      <c r="Y165" s="71"/>
      <c r="Z165" s="594">
        <v>2016</v>
      </c>
      <c r="AA165" s="71" t="s">
        <v>77</v>
      </c>
      <c r="AD165" s="355"/>
    </row>
    <row r="166" spans="2:31" s="10" customFormat="1" ht="12.75" hidden="1" customHeight="1">
      <c r="B166" s="68">
        <v>2016</v>
      </c>
      <c r="C166" s="12" t="s">
        <v>29</v>
      </c>
      <c r="D166" s="284">
        <v>905</v>
      </c>
      <c r="E166" s="89"/>
      <c r="F166" s="89">
        <v>164</v>
      </c>
      <c r="G166" s="89"/>
      <c r="H166" s="89">
        <v>50</v>
      </c>
      <c r="I166" s="89"/>
      <c r="J166" s="89">
        <v>7</v>
      </c>
      <c r="K166" s="89"/>
      <c r="L166" s="89">
        <v>48</v>
      </c>
      <c r="M166" s="89"/>
      <c r="N166" s="89">
        <v>26</v>
      </c>
      <c r="O166" s="89"/>
      <c r="P166" s="89">
        <v>48</v>
      </c>
      <c r="Q166" s="89"/>
      <c r="R166" s="89">
        <v>31</v>
      </c>
      <c r="S166" s="89"/>
      <c r="T166" s="89">
        <v>15</v>
      </c>
      <c r="U166" s="89"/>
      <c r="V166" s="89"/>
      <c r="W166" s="89"/>
      <c r="X166" s="89">
        <f t="shared" si="20"/>
        <v>1294</v>
      </c>
      <c r="Y166" s="71"/>
      <c r="Z166" s="594">
        <v>2016</v>
      </c>
      <c r="AA166" s="71" t="s">
        <v>29</v>
      </c>
    </row>
    <row r="167" spans="2:31" s="10" customFormat="1" ht="12.75" hidden="1" customHeight="1">
      <c r="B167" s="68">
        <v>2016</v>
      </c>
      <c r="C167" s="12" t="s">
        <v>35</v>
      </c>
      <c r="D167" s="284">
        <v>1332</v>
      </c>
      <c r="E167" s="89"/>
      <c r="F167" s="89">
        <v>191</v>
      </c>
      <c r="G167" s="89"/>
      <c r="H167" s="89">
        <v>47</v>
      </c>
      <c r="I167" s="89"/>
      <c r="J167" s="89">
        <v>9</v>
      </c>
      <c r="K167" s="89"/>
      <c r="L167" s="89">
        <v>59</v>
      </c>
      <c r="M167" s="89"/>
      <c r="N167" s="89">
        <v>54</v>
      </c>
      <c r="O167" s="89"/>
      <c r="P167" s="89">
        <v>47</v>
      </c>
      <c r="Q167" s="89"/>
      <c r="R167" s="89">
        <v>11</v>
      </c>
      <c r="S167" s="89"/>
      <c r="T167" s="89">
        <v>24</v>
      </c>
      <c r="U167" s="89"/>
      <c r="V167" s="89"/>
      <c r="W167" s="89"/>
      <c r="X167" s="352">
        <v>1775</v>
      </c>
      <c r="Y167" s="71"/>
      <c r="Z167" s="594">
        <v>2016</v>
      </c>
      <c r="AA167" s="71" t="s">
        <v>78</v>
      </c>
    </row>
    <row r="168" spans="2:31" s="10" customFormat="1" ht="12.75" hidden="1" customHeight="1">
      <c r="B168" s="68">
        <v>2016</v>
      </c>
      <c r="C168" s="12" t="s">
        <v>4</v>
      </c>
      <c r="D168" s="284">
        <v>2055</v>
      </c>
      <c r="E168" s="89"/>
      <c r="F168" s="89">
        <v>257</v>
      </c>
      <c r="G168" s="89"/>
      <c r="H168" s="89">
        <v>108</v>
      </c>
      <c r="I168" s="89"/>
      <c r="J168" s="89">
        <v>16</v>
      </c>
      <c r="K168" s="89"/>
      <c r="L168" s="89">
        <v>80</v>
      </c>
      <c r="M168" s="89"/>
      <c r="N168" s="89">
        <v>102</v>
      </c>
      <c r="O168" s="89"/>
      <c r="P168" s="89">
        <v>62</v>
      </c>
      <c r="Q168" s="89"/>
      <c r="R168" s="89">
        <v>33</v>
      </c>
      <c r="S168" s="89"/>
      <c r="T168" s="89">
        <v>30</v>
      </c>
      <c r="U168" s="89"/>
      <c r="V168" s="89"/>
      <c r="W168" s="89"/>
      <c r="X168" s="352">
        <f>SUM(D168:T168)</f>
        <v>2743</v>
      </c>
      <c r="Y168" s="71"/>
      <c r="Z168" s="594">
        <v>2016</v>
      </c>
      <c r="AA168" s="71" t="s">
        <v>79</v>
      </c>
    </row>
    <row r="169" spans="2:31" s="10" customFormat="1" ht="12.75" hidden="1" customHeight="1">
      <c r="B169" s="68">
        <v>2016</v>
      </c>
      <c r="C169" s="12" t="s">
        <v>30</v>
      </c>
      <c r="D169" s="284">
        <v>1817</v>
      </c>
      <c r="E169" s="89"/>
      <c r="F169" s="89">
        <v>272</v>
      </c>
      <c r="G169" s="89"/>
      <c r="H169" s="89">
        <v>133</v>
      </c>
      <c r="I169" s="89"/>
      <c r="J169" s="89">
        <v>27</v>
      </c>
      <c r="K169" s="89"/>
      <c r="L169" s="89">
        <v>86</v>
      </c>
      <c r="M169" s="89"/>
      <c r="N169" s="89">
        <v>98</v>
      </c>
      <c r="O169" s="89"/>
      <c r="P169" s="89">
        <v>65</v>
      </c>
      <c r="Q169" s="89"/>
      <c r="R169" s="89">
        <v>29</v>
      </c>
      <c r="S169" s="89"/>
      <c r="T169" s="89">
        <v>29</v>
      </c>
      <c r="U169" s="308"/>
      <c r="V169" s="308"/>
      <c r="W169" s="89"/>
      <c r="X169" s="352">
        <f>SUM(D169:T169)</f>
        <v>2556</v>
      </c>
      <c r="Y169" s="71"/>
      <c r="Z169" s="594">
        <v>2016</v>
      </c>
      <c r="AA169" s="71" t="s">
        <v>80</v>
      </c>
    </row>
    <row r="170" spans="2:31" s="10" customFormat="1" ht="12.75" hidden="1" customHeight="1">
      <c r="B170" s="68">
        <v>2016</v>
      </c>
      <c r="C170" s="12" t="s">
        <v>266</v>
      </c>
      <c r="D170" s="284">
        <v>1306</v>
      </c>
      <c r="E170" s="89"/>
      <c r="F170" s="89">
        <v>215</v>
      </c>
      <c r="G170" s="89"/>
      <c r="H170" s="89">
        <v>73</v>
      </c>
      <c r="I170" s="89"/>
      <c r="J170" s="89">
        <v>12</v>
      </c>
      <c r="K170" s="89"/>
      <c r="L170" s="89">
        <v>82</v>
      </c>
      <c r="M170" s="89"/>
      <c r="N170" s="89">
        <v>78</v>
      </c>
      <c r="O170" s="89"/>
      <c r="P170" s="89">
        <v>72</v>
      </c>
      <c r="Q170" s="89"/>
      <c r="R170" s="89">
        <v>49</v>
      </c>
      <c r="S170" s="89"/>
      <c r="T170" s="89">
        <v>25</v>
      </c>
      <c r="U170" s="353"/>
      <c r="V170" s="353"/>
      <c r="W170" s="89"/>
      <c r="X170" s="352">
        <v>1912</v>
      </c>
      <c r="Y170" s="71"/>
      <c r="Z170" s="594">
        <v>2016</v>
      </c>
      <c r="AA170" s="71" t="s">
        <v>81</v>
      </c>
    </row>
    <row r="171" spans="2:31" s="10" customFormat="1" ht="12.75" hidden="1" customHeight="1">
      <c r="B171" s="68">
        <v>2016</v>
      </c>
      <c r="C171" s="12" t="s">
        <v>37</v>
      </c>
      <c r="D171" s="284">
        <v>1233</v>
      </c>
      <c r="E171" s="89"/>
      <c r="F171" s="89">
        <v>212</v>
      </c>
      <c r="G171" s="89"/>
      <c r="H171" s="89">
        <v>149</v>
      </c>
      <c r="I171" s="89"/>
      <c r="J171" s="89">
        <v>19</v>
      </c>
      <c r="K171" s="89"/>
      <c r="L171" s="89">
        <v>86</v>
      </c>
      <c r="M171" s="89"/>
      <c r="N171" s="89">
        <v>58</v>
      </c>
      <c r="O171" s="89"/>
      <c r="P171" s="89">
        <v>61</v>
      </c>
      <c r="Q171" s="89"/>
      <c r="R171" s="89">
        <v>28</v>
      </c>
      <c r="S171" s="89"/>
      <c r="T171" s="89">
        <v>27</v>
      </c>
      <c r="U171" s="89"/>
      <c r="V171" s="89"/>
      <c r="W171" s="89"/>
      <c r="X171" s="352">
        <v>1873</v>
      </c>
      <c r="Y171" s="71"/>
      <c r="Z171" s="594">
        <v>2016</v>
      </c>
      <c r="AA171" s="71" t="s">
        <v>82</v>
      </c>
    </row>
    <row r="172" spans="2:31" s="10" customFormat="1" ht="12.75" hidden="1" customHeight="1">
      <c r="B172" s="68">
        <v>2016</v>
      </c>
      <c r="C172" s="12" t="s">
        <v>31</v>
      </c>
      <c r="D172" s="284">
        <v>2090</v>
      </c>
      <c r="E172" s="89"/>
      <c r="F172" s="89">
        <v>191</v>
      </c>
      <c r="G172" s="89"/>
      <c r="H172" s="89">
        <v>76</v>
      </c>
      <c r="I172" s="89"/>
      <c r="J172" s="89">
        <v>8</v>
      </c>
      <c r="K172" s="89"/>
      <c r="L172" s="89">
        <v>57</v>
      </c>
      <c r="M172" s="89"/>
      <c r="N172" s="89">
        <v>63</v>
      </c>
      <c r="O172" s="89"/>
      <c r="P172" s="89">
        <v>43</v>
      </c>
      <c r="Q172" s="89"/>
      <c r="R172" s="89">
        <v>27</v>
      </c>
      <c r="S172" s="89"/>
      <c r="T172" s="89">
        <v>18</v>
      </c>
      <c r="U172" s="89"/>
      <c r="V172" s="89"/>
      <c r="W172" s="89"/>
      <c r="X172" s="352">
        <f t="shared" ref="X172:X177" si="21">SUM(D172:T172)</f>
        <v>2573</v>
      </c>
      <c r="Y172" s="71"/>
      <c r="Z172" s="594">
        <v>2016</v>
      </c>
      <c r="AA172" s="71" t="s">
        <v>31</v>
      </c>
    </row>
    <row r="173" spans="2:31" s="10" customFormat="1" ht="12.75" hidden="1" customHeight="1">
      <c r="B173" s="68">
        <v>2016</v>
      </c>
      <c r="C173" s="12" t="s">
        <v>38</v>
      </c>
      <c r="D173" s="284">
        <v>1275</v>
      </c>
      <c r="E173" s="89"/>
      <c r="F173" s="89">
        <v>213</v>
      </c>
      <c r="G173" s="89"/>
      <c r="H173" s="89">
        <v>104</v>
      </c>
      <c r="I173" s="89"/>
      <c r="J173" s="89">
        <v>12</v>
      </c>
      <c r="K173" s="89"/>
      <c r="L173" s="89">
        <v>58</v>
      </c>
      <c r="M173" s="89"/>
      <c r="N173" s="89">
        <v>51</v>
      </c>
      <c r="O173" s="89"/>
      <c r="P173" s="89">
        <v>46</v>
      </c>
      <c r="Q173" s="89"/>
      <c r="R173" s="89">
        <v>30</v>
      </c>
      <c r="S173" s="89"/>
      <c r="T173" s="89">
        <v>24</v>
      </c>
      <c r="U173" s="89"/>
      <c r="V173" s="89"/>
      <c r="W173" s="89"/>
      <c r="X173" s="352">
        <f t="shared" si="21"/>
        <v>1813</v>
      </c>
      <c r="Y173" s="71"/>
      <c r="Z173" s="594">
        <v>2016</v>
      </c>
      <c r="AA173" s="71" t="s">
        <v>38</v>
      </c>
    </row>
    <row r="174" spans="2:31" s="10" customFormat="1" ht="12.75" hidden="1" customHeight="1">
      <c r="B174" s="68">
        <v>2016</v>
      </c>
      <c r="C174" s="12" t="s">
        <v>39</v>
      </c>
      <c r="D174" s="284">
        <v>1924</v>
      </c>
      <c r="E174" s="89"/>
      <c r="F174" s="89">
        <v>175</v>
      </c>
      <c r="G174" s="89"/>
      <c r="H174" s="89">
        <v>87</v>
      </c>
      <c r="I174" s="89"/>
      <c r="J174" s="89">
        <v>10</v>
      </c>
      <c r="K174" s="89"/>
      <c r="L174" s="89">
        <v>82</v>
      </c>
      <c r="M174" s="89"/>
      <c r="N174" s="89">
        <v>39</v>
      </c>
      <c r="O174" s="89"/>
      <c r="P174" s="89">
        <v>42</v>
      </c>
      <c r="Q174" s="89"/>
      <c r="R174" s="89">
        <v>10</v>
      </c>
      <c r="S174" s="89"/>
      <c r="T174" s="89">
        <v>17</v>
      </c>
      <c r="U174" s="89"/>
      <c r="V174" s="89"/>
      <c r="W174" s="89"/>
      <c r="X174" s="352">
        <f t="shared" si="21"/>
        <v>2386</v>
      </c>
      <c r="Y174" s="71"/>
      <c r="Z174" s="594">
        <v>2016</v>
      </c>
      <c r="AA174" s="71" t="s">
        <v>39</v>
      </c>
    </row>
    <row r="175" spans="2:31" s="10" customFormat="1" ht="12.75" hidden="1" customHeight="1">
      <c r="B175" s="68">
        <v>2016</v>
      </c>
      <c r="C175" s="12" t="s">
        <v>32</v>
      </c>
      <c r="D175" s="284">
        <v>2469</v>
      </c>
      <c r="E175" s="89"/>
      <c r="F175" s="89">
        <v>178</v>
      </c>
      <c r="G175" s="89"/>
      <c r="H175" s="89">
        <v>83</v>
      </c>
      <c r="I175" s="89"/>
      <c r="J175" s="89">
        <v>22</v>
      </c>
      <c r="K175" s="89"/>
      <c r="L175" s="89">
        <v>64</v>
      </c>
      <c r="M175" s="89"/>
      <c r="N175" s="89">
        <v>55</v>
      </c>
      <c r="O175" s="89"/>
      <c r="P175" s="89">
        <v>44</v>
      </c>
      <c r="Q175" s="89"/>
      <c r="R175" s="89">
        <v>36</v>
      </c>
      <c r="S175" s="89"/>
      <c r="T175" s="89">
        <v>17</v>
      </c>
      <c r="U175" s="89"/>
      <c r="V175" s="89"/>
      <c r="W175" s="89"/>
      <c r="X175" s="352">
        <f t="shared" si="21"/>
        <v>2968</v>
      </c>
      <c r="Y175" s="71"/>
      <c r="Z175" s="594">
        <v>2016</v>
      </c>
      <c r="AA175" s="71" t="s">
        <v>32</v>
      </c>
    </row>
    <row r="176" spans="2:31" s="10" customFormat="1" ht="12.75" hidden="1" customHeight="1">
      <c r="B176" s="68">
        <v>2017</v>
      </c>
      <c r="C176" s="12" t="s">
        <v>260</v>
      </c>
      <c r="D176" s="284">
        <v>1714</v>
      </c>
      <c r="E176" s="89"/>
      <c r="F176" s="89">
        <v>265</v>
      </c>
      <c r="G176" s="89"/>
      <c r="H176" s="89">
        <v>137</v>
      </c>
      <c r="I176" s="89"/>
      <c r="J176" s="89">
        <v>17</v>
      </c>
      <c r="K176" s="89"/>
      <c r="L176" s="89">
        <v>96</v>
      </c>
      <c r="M176" s="89"/>
      <c r="N176" s="89">
        <v>69</v>
      </c>
      <c r="O176" s="89"/>
      <c r="P176" s="89">
        <v>82</v>
      </c>
      <c r="Q176" s="89"/>
      <c r="R176" s="89">
        <v>36</v>
      </c>
      <c r="S176" s="89"/>
      <c r="T176" s="89">
        <v>21</v>
      </c>
      <c r="U176" s="89"/>
      <c r="V176" s="89"/>
      <c r="W176" s="89"/>
      <c r="X176" s="352">
        <f t="shared" si="21"/>
        <v>2437</v>
      </c>
      <c r="Y176" s="71"/>
      <c r="Z176" s="594">
        <v>2017</v>
      </c>
      <c r="AA176" s="71" t="s">
        <v>33</v>
      </c>
    </row>
    <row r="177" spans="2:27" s="10" customFormat="1" ht="12.75" hidden="1" customHeight="1">
      <c r="B177" s="68">
        <v>2017</v>
      </c>
      <c r="C177" s="12" t="s">
        <v>34</v>
      </c>
      <c r="D177" s="284">
        <v>1128</v>
      </c>
      <c r="E177" s="89"/>
      <c r="F177" s="89">
        <v>110</v>
      </c>
      <c r="G177" s="89"/>
      <c r="H177" s="89">
        <v>54</v>
      </c>
      <c r="I177" s="89"/>
      <c r="J177" s="89">
        <v>3</v>
      </c>
      <c r="K177" s="89"/>
      <c r="L177" s="89">
        <v>36</v>
      </c>
      <c r="M177" s="89"/>
      <c r="N177" s="89">
        <v>42</v>
      </c>
      <c r="O177" s="89"/>
      <c r="P177" s="89">
        <v>33</v>
      </c>
      <c r="Q177" s="89"/>
      <c r="R177" s="89">
        <v>18</v>
      </c>
      <c r="S177" s="89"/>
      <c r="T177" s="89">
        <v>14</v>
      </c>
      <c r="U177" s="89"/>
      <c r="V177" s="89"/>
      <c r="W177" s="89"/>
      <c r="X177" s="89">
        <f t="shared" si="21"/>
        <v>1438</v>
      </c>
      <c r="Y177" s="71"/>
      <c r="Z177" s="594">
        <v>2017</v>
      </c>
      <c r="AA177" s="71" t="str">
        <f>AA165</f>
        <v>Fév</v>
      </c>
    </row>
    <row r="178" spans="2:27" s="10" customFormat="1" ht="12.75" hidden="1" customHeight="1">
      <c r="B178" s="68">
        <v>2017</v>
      </c>
      <c r="C178" s="12" t="s">
        <v>29</v>
      </c>
      <c r="D178" s="284">
        <v>1207</v>
      </c>
      <c r="E178" s="89"/>
      <c r="F178" s="89">
        <v>201</v>
      </c>
      <c r="G178" s="89"/>
      <c r="H178" s="89">
        <v>74</v>
      </c>
      <c r="I178" s="89"/>
      <c r="J178" s="89">
        <v>13</v>
      </c>
      <c r="K178" s="89"/>
      <c r="L178" s="89">
        <v>59</v>
      </c>
      <c r="M178" s="89"/>
      <c r="N178" s="89">
        <v>63</v>
      </c>
      <c r="O178" s="89"/>
      <c r="P178" s="89">
        <v>38</v>
      </c>
      <c r="Q178" s="89"/>
      <c r="R178" s="89">
        <v>26</v>
      </c>
      <c r="S178" s="89"/>
      <c r="T178" s="89">
        <v>12</v>
      </c>
      <c r="U178" s="89"/>
      <c r="V178" s="89"/>
      <c r="W178" s="89"/>
      <c r="X178" s="89">
        <f t="shared" ref="X178:X186" si="22">SUM(D178:T178)</f>
        <v>1693</v>
      </c>
      <c r="Y178" s="71"/>
      <c r="Z178" s="594">
        <v>2017</v>
      </c>
      <c r="AA178" s="71" t="s">
        <v>29</v>
      </c>
    </row>
    <row r="179" spans="2:27" s="10" customFormat="1" ht="12.75" hidden="1" customHeight="1">
      <c r="B179" s="68">
        <v>2017</v>
      </c>
      <c r="C179" s="12" t="s">
        <v>35</v>
      </c>
      <c r="D179" s="284">
        <v>1891</v>
      </c>
      <c r="E179" s="89"/>
      <c r="F179" s="89">
        <v>284</v>
      </c>
      <c r="G179" s="89"/>
      <c r="H179" s="89">
        <v>126</v>
      </c>
      <c r="I179" s="89"/>
      <c r="J179" s="89">
        <v>12</v>
      </c>
      <c r="K179" s="89"/>
      <c r="L179" s="89">
        <v>91</v>
      </c>
      <c r="M179" s="89"/>
      <c r="N179" s="89">
        <v>68</v>
      </c>
      <c r="O179" s="89"/>
      <c r="P179" s="89">
        <v>75</v>
      </c>
      <c r="Q179" s="89"/>
      <c r="R179" s="89">
        <v>63</v>
      </c>
      <c r="S179" s="89"/>
      <c r="T179" s="89">
        <v>26</v>
      </c>
      <c r="U179" s="89"/>
      <c r="V179" s="89"/>
      <c r="W179" s="89"/>
      <c r="X179" s="89">
        <f t="shared" si="22"/>
        <v>2636</v>
      </c>
      <c r="Y179" s="71"/>
      <c r="Z179" s="594">
        <v>2017</v>
      </c>
      <c r="AA179" s="71" t="s">
        <v>78</v>
      </c>
    </row>
    <row r="180" spans="2:27" s="10" customFormat="1" ht="12.75" hidden="1" customHeight="1">
      <c r="B180" s="68">
        <v>2017</v>
      </c>
      <c r="C180" s="12" t="s">
        <v>4</v>
      </c>
      <c r="D180" s="284">
        <v>2349</v>
      </c>
      <c r="E180" s="89"/>
      <c r="F180" s="89">
        <v>249</v>
      </c>
      <c r="G180" s="89"/>
      <c r="H180" s="89">
        <v>114</v>
      </c>
      <c r="I180" s="89"/>
      <c r="J180" s="89">
        <v>9</v>
      </c>
      <c r="K180" s="89"/>
      <c r="L180" s="89">
        <v>66</v>
      </c>
      <c r="M180" s="89"/>
      <c r="N180" s="89">
        <v>88</v>
      </c>
      <c r="O180" s="89"/>
      <c r="P180" s="89">
        <v>67</v>
      </c>
      <c r="Q180" s="89"/>
      <c r="R180" s="89">
        <v>32</v>
      </c>
      <c r="S180" s="89"/>
      <c r="T180" s="89">
        <v>28</v>
      </c>
      <c r="U180" s="89"/>
      <c r="V180" s="89"/>
      <c r="W180" s="89"/>
      <c r="X180" s="89">
        <f t="shared" si="22"/>
        <v>3002</v>
      </c>
      <c r="Y180" s="71"/>
      <c r="Z180" s="594">
        <v>2017</v>
      </c>
      <c r="AA180" s="71" t="s">
        <v>79</v>
      </c>
    </row>
    <row r="181" spans="2:27" s="10" customFormat="1" ht="12.75" hidden="1" customHeight="1">
      <c r="B181" s="68">
        <v>2017</v>
      </c>
      <c r="C181" s="12" t="s">
        <v>30</v>
      </c>
      <c r="D181" s="284">
        <v>1912</v>
      </c>
      <c r="E181" s="89"/>
      <c r="F181" s="89">
        <v>207</v>
      </c>
      <c r="G181" s="89"/>
      <c r="H181" s="89">
        <v>118</v>
      </c>
      <c r="I181" s="89"/>
      <c r="J181" s="89">
        <v>8</v>
      </c>
      <c r="K181" s="89"/>
      <c r="L181" s="89">
        <v>64</v>
      </c>
      <c r="M181" s="89"/>
      <c r="N181" s="89">
        <v>77</v>
      </c>
      <c r="O181" s="89"/>
      <c r="P181" s="89">
        <v>40</v>
      </c>
      <c r="Q181" s="89"/>
      <c r="R181" s="89">
        <v>29</v>
      </c>
      <c r="S181" s="89"/>
      <c r="T181" s="89">
        <v>15</v>
      </c>
      <c r="U181" s="89"/>
      <c r="V181" s="89"/>
      <c r="W181" s="89"/>
      <c r="X181" s="89">
        <f t="shared" si="22"/>
        <v>2470</v>
      </c>
      <c r="Y181" s="71"/>
      <c r="Z181" s="594">
        <v>2017</v>
      </c>
      <c r="AA181" s="71" t="s">
        <v>80</v>
      </c>
    </row>
    <row r="182" spans="2:27" s="10" customFormat="1" ht="12.75" hidden="1" customHeight="1">
      <c r="B182" s="68">
        <v>2017</v>
      </c>
      <c r="C182" s="12" t="s">
        <v>36</v>
      </c>
      <c r="D182" s="284">
        <v>1453</v>
      </c>
      <c r="E182" s="89"/>
      <c r="F182" s="89">
        <v>188</v>
      </c>
      <c r="G182" s="89"/>
      <c r="H182" s="89">
        <v>77</v>
      </c>
      <c r="I182" s="89"/>
      <c r="J182" s="89">
        <v>8</v>
      </c>
      <c r="K182" s="89"/>
      <c r="L182" s="89">
        <v>90</v>
      </c>
      <c r="M182" s="89"/>
      <c r="N182" s="89">
        <v>63</v>
      </c>
      <c r="O182" s="89"/>
      <c r="P182" s="89">
        <v>35</v>
      </c>
      <c r="Q182" s="89"/>
      <c r="R182" s="89">
        <v>31</v>
      </c>
      <c r="S182" s="89"/>
      <c r="T182" s="89">
        <v>15</v>
      </c>
      <c r="U182" s="89"/>
      <c r="V182" s="89"/>
      <c r="W182" s="89"/>
      <c r="X182" s="89">
        <f t="shared" si="22"/>
        <v>1960</v>
      </c>
      <c r="Y182" s="71"/>
      <c r="Z182" s="594">
        <v>2017</v>
      </c>
      <c r="AA182" s="71" t="s">
        <v>81</v>
      </c>
    </row>
    <row r="183" spans="2:27" s="10" customFormat="1" ht="12.75" hidden="1" customHeight="1">
      <c r="B183" s="68">
        <v>2017</v>
      </c>
      <c r="C183" s="12" t="s">
        <v>37</v>
      </c>
      <c r="D183" s="284">
        <v>1081</v>
      </c>
      <c r="E183" s="89"/>
      <c r="F183" s="89">
        <v>183</v>
      </c>
      <c r="G183" s="89"/>
      <c r="H183" s="89">
        <v>88</v>
      </c>
      <c r="I183" s="89"/>
      <c r="J183" s="89">
        <v>9</v>
      </c>
      <c r="K183" s="89"/>
      <c r="L183" s="89">
        <v>63</v>
      </c>
      <c r="M183" s="89"/>
      <c r="N183" s="89">
        <v>48</v>
      </c>
      <c r="O183" s="89"/>
      <c r="P183" s="89">
        <v>33</v>
      </c>
      <c r="Q183" s="89"/>
      <c r="R183" s="89">
        <v>30</v>
      </c>
      <c r="S183" s="89"/>
      <c r="T183" s="89">
        <v>16</v>
      </c>
      <c r="U183" s="89"/>
      <c r="V183" s="89"/>
      <c r="W183" s="89"/>
      <c r="X183" s="89">
        <f t="shared" si="22"/>
        <v>1551</v>
      </c>
      <c r="Y183" s="71"/>
      <c r="Z183" s="594">
        <v>2017</v>
      </c>
      <c r="AA183" s="71" t="s">
        <v>82</v>
      </c>
    </row>
    <row r="184" spans="2:27" s="10" customFormat="1" ht="12.75" hidden="1" customHeight="1">
      <c r="B184" s="68">
        <v>2017</v>
      </c>
      <c r="C184" s="12" t="s">
        <v>31</v>
      </c>
      <c r="D184" s="284">
        <v>2764</v>
      </c>
      <c r="E184" s="89"/>
      <c r="F184" s="89">
        <v>190</v>
      </c>
      <c r="G184" s="89"/>
      <c r="H184" s="89">
        <v>70</v>
      </c>
      <c r="I184" s="89"/>
      <c r="J184" s="89">
        <v>4</v>
      </c>
      <c r="K184" s="89"/>
      <c r="L184" s="89">
        <v>57</v>
      </c>
      <c r="M184" s="89"/>
      <c r="N184" s="89">
        <v>38</v>
      </c>
      <c r="O184" s="89"/>
      <c r="P184" s="89">
        <v>39</v>
      </c>
      <c r="Q184" s="89"/>
      <c r="R184" s="89">
        <v>34</v>
      </c>
      <c r="S184" s="89"/>
      <c r="T184" s="89">
        <v>13</v>
      </c>
      <c r="U184" s="89"/>
      <c r="V184" s="89"/>
      <c r="W184" s="89"/>
      <c r="X184" s="89">
        <f t="shared" si="22"/>
        <v>3209</v>
      </c>
      <c r="Y184" s="71"/>
      <c r="Z184" s="594">
        <v>2017</v>
      </c>
      <c r="AA184" s="71" t="s">
        <v>31</v>
      </c>
    </row>
    <row r="185" spans="2:27" s="10" customFormat="1" ht="12.75" hidden="1" customHeight="1">
      <c r="B185" s="68">
        <v>2017</v>
      </c>
      <c r="C185" s="12" t="s">
        <v>38</v>
      </c>
      <c r="D185" s="284">
        <v>1652</v>
      </c>
      <c r="E185" s="89"/>
      <c r="F185" s="89">
        <v>247</v>
      </c>
      <c r="G185" s="89"/>
      <c r="H185" s="89">
        <v>71</v>
      </c>
      <c r="I185" s="89"/>
      <c r="J185" s="89">
        <v>20</v>
      </c>
      <c r="K185" s="89"/>
      <c r="L185" s="89">
        <v>74</v>
      </c>
      <c r="M185" s="89"/>
      <c r="N185" s="89">
        <v>66</v>
      </c>
      <c r="O185" s="89"/>
      <c r="P185" s="89">
        <v>50</v>
      </c>
      <c r="Q185" s="89"/>
      <c r="R185" s="89">
        <v>20</v>
      </c>
      <c r="S185" s="89"/>
      <c r="T185" s="89">
        <v>21</v>
      </c>
      <c r="U185" s="89"/>
      <c r="V185" s="89"/>
      <c r="W185" s="89"/>
      <c r="X185" s="89">
        <f t="shared" si="22"/>
        <v>2221</v>
      </c>
      <c r="Y185" s="71"/>
      <c r="Z185" s="594">
        <v>2017</v>
      </c>
      <c r="AA185" s="71" t="s">
        <v>38</v>
      </c>
    </row>
    <row r="186" spans="2:27" s="10" customFormat="1" ht="12.75" hidden="1" customHeight="1">
      <c r="B186" s="68">
        <v>2017</v>
      </c>
      <c r="C186" s="12" t="s">
        <v>39</v>
      </c>
      <c r="D186" s="284">
        <v>2164</v>
      </c>
      <c r="E186" s="89"/>
      <c r="F186" s="89">
        <v>223</v>
      </c>
      <c r="G186" s="89"/>
      <c r="H186" s="89">
        <v>79</v>
      </c>
      <c r="I186" s="89"/>
      <c r="J186" s="89">
        <v>11</v>
      </c>
      <c r="K186" s="89"/>
      <c r="L186" s="89">
        <v>72</v>
      </c>
      <c r="M186" s="89"/>
      <c r="N186" s="89">
        <v>71</v>
      </c>
      <c r="O186" s="89"/>
      <c r="P186" s="89">
        <v>44</v>
      </c>
      <c r="Q186" s="89"/>
      <c r="R186" s="89">
        <v>25</v>
      </c>
      <c r="S186" s="89"/>
      <c r="T186" s="89">
        <v>39</v>
      </c>
      <c r="U186" s="89"/>
      <c r="V186" s="89"/>
      <c r="W186" s="89"/>
      <c r="X186" s="89">
        <f t="shared" si="22"/>
        <v>2728</v>
      </c>
      <c r="Y186" s="71"/>
      <c r="Z186" s="594">
        <v>2017</v>
      </c>
      <c r="AA186" s="71" t="s">
        <v>39</v>
      </c>
    </row>
    <row r="187" spans="2:27" s="10" customFormat="1" ht="12.75" hidden="1" customHeight="1">
      <c r="B187" s="68">
        <v>2017</v>
      </c>
      <c r="C187" s="12" t="s">
        <v>32</v>
      </c>
      <c r="D187" s="284">
        <v>2652</v>
      </c>
      <c r="E187" s="89"/>
      <c r="F187" s="89">
        <v>116</v>
      </c>
      <c r="G187" s="89"/>
      <c r="H187" s="89">
        <v>28</v>
      </c>
      <c r="I187" s="89"/>
      <c r="J187" s="89">
        <v>4</v>
      </c>
      <c r="K187" s="89"/>
      <c r="L187" s="89">
        <v>29</v>
      </c>
      <c r="M187" s="89"/>
      <c r="N187" s="89">
        <v>19</v>
      </c>
      <c r="O187" s="89"/>
      <c r="P187" s="89">
        <v>28</v>
      </c>
      <c r="Q187" s="89"/>
      <c r="R187" s="89">
        <v>14</v>
      </c>
      <c r="S187" s="89"/>
      <c r="T187" s="89">
        <v>13</v>
      </c>
      <c r="U187" s="89"/>
      <c r="V187" s="89"/>
      <c r="W187" s="89"/>
      <c r="X187" s="380">
        <f t="shared" ref="X187:X194" si="23">SUM(D187:T187)</f>
        <v>2903</v>
      </c>
      <c r="Y187" s="71"/>
      <c r="Z187" s="594">
        <v>2017</v>
      </c>
      <c r="AA187" s="71" t="s">
        <v>32</v>
      </c>
    </row>
    <row r="188" spans="2:27" s="10" customFormat="1" ht="12.75" hidden="1" customHeight="1">
      <c r="B188" s="68">
        <v>2018</v>
      </c>
      <c r="C188" s="12" t="s">
        <v>33</v>
      </c>
      <c r="D188" s="284">
        <v>1538</v>
      </c>
      <c r="E188" s="89"/>
      <c r="F188" s="89">
        <v>304</v>
      </c>
      <c r="G188" s="89"/>
      <c r="H188" s="89">
        <v>107</v>
      </c>
      <c r="I188" s="89"/>
      <c r="J188" s="89">
        <v>15</v>
      </c>
      <c r="K188" s="89"/>
      <c r="L188" s="89">
        <v>118</v>
      </c>
      <c r="M188" s="89"/>
      <c r="N188" s="89">
        <v>138</v>
      </c>
      <c r="O188" s="89"/>
      <c r="P188" s="89">
        <v>108</v>
      </c>
      <c r="Q188" s="89"/>
      <c r="R188" s="89">
        <v>42</v>
      </c>
      <c r="S188" s="89"/>
      <c r="T188" s="89">
        <v>32</v>
      </c>
      <c r="U188" s="89"/>
      <c r="V188" s="89"/>
      <c r="W188" s="89"/>
      <c r="X188" s="380">
        <f t="shared" si="23"/>
        <v>2402</v>
      </c>
      <c r="Y188" s="71"/>
      <c r="Z188" s="594">
        <v>2018</v>
      </c>
      <c r="AA188" s="71" t="s">
        <v>33</v>
      </c>
    </row>
    <row r="189" spans="2:27" s="10" customFormat="1" ht="12.75" hidden="1" customHeight="1">
      <c r="B189" s="68">
        <v>2018</v>
      </c>
      <c r="C189" s="12" t="s">
        <v>34</v>
      </c>
      <c r="D189" s="284">
        <v>1085</v>
      </c>
      <c r="E189" s="89"/>
      <c r="F189" s="89">
        <v>137</v>
      </c>
      <c r="G189" s="89"/>
      <c r="H189" s="89">
        <v>38</v>
      </c>
      <c r="I189" s="89"/>
      <c r="J189" s="89">
        <v>6</v>
      </c>
      <c r="K189" s="89"/>
      <c r="L189" s="89">
        <v>33</v>
      </c>
      <c r="M189" s="89"/>
      <c r="N189" s="89">
        <v>56</v>
      </c>
      <c r="O189" s="89"/>
      <c r="P189" s="89">
        <v>26</v>
      </c>
      <c r="Q189" s="89"/>
      <c r="R189" s="89">
        <v>25</v>
      </c>
      <c r="S189" s="89"/>
      <c r="T189" s="89">
        <v>14</v>
      </c>
      <c r="U189" s="89"/>
      <c r="V189" s="89"/>
      <c r="W189" s="89"/>
      <c r="X189" s="380">
        <f t="shared" si="23"/>
        <v>1420</v>
      </c>
      <c r="Y189" s="71"/>
      <c r="Z189" s="594">
        <v>2018</v>
      </c>
      <c r="AA189" s="71" t="s">
        <v>77</v>
      </c>
    </row>
    <row r="190" spans="2:27" s="10" customFormat="1" ht="12.75" hidden="1" customHeight="1">
      <c r="B190" s="68">
        <v>2018</v>
      </c>
      <c r="C190" s="12" t="s">
        <v>29</v>
      </c>
      <c r="D190" s="284">
        <v>1329</v>
      </c>
      <c r="E190" s="89"/>
      <c r="F190" s="89">
        <v>140</v>
      </c>
      <c r="G190" s="89"/>
      <c r="H190" s="89">
        <v>38</v>
      </c>
      <c r="I190" s="89"/>
      <c r="J190" s="89">
        <v>4</v>
      </c>
      <c r="K190" s="89"/>
      <c r="L190" s="89">
        <v>24</v>
      </c>
      <c r="M190" s="89"/>
      <c r="N190" s="89">
        <v>59</v>
      </c>
      <c r="O190" s="89"/>
      <c r="P190" s="89">
        <v>23</v>
      </c>
      <c r="Q190" s="89"/>
      <c r="R190" s="89">
        <v>18</v>
      </c>
      <c r="S190" s="89"/>
      <c r="T190" s="89">
        <v>17</v>
      </c>
      <c r="U190" s="89"/>
      <c r="V190" s="89"/>
      <c r="W190" s="89"/>
      <c r="X190" s="380">
        <f t="shared" si="23"/>
        <v>1652</v>
      </c>
      <c r="Y190" s="71"/>
      <c r="Z190" s="594">
        <v>2018</v>
      </c>
      <c r="AA190" s="71" t="s">
        <v>29</v>
      </c>
    </row>
    <row r="191" spans="2:27" s="10" customFormat="1" ht="12.75" hidden="1" customHeight="1">
      <c r="B191" s="68">
        <v>2018</v>
      </c>
      <c r="C191" s="12" t="s">
        <v>35</v>
      </c>
      <c r="D191" s="284">
        <v>2246</v>
      </c>
      <c r="E191" s="89"/>
      <c r="F191" s="89">
        <v>149</v>
      </c>
      <c r="G191" s="89"/>
      <c r="H191" s="89">
        <v>86</v>
      </c>
      <c r="I191" s="89"/>
      <c r="J191" s="89">
        <v>6</v>
      </c>
      <c r="K191" s="89"/>
      <c r="L191" s="89">
        <v>53</v>
      </c>
      <c r="M191" s="89"/>
      <c r="N191" s="89">
        <v>53</v>
      </c>
      <c r="O191" s="89"/>
      <c r="P191" s="89">
        <v>48</v>
      </c>
      <c r="Q191" s="89"/>
      <c r="R191" s="89">
        <v>14</v>
      </c>
      <c r="S191" s="89"/>
      <c r="T191" s="89">
        <v>17</v>
      </c>
      <c r="U191" s="89"/>
      <c r="V191" s="89"/>
      <c r="W191" s="89"/>
      <c r="X191" s="380">
        <f t="shared" si="23"/>
        <v>2672</v>
      </c>
      <c r="Y191" s="71"/>
      <c r="Z191" s="594">
        <v>2018</v>
      </c>
      <c r="AA191" s="71" t="s">
        <v>78</v>
      </c>
    </row>
    <row r="192" spans="2:27" s="10" customFormat="1" ht="12.75" hidden="1" customHeight="1">
      <c r="B192" s="68">
        <v>2018</v>
      </c>
      <c r="C192" s="12" t="s">
        <v>4</v>
      </c>
      <c r="D192" s="284">
        <v>2322</v>
      </c>
      <c r="E192" s="89"/>
      <c r="F192" s="89">
        <v>143</v>
      </c>
      <c r="G192" s="89"/>
      <c r="H192" s="89">
        <v>47</v>
      </c>
      <c r="I192" s="89"/>
      <c r="J192" s="89">
        <v>13</v>
      </c>
      <c r="K192" s="89"/>
      <c r="L192" s="89">
        <v>33</v>
      </c>
      <c r="M192" s="89"/>
      <c r="N192" s="89">
        <v>81</v>
      </c>
      <c r="O192" s="89"/>
      <c r="P192" s="89">
        <v>47</v>
      </c>
      <c r="Q192" s="89"/>
      <c r="R192" s="89">
        <v>13</v>
      </c>
      <c r="S192" s="89"/>
      <c r="T192" s="89">
        <v>15</v>
      </c>
      <c r="U192" s="89"/>
      <c r="V192" s="89"/>
      <c r="W192" s="89"/>
      <c r="X192" s="380">
        <f t="shared" si="23"/>
        <v>2714</v>
      </c>
      <c r="Y192" s="71"/>
      <c r="Z192" s="594">
        <v>2018</v>
      </c>
      <c r="AA192" s="71" t="s">
        <v>79</v>
      </c>
    </row>
    <row r="193" spans="2:28" s="10" customFormat="1" ht="12.75" hidden="1" customHeight="1">
      <c r="B193" s="68">
        <v>2018</v>
      </c>
      <c r="C193" s="12" t="s">
        <v>30</v>
      </c>
      <c r="D193" s="284">
        <v>2211</v>
      </c>
      <c r="E193" s="89"/>
      <c r="F193" s="89">
        <v>128</v>
      </c>
      <c r="G193" s="89"/>
      <c r="H193" s="89">
        <v>65</v>
      </c>
      <c r="I193" s="89"/>
      <c r="J193" s="89">
        <v>6</v>
      </c>
      <c r="K193" s="89"/>
      <c r="L193" s="89">
        <v>45</v>
      </c>
      <c r="M193" s="89"/>
      <c r="N193" s="89">
        <v>78</v>
      </c>
      <c r="O193" s="89"/>
      <c r="P193" s="89">
        <v>39</v>
      </c>
      <c r="Q193" s="89"/>
      <c r="R193" s="89">
        <v>23</v>
      </c>
      <c r="S193" s="89"/>
      <c r="T193" s="89">
        <v>24</v>
      </c>
      <c r="U193" s="89"/>
      <c r="V193" s="89"/>
      <c r="W193" s="89"/>
      <c r="X193" s="380">
        <f t="shared" si="23"/>
        <v>2619</v>
      </c>
      <c r="Y193" s="71"/>
      <c r="Z193" s="594">
        <v>2018</v>
      </c>
      <c r="AA193" s="71" t="s">
        <v>80</v>
      </c>
    </row>
    <row r="194" spans="2:28" s="10" customFormat="1" ht="12.75" hidden="1" customHeight="1">
      <c r="B194" s="68">
        <v>2018</v>
      </c>
      <c r="C194" s="12" t="s">
        <v>36</v>
      </c>
      <c r="D194" s="284">
        <v>1642</v>
      </c>
      <c r="E194" s="89"/>
      <c r="F194" s="89">
        <v>154</v>
      </c>
      <c r="G194" s="89"/>
      <c r="H194" s="89">
        <v>46</v>
      </c>
      <c r="I194" s="89"/>
      <c r="J194" s="89">
        <v>7</v>
      </c>
      <c r="K194" s="89"/>
      <c r="L194" s="89">
        <v>41</v>
      </c>
      <c r="M194" s="89"/>
      <c r="N194" s="89">
        <v>92</v>
      </c>
      <c r="O194" s="89"/>
      <c r="P194" s="89">
        <v>106</v>
      </c>
      <c r="Q194" s="89"/>
      <c r="R194" s="89">
        <v>31</v>
      </c>
      <c r="S194" s="89"/>
      <c r="T194" s="89">
        <v>20</v>
      </c>
      <c r="U194" s="89"/>
      <c r="V194" s="89"/>
      <c r="W194" s="89"/>
      <c r="X194" s="380">
        <f t="shared" si="23"/>
        <v>2139</v>
      </c>
      <c r="Y194" s="71"/>
      <c r="Z194" s="594">
        <v>2018</v>
      </c>
      <c r="AA194" s="71" t="s">
        <v>81</v>
      </c>
    </row>
    <row r="195" spans="2:28" s="10" customFormat="1" ht="12.75" hidden="1" customHeight="1">
      <c r="B195" s="68">
        <v>2018</v>
      </c>
      <c r="C195" s="12" t="s">
        <v>271</v>
      </c>
      <c r="D195" s="284">
        <v>1186</v>
      </c>
      <c r="E195" s="89"/>
      <c r="F195" s="89">
        <v>95</v>
      </c>
      <c r="G195" s="89"/>
      <c r="H195" s="89">
        <v>54</v>
      </c>
      <c r="I195" s="89"/>
      <c r="J195" s="89">
        <v>7</v>
      </c>
      <c r="K195" s="89"/>
      <c r="L195" s="89">
        <v>39</v>
      </c>
      <c r="M195" s="89"/>
      <c r="N195" s="89">
        <v>34</v>
      </c>
      <c r="O195" s="89"/>
      <c r="P195" s="89">
        <v>32</v>
      </c>
      <c r="Q195" s="89"/>
      <c r="R195" s="89">
        <v>11</v>
      </c>
      <c r="S195" s="89"/>
      <c r="T195" s="89">
        <v>6</v>
      </c>
      <c r="U195" s="89"/>
      <c r="V195" s="89"/>
      <c r="W195" s="89"/>
      <c r="X195" s="380">
        <f t="shared" ref="X195:X201" si="24">SUM(D195:T195)</f>
        <v>1464</v>
      </c>
      <c r="Y195" s="71"/>
      <c r="Z195" s="594">
        <v>2018</v>
      </c>
      <c r="AA195" s="71" t="str">
        <f>AA183</f>
        <v>Aoû</v>
      </c>
    </row>
    <row r="196" spans="2:28" s="10" customFormat="1" ht="12.75" hidden="1" customHeight="1">
      <c r="B196" s="68">
        <v>2018</v>
      </c>
      <c r="C196" s="12" t="s">
        <v>31</v>
      </c>
      <c r="D196" s="284">
        <v>2913</v>
      </c>
      <c r="E196" s="89"/>
      <c r="F196" s="89">
        <v>175</v>
      </c>
      <c r="G196" s="89"/>
      <c r="H196" s="89">
        <v>58</v>
      </c>
      <c r="I196" s="89"/>
      <c r="J196" s="89">
        <v>10</v>
      </c>
      <c r="K196" s="89"/>
      <c r="L196" s="89">
        <v>46</v>
      </c>
      <c r="M196" s="89"/>
      <c r="N196" s="89">
        <v>57</v>
      </c>
      <c r="O196" s="89"/>
      <c r="P196" s="89">
        <v>43</v>
      </c>
      <c r="Q196" s="89"/>
      <c r="R196" s="89">
        <v>26</v>
      </c>
      <c r="S196" s="89"/>
      <c r="T196" s="89">
        <v>21</v>
      </c>
      <c r="U196" s="89"/>
      <c r="V196" s="89"/>
      <c r="W196" s="89"/>
      <c r="X196" s="380">
        <f t="shared" si="24"/>
        <v>3349</v>
      </c>
      <c r="Y196" s="71"/>
      <c r="Z196" s="594">
        <v>2018</v>
      </c>
      <c r="AA196" s="71" t="s">
        <v>31</v>
      </c>
    </row>
    <row r="197" spans="2:28" s="10" customFormat="1" ht="12.75" hidden="1" customHeight="1">
      <c r="B197" s="68">
        <v>2018</v>
      </c>
      <c r="C197" s="12" t="s">
        <v>38</v>
      </c>
      <c r="D197" s="284">
        <v>1531</v>
      </c>
      <c r="E197" s="89"/>
      <c r="F197" s="89">
        <v>246</v>
      </c>
      <c r="G197" s="89"/>
      <c r="H197" s="89">
        <v>106</v>
      </c>
      <c r="I197" s="89"/>
      <c r="J197" s="89">
        <v>11</v>
      </c>
      <c r="K197" s="89"/>
      <c r="L197" s="89">
        <v>77</v>
      </c>
      <c r="M197" s="89"/>
      <c r="N197" s="89">
        <v>87</v>
      </c>
      <c r="O197" s="89"/>
      <c r="P197" s="89">
        <v>50</v>
      </c>
      <c r="Q197" s="89"/>
      <c r="R197" s="89">
        <v>30</v>
      </c>
      <c r="S197" s="89"/>
      <c r="T197" s="89">
        <v>28</v>
      </c>
      <c r="U197" s="89"/>
      <c r="V197" s="89"/>
      <c r="W197" s="89"/>
      <c r="X197" s="380">
        <f t="shared" si="24"/>
        <v>2166</v>
      </c>
      <c r="Y197" s="71"/>
      <c r="Z197" s="594">
        <v>2018</v>
      </c>
      <c r="AA197" s="71" t="s">
        <v>38</v>
      </c>
    </row>
    <row r="198" spans="2:28" s="10" customFormat="1" ht="12.75" hidden="1" customHeight="1">
      <c r="B198" s="68">
        <v>2018</v>
      </c>
      <c r="C198" s="12" t="s">
        <v>39</v>
      </c>
      <c r="D198" s="284">
        <v>2216</v>
      </c>
      <c r="E198" s="89"/>
      <c r="F198" s="89">
        <v>146</v>
      </c>
      <c r="G198" s="89"/>
      <c r="H198" s="89">
        <v>58</v>
      </c>
      <c r="I198" s="89"/>
      <c r="J198" s="89">
        <v>7</v>
      </c>
      <c r="K198" s="89"/>
      <c r="L198" s="89">
        <v>50</v>
      </c>
      <c r="M198" s="89"/>
      <c r="N198" s="89">
        <v>79</v>
      </c>
      <c r="O198" s="89"/>
      <c r="P198" s="89">
        <v>37</v>
      </c>
      <c r="Q198" s="89"/>
      <c r="R198" s="89">
        <v>13</v>
      </c>
      <c r="S198" s="89"/>
      <c r="T198" s="89">
        <v>16</v>
      </c>
      <c r="U198" s="89"/>
      <c r="V198" s="89"/>
      <c r="W198" s="89"/>
      <c r="X198" s="380">
        <f t="shared" si="24"/>
        <v>2622</v>
      </c>
      <c r="Y198" s="71"/>
      <c r="Z198" s="594">
        <v>2018</v>
      </c>
      <c r="AA198" s="71" t="s">
        <v>39</v>
      </c>
    </row>
    <row r="199" spans="2:28" s="10" customFormat="1" ht="12.75" hidden="1" customHeight="1">
      <c r="B199" s="68">
        <v>2018</v>
      </c>
      <c r="C199" s="12" t="s">
        <v>32</v>
      </c>
      <c r="D199" s="284">
        <v>3391</v>
      </c>
      <c r="E199" s="89"/>
      <c r="F199" s="89">
        <v>102</v>
      </c>
      <c r="G199" s="89"/>
      <c r="H199" s="89">
        <v>47</v>
      </c>
      <c r="I199" s="89"/>
      <c r="J199" s="89">
        <v>5</v>
      </c>
      <c r="K199" s="89"/>
      <c r="L199" s="89">
        <v>32</v>
      </c>
      <c r="M199" s="89"/>
      <c r="N199" s="89">
        <v>61</v>
      </c>
      <c r="O199" s="89"/>
      <c r="P199" s="89">
        <v>34</v>
      </c>
      <c r="Q199" s="89"/>
      <c r="R199" s="89">
        <v>27</v>
      </c>
      <c r="S199" s="89"/>
      <c r="T199" s="89">
        <v>18</v>
      </c>
      <c r="U199" s="89"/>
      <c r="V199" s="89"/>
      <c r="W199" s="89"/>
      <c r="X199" s="380">
        <f t="shared" si="24"/>
        <v>3717</v>
      </c>
      <c r="Y199" s="71"/>
      <c r="Z199" s="594">
        <v>2018</v>
      </c>
      <c r="AA199" s="71" t="s">
        <v>83</v>
      </c>
    </row>
    <row r="200" spans="2:28" s="10" customFormat="1" ht="12.75" hidden="1" customHeight="1">
      <c r="B200" s="68">
        <v>2019</v>
      </c>
      <c r="C200" s="12" t="s">
        <v>260</v>
      </c>
      <c r="D200" s="284">
        <v>120</v>
      </c>
      <c r="E200" s="89"/>
      <c r="F200" s="89">
        <v>125</v>
      </c>
      <c r="G200" s="89"/>
      <c r="H200" s="89">
        <v>14</v>
      </c>
      <c r="I200" s="89"/>
      <c r="J200" s="89">
        <v>204</v>
      </c>
      <c r="K200" s="89"/>
      <c r="L200" s="89">
        <v>130</v>
      </c>
      <c r="M200" s="89"/>
      <c r="N200" s="89">
        <v>1828</v>
      </c>
      <c r="O200" s="89"/>
      <c r="P200" s="89">
        <v>33</v>
      </c>
      <c r="Q200" s="89"/>
      <c r="R200" s="89">
        <v>89</v>
      </c>
      <c r="S200" s="89"/>
      <c r="T200" s="89">
        <v>43</v>
      </c>
      <c r="U200" s="89"/>
      <c r="V200" s="89"/>
      <c r="W200" s="89"/>
      <c r="X200" s="380">
        <f t="shared" si="24"/>
        <v>2586</v>
      </c>
      <c r="Y200" s="71"/>
      <c r="Z200" s="594">
        <v>2019</v>
      </c>
      <c r="AA200" s="71" t="s">
        <v>260</v>
      </c>
    </row>
    <row r="201" spans="2:28" s="10" customFormat="1" ht="12.75" hidden="1" customHeight="1">
      <c r="B201" s="68">
        <v>2019</v>
      </c>
      <c r="C201" s="605" t="s">
        <v>34</v>
      </c>
      <c r="D201" s="284">
        <v>816</v>
      </c>
      <c r="E201" s="89"/>
      <c r="F201" s="89">
        <v>191</v>
      </c>
      <c r="G201" s="89"/>
      <c r="H201" s="89">
        <v>105</v>
      </c>
      <c r="I201" s="89"/>
      <c r="J201" s="89">
        <v>14</v>
      </c>
      <c r="K201" s="89"/>
      <c r="L201" s="89">
        <v>47</v>
      </c>
      <c r="M201" s="89"/>
      <c r="N201" s="89">
        <v>105</v>
      </c>
      <c r="O201" s="89"/>
      <c r="P201" s="89">
        <v>60</v>
      </c>
      <c r="Q201" s="89"/>
      <c r="R201" s="89">
        <v>36</v>
      </c>
      <c r="S201" s="89"/>
      <c r="T201" s="89">
        <v>35</v>
      </c>
      <c r="U201" s="89"/>
      <c r="V201" s="89"/>
      <c r="W201" s="89"/>
      <c r="X201" s="380">
        <f t="shared" si="24"/>
        <v>1409</v>
      </c>
      <c r="Y201" s="71"/>
      <c r="Z201" s="594">
        <v>2019</v>
      </c>
      <c r="AA201" s="71" t="s">
        <v>77</v>
      </c>
    </row>
    <row r="202" spans="2:28" s="321" customFormat="1" ht="12.75" hidden="1" customHeight="1">
      <c r="B202" s="68">
        <v>2019</v>
      </c>
      <c r="C202" s="605" t="s">
        <v>65</v>
      </c>
      <c r="D202" s="284">
        <v>1629</v>
      </c>
      <c r="E202" s="89"/>
      <c r="F202" s="89">
        <v>208</v>
      </c>
      <c r="G202" s="89"/>
      <c r="H202" s="89">
        <v>88</v>
      </c>
      <c r="I202" s="89"/>
      <c r="J202" s="89">
        <v>15</v>
      </c>
      <c r="K202" s="89"/>
      <c r="L202" s="89">
        <v>48</v>
      </c>
      <c r="M202" s="89"/>
      <c r="N202" s="89">
        <v>93</v>
      </c>
      <c r="O202" s="89"/>
      <c r="P202" s="89">
        <v>41</v>
      </c>
      <c r="Q202" s="89"/>
      <c r="R202" s="89">
        <v>28</v>
      </c>
      <c r="S202" s="89"/>
      <c r="T202" s="89">
        <v>38</v>
      </c>
      <c r="U202" s="89"/>
      <c r="V202" s="89"/>
      <c r="W202" s="89"/>
      <c r="X202" s="89">
        <f t="shared" ref="X202:X207" si="25">SUM(D202:T202)</f>
        <v>2188</v>
      </c>
      <c r="Y202" s="71"/>
      <c r="Z202" s="594">
        <v>2019</v>
      </c>
      <c r="AA202" s="71" t="s">
        <v>65</v>
      </c>
    </row>
    <row r="203" spans="2:28" s="321" customFormat="1" ht="12.75" hidden="1" customHeight="1">
      <c r="B203" s="68">
        <v>2019</v>
      </c>
      <c r="C203" s="605" t="s">
        <v>35</v>
      </c>
      <c r="D203" s="284">
        <v>2270</v>
      </c>
      <c r="E203" s="89"/>
      <c r="F203" s="89">
        <v>247</v>
      </c>
      <c r="G203" s="89"/>
      <c r="H203" s="89">
        <v>101</v>
      </c>
      <c r="I203" s="89"/>
      <c r="J203" s="89">
        <v>12</v>
      </c>
      <c r="K203" s="89"/>
      <c r="L203" s="89">
        <v>69</v>
      </c>
      <c r="M203" s="89"/>
      <c r="N203" s="89">
        <v>104</v>
      </c>
      <c r="O203" s="89"/>
      <c r="P203" s="89">
        <v>59</v>
      </c>
      <c r="Q203" s="89"/>
      <c r="R203" s="89">
        <v>27</v>
      </c>
      <c r="S203" s="89"/>
      <c r="T203" s="89">
        <v>26</v>
      </c>
      <c r="U203" s="89"/>
      <c r="V203" s="89"/>
      <c r="W203" s="89"/>
      <c r="X203" s="89">
        <f t="shared" si="25"/>
        <v>2915</v>
      </c>
      <c r="Y203" s="71"/>
      <c r="Z203" s="594">
        <v>2019</v>
      </c>
      <c r="AA203" s="71" t="s">
        <v>78</v>
      </c>
    </row>
    <row r="204" spans="2:28" s="321" customFormat="1" ht="12.75" hidden="1" customHeight="1">
      <c r="B204" s="68">
        <v>2019</v>
      </c>
      <c r="C204" s="605" t="s">
        <v>4</v>
      </c>
      <c r="D204" s="284">
        <v>2676</v>
      </c>
      <c r="E204" s="89"/>
      <c r="F204" s="89">
        <v>166</v>
      </c>
      <c r="G204" s="89"/>
      <c r="H204" s="89">
        <v>66</v>
      </c>
      <c r="I204" s="89"/>
      <c r="J204" s="89">
        <v>12</v>
      </c>
      <c r="K204" s="89"/>
      <c r="L204" s="89">
        <v>48</v>
      </c>
      <c r="M204" s="89"/>
      <c r="N204" s="89">
        <v>40</v>
      </c>
      <c r="O204" s="89"/>
      <c r="P204" s="89">
        <v>50</v>
      </c>
      <c r="Q204" s="89"/>
      <c r="R204" s="89">
        <v>18</v>
      </c>
      <c r="S204" s="89"/>
      <c r="T204" s="89">
        <v>20</v>
      </c>
      <c r="U204" s="89"/>
      <c r="V204" s="89"/>
      <c r="W204" s="89"/>
      <c r="X204" s="89">
        <f t="shared" si="25"/>
        <v>3096</v>
      </c>
      <c r="Y204" s="71"/>
      <c r="Z204" s="594">
        <v>2019</v>
      </c>
      <c r="AA204" s="71" t="s">
        <v>79</v>
      </c>
    </row>
    <row r="205" spans="2:28" s="321" customFormat="1" ht="12.75" hidden="1" customHeight="1">
      <c r="B205" s="68">
        <v>2019</v>
      </c>
      <c r="C205" s="605" t="s">
        <v>30</v>
      </c>
      <c r="D205" s="284">
        <v>2767</v>
      </c>
      <c r="E205" s="89"/>
      <c r="F205" s="89">
        <v>87</v>
      </c>
      <c r="G205" s="89"/>
      <c r="H205" s="89">
        <v>19</v>
      </c>
      <c r="I205" s="89"/>
      <c r="J205" s="89">
        <v>1</v>
      </c>
      <c r="K205" s="89"/>
      <c r="L205" s="89">
        <v>32</v>
      </c>
      <c r="M205" s="89"/>
      <c r="N205" s="89">
        <v>43</v>
      </c>
      <c r="O205" s="89"/>
      <c r="P205" s="89">
        <v>70</v>
      </c>
      <c r="Q205" s="89"/>
      <c r="R205" s="89">
        <v>9</v>
      </c>
      <c r="S205" s="89"/>
      <c r="T205" s="89">
        <v>12</v>
      </c>
      <c r="U205" s="89"/>
      <c r="V205" s="89"/>
      <c r="W205" s="89"/>
      <c r="X205" s="89">
        <f t="shared" si="25"/>
        <v>3040</v>
      </c>
      <c r="Y205" s="71"/>
      <c r="Z205" s="594">
        <v>2019</v>
      </c>
      <c r="AA205" s="71" t="s">
        <v>80</v>
      </c>
    </row>
    <row r="206" spans="2:28" s="321" customFormat="1" ht="12.75" hidden="1" customHeight="1">
      <c r="B206" s="68">
        <v>2019</v>
      </c>
      <c r="C206" s="605" t="s">
        <v>36</v>
      </c>
      <c r="D206" s="284">
        <v>1604</v>
      </c>
      <c r="E206" s="89"/>
      <c r="F206" s="89">
        <v>253</v>
      </c>
      <c r="G206" s="89"/>
      <c r="H206" s="89">
        <v>80</v>
      </c>
      <c r="I206" s="89"/>
      <c r="J206" s="89">
        <v>7</v>
      </c>
      <c r="K206" s="89"/>
      <c r="L206" s="89">
        <v>73</v>
      </c>
      <c r="M206" s="89"/>
      <c r="N206" s="89">
        <v>112</v>
      </c>
      <c r="O206" s="89"/>
      <c r="P206" s="89">
        <v>68</v>
      </c>
      <c r="Q206" s="89"/>
      <c r="R206" s="89">
        <v>30</v>
      </c>
      <c r="S206" s="89"/>
      <c r="T206" s="89">
        <v>37</v>
      </c>
      <c r="U206" s="89"/>
      <c r="V206" s="89"/>
      <c r="W206" s="89"/>
      <c r="X206" s="89">
        <f t="shared" si="25"/>
        <v>2264</v>
      </c>
      <c r="Y206" s="71"/>
      <c r="Z206" s="594">
        <v>2019</v>
      </c>
      <c r="AA206" s="71" t="s">
        <v>81</v>
      </c>
    </row>
    <row r="207" spans="2:28" s="321" customFormat="1" ht="12.75" hidden="1" customHeight="1">
      <c r="B207" s="744">
        <v>2019</v>
      </c>
      <c r="C207" s="605" t="s">
        <v>37</v>
      </c>
      <c r="D207" s="284">
        <v>2024</v>
      </c>
      <c r="E207" s="89"/>
      <c r="F207" s="89">
        <v>225</v>
      </c>
      <c r="G207" s="89"/>
      <c r="H207" s="89">
        <v>112</v>
      </c>
      <c r="I207" s="89"/>
      <c r="J207" s="89">
        <v>8</v>
      </c>
      <c r="K207" s="89"/>
      <c r="L207" s="89">
        <v>78</v>
      </c>
      <c r="M207" s="89"/>
      <c r="N207" s="89">
        <v>105</v>
      </c>
      <c r="O207" s="89"/>
      <c r="P207" s="89">
        <v>85</v>
      </c>
      <c r="Q207" s="89"/>
      <c r="R207" s="89">
        <v>44</v>
      </c>
      <c r="S207" s="89"/>
      <c r="T207" s="89">
        <v>25</v>
      </c>
      <c r="U207" s="89"/>
      <c r="V207" s="89"/>
      <c r="W207" s="89"/>
      <c r="X207" s="89">
        <f t="shared" si="25"/>
        <v>2706</v>
      </c>
      <c r="Y207" s="71"/>
      <c r="Z207" s="594">
        <v>2019</v>
      </c>
      <c r="AA207" s="71" t="s">
        <v>82</v>
      </c>
      <c r="AB207" s="505"/>
    </row>
    <row r="208" spans="2:28" s="321" customFormat="1" ht="12.75" hidden="1" customHeight="1">
      <c r="B208" s="744">
        <v>2019</v>
      </c>
      <c r="C208" s="605" t="s">
        <v>31</v>
      </c>
      <c r="D208" s="284">
        <v>3066</v>
      </c>
      <c r="E208" s="89"/>
      <c r="F208" s="89">
        <v>244</v>
      </c>
      <c r="G208" s="89"/>
      <c r="H208" s="89">
        <v>78</v>
      </c>
      <c r="I208" s="89"/>
      <c r="J208" s="89">
        <v>16</v>
      </c>
      <c r="K208" s="89"/>
      <c r="L208" s="89">
        <v>61</v>
      </c>
      <c r="M208" s="89"/>
      <c r="N208" s="89">
        <v>109</v>
      </c>
      <c r="O208" s="89"/>
      <c r="P208" s="89">
        <v>78</v>
      </c>
      <c r="Q208" s="89"/>
      <c r="R208" s="89">
        <v>34</v>
      </c>
      <c r="S208" s="89"/>
      <c r="T208" s="89">
        <v>42</v>
      </c>
      <c r="U208" s="89"/>
      <c r="V208" s="89"/>
      <c r="W208" s="89"/>
      <c r="X208" s="89">
        <f>SUM(D208:T208)</f>
        <v>3728</v>
      </c>
      <c r="Y208" s="71"/>
      <c r="Z208" s="594">
        <v>2019</v>
      </c>
      <c r="AA208" s="71" t="s">
        <v>347</v>
      </c>
      <c r="AB208" s="505"/>
    </row>
    <row r="209" spans="2:28" s="321" customFormat="1" ht="12.75" hidden="1" customHeight="1">
      <c r="B209" s="68">
        <v>2019</v>
      </c>
      <c r="C209" s="605" t="s">
        <v>50</v>
      </c>
      <c r="D209" s="284">
        <v>2385</v>
      </c>
      <c r="E209" s="89"/>
      <c r="F209" s="89">
        <v>244</v>
      </c>
      <c r="G209" s="89"/>
      <c r="H209" s="89">
        <v>100</v>
      </c>
      <c r="I209" s="89"/>
      <c r="J209" s="89">
        <v>17</v>
      </c>
      <c r="K209" s="89"/>
      <c r="L209" s="89">
        <v>94</v>
      </c>
      <c r="M209" s="89"/>
      <c r="N209" s="89">
        <v>132</v>
      </c>
      <c r="O209" s="89"/>
      <c r="P209" s="89">
        <v>48</v>
      </c>
      <c r="Q209" s="89"/>
      <c r="R209" s="89">
        <v>42</v>
      </c>
      <c r="S209" s="89"/>
      <c r="T209" s="89">
        <v>44</v>
      </c>
      <c r="U209" s="89"/>
      <c r="V209" s="89"/>
      <c r="W209" s="89"/>
      <c r="X209" s="89">
        <f>SUM(D209:T209)</f>
        <v>3106</v>
      </c>
      <c r="Y209" s="71"/>
      <c r="Z209" s="594">
        <v>2019</v>
      </c>
      <c r="AA209" s="71" t="s">
        <v>38</v>
      </c>
      <c r="AB209" s="505"/>
    </row>
    <row r="210" spans="2:28" s="321" customFormat="1" ht="12.75" hidden="1" customHeight="1">
      <c r="B210" s="744">
        <v>2019</v>
      </c>
      <c r="C210" s="605" t="s">
        <v>39</v>
      </c>
      <c r="D210" s="284">
        <v>2863</v>
      </c>
      <c r="E210" s="89"/>
      <c r="F210" s="89">
        <v>124</v>
      </c>
      <c r="G210" s="89"/>
      <c r="H210" s="89">
        <v>66</v>
      </c>
      <c r="I210" s="89"/>
      <c r="J210" s="89">
        <v>12</v>
      </c>
      <c r="K210" s="89"/>
      <c r="L210" s="89">
        <v>29</v>
      </c>
      <c r="M210" s="89"/>
      <c r="N210" s="89">
        <v>52</v>
      </c>
      <c r="O210" s="89"/>
      <c r="P210" s="89">
        <v>15</v>
      </c>
      <c r="Q210" s="89"/>
      <c r="R210" s="89">
        <v>16</v>
      </c>
      <c r="S210" s="89"/>
      <c r="T210" s="89">
        <v>14</v>
      </c>
      <c r="U210" s="89"/>
      <c r="V210" s="89"/>
      <c r="W210" s="89"/>
      <c r="X210" s="89">
        <f>SUM(D210:T210)</f>
        <v>3191</v>
      </c>
      <c r="Y210" s="71"/>
      <c r="Z210" s="594">
        <v>2019</v>
      </c>
      <c r="AA210" s="71" t="s">
        <v>39</v>
      </c>
      <c r="AB210" s="505"/>
    </row>
    <row r="211" spans="2:28" s="321" customFormat="1" ht="12.75" hidden="1" customHeight="1">
      <c r="B211" s="68">
        <v>2019</v>
      </c>
      <c r="C211" s="605" t="s">
        <v>349</v>
      </c>
      <c r="D211" s="284">
        <v>4097</v>
      </c>
      <c r="E211" s="89"/>
      <c r="F211" s="89">
        <v>230</v>
      </c>
      <c r="G211" s="89"/>
      <c r="H211" s="89">
        <v>55</v>
      </c>
      <c r="I211" s="89"/>
      <c r="J211" s="89">
        <v>11</v>
      </c>
      <c r="K211" s="89"/>
      <c r="L211" s="89">
        <v>71</v>
      </c>
      <c r="M211" s="89"/>
      <c r="N211" s="89">
        <v>86</v>
      </c>
      <c r="O211" s="89"/>
      <c r="P211" s="89">
        <v>58</v>
      </c>
      <c r="Q211" s="89"/>
      <c r="R211" s="89">
        <v>36</v>
      </c>
      <c r="S211" s="89"/>
      <c r="T211" s="89">
        <v>28</v>
      </c>
      <c r="U211" s="89"/>
      <c r="V211" s="89"/>
      <c r="W211" s="89"/>
      <c r="X211" s="89">
        <f>SUM(D211:T211)</f>
        <v>4672</v>
      </c>
      <c r="Y211" s="71"/>
      <c r="Z211" s="594">
        <v>2019</v>
      </c>
      <c r="AA211" s="71" t="s">
        <v>362</v>
      </c>
      <c r="AB211" s="505"/>
    </row>
    <row r="212" spans="2:28" s="10" customFormat="1" ht="12.75" hidden="1" customHeight="1">
      <c r="B212" s="68">
        <v>2020</v>
      </c>
      <c r="C212" s="605" t="s">
        <v>260</v>
      </c>
      <c r="D212" s="658">
        <v>1852</v>
      </c>
      <c r="E212" s="89"/>
      <c r="F212" s="89">
        <v>243</v>
      </c>
      <c r="G212" s="89"/>
      <c r="H212" s="89">
        <v>106</v>
      </c>
      <c r="I212" s="89"/>
      <c r="J212" s="89">
        <v>17</v>
      </c>
      <c r="K212" s="89"/>
      <c r="L212" s="89">
        <v>100</v>
      </c>
      <c r="M212" s="89"/>
      <c r="N212" s="89">
        <v>115</v>
      </c>
      <c r="O212" s="89"/>
      <c r="P212" s="89">
        <v>112</v>
      </c>
      <c r="Q212" s="89"/>
      <c r="R212" s="89">
        <v>42</v>
      </c>
      <c r="S212" s="89"/>
      <c r="T212" s="89">
        <v>40</v>
      </c>
      <c r="U212" s="308"/>
      <c r="V212" s="308"/>
      <c r="W212" s="89"/>
      <c r="X212" s="380">
        <f>SUM(D212:T212)</f>
        <v>2627</v>
      </c>
      <c r="Y212" s="71"/>
      <c r="Z212" s="594">
        <v>2020</v>
      </c>
      <c r="AA212" s="71" t="s">
        <v>260</v>
      </c>
    </row>
    <row r="213" spans="2:28" s="10" customFormat="1" ht="12.75" hidden="1" customHeight="1">
      <c r="B213" s="68">
        <v>2020</v>
      </c>
      <c r="C213" s="605" t="s">
        <v>350</v>
      </c>
      <c r="D213" s="658">
        <v>1491</v>
      </c>
      <c r="E213" s="89"/>
      <c r="F213" s="89">
        <v>202</v>
      </c>
      <c r="G213" s="89"/>
      <c r="H213" s="89">
        <v>90</v>
      </c>
      <c r="I213" s="89"/>
      <c r="J213" s="89">
        <v>16</v>
      </c>
      <c r="K213" s="89"/>
      <c r="L213" s="89">
        <v>56</v>
      </c>
      <c r="M213" s="89"/>
      <c r="N213" s="89">
        <v>71</v>
      </c>
      <c r="O213" s="89"/>
      <c r="P213" s="89">
        <v>92</v>
      </c>
      <c r="Q213" s="89"/>
      <c r="R213" s="89">
        <v>22</v>
      </c>
      <c r="S213" s="89"/>
      <c r="T213" s="89">
        <v>30</v>
      </c>
      <c r="U213" s="308"/>
      <c r="V213" s="308"/>
      <c r="W213" s="89"/>
      <c r="X213" s="380">
        <f>SUM(D213:W213)</f>
        <v>2070</v>
      </c>
      <c r="Y213" s="71"/>
      <c r="Z213" s="594">
        <v>2020</v>
      </c>
      <c r="AA213" s="71" t="s">
        <v>77</v>
      </c>
    </row>
    <row r="214" spans="2:28" s="10" customFormat="1" ht="12.75" hidden="1" customHeight="1">
      <c r="B214" s="68">
        <v>2020</v>
      </c>
      <c r="C214" s="605" t="s">
        <v>29</v>
      </c>
      <c r="D214" s="658">
        <v>857</v>
      </c>
      <c r="E214" s="89"/>
      <c r="F214" s="89">
        <v>156</v>
      </c>
      <c r="G214" s="89"/>
      <c r="H214" s="89">
        <v>53</v>
      </c>
      <c r="I214" s="89"/>
      <c r="J214" s="89">
        <v>7</v>
      </c>
      <c r="K214" s="89"/>
      <c r="L214" s="89">
        <v>45</v>
      </c>
      <c r="M214" s="89"/>
      <c r="N214" s="89">
        <v>27</v>
      </c>
      <c r="O214" s="89"/>
      <c r="P214" s="89">
        <v>41</v>
      </c>
      <c r="Q214" s="89"/>
      <c r="R214" s="89">
        <v>19</v>
      </c>
      <c r="S214" s="89"/>
      <c r="T214" s="89">
        <v>24</v>
      </c>
      <c r="U214" s="89"/>
      <c r="V214" s="89"/>
      <c r="W214" s="89"/>
      <c r="X214" s="380">
        <f>SUM(D214:T214)</f>
        <v>1229</v>
      </c>
      <c r="Y214" s="71"/>
      <c r="Z214" s="594">
        <v>2020</v>
      </c>
      <c r="AA214" s="71" t="s">
        <v>65</v>
      </c>
    </row>
    <row r="215" spans="2:28" s="10" customFormat="1" ht="12.75" hidden="1" customHeight="1">
      <c r="B215" s="68">
        <v>2020</v>
      </c>
      <c r="C215" s="605" t="s">
        <v>351</v>
      </c>
      <c r="D215" s="689">
        <v>0</v>
      </c>
      <c r="E215" s="675"/>
      <c r="F215" s="675">
        <v>0</v>
      </c>
      <c r="G215" s="675"/>
      <c r="H215" s="675">
        <v>0</v>
      </c>
      <c r="I215" s="675"/>
      <c r="J215" s="675">
        <v>0</v>
      </c>
      <c r="K215" s="675"/>
      <c r="L215" s="675">
        <v>0</v>
      </c>
      <c r="M215" s="675"/>
      <c r="N215" s="675">
        <v>0</v>
      </c>
      <c r="O215" s="675"/>
      <c r="P215" s="675">
        <v>0</v>
      </c>
      <c r="Q215" s="675"/>
      <c r="R215" s="675">
        <v>0</v>
      </c>
      <c r="S215" s="675"/>
      <c r="T215" s="675">
        <v>0</v>
      </c>
      <c r="U215" s="675"/>
      <c r="V215" s="675"/>
      <c r="W215" s="675"/>
      <c r="X215" s="676">
        <f>SUM(D215:T215)</f>
        <v>0</v>
      </c>
      <c r="Y215" s="71"/>
      <c r="Z215" s="594">
        <v>2020</v>
      </c>
      <c r="AA215" s="71" t="s">
        <v>353</v>
      </c>
    </row>
    <row r="216" spans="2:28" s="10" customFormat="1" ht="12.75" hidden="1" customHeight="1">
      <c r="B216" s="68">
        <v>2020</v>
      </c>
      <c r="C216" s="12" t="s">
        <v>4</v>
      </c>
      <c r="D216" s="729">
        <v>0</v>
      </c>
      <c r="E216" s="12"/>
      <c r="F216" s="12">
        <v>0</v>
      </c>
      <c r="G216" s="12"/>
      <c r="H216" s="12">
        <v>0</v>
      </c>
      <c r="I216" s="12"/>
      <c r="J216" s="12">
        <v>0</v>
      </c>
      <c r="K216" s="12"/>
      <c r="L216" s="12">
        <v>0</v>
      </c>
      <c r="M216" s="12"/>
      <c r="N216" s="12">
        <v>0</v>
      </c>
      <c r="O216" s="12"/>
      <c r="P216" s="12">
        <v>0</v>
      </c>
      <c r="Q216" s="12"/>
      <c r="R216" s="12">
        <v>0</v>
      </c>
      <c r="S216" s="12"/>
      <c r="T216" s="12">
        <v>0</v>
      </c>
      <c r="U216" s="671"/>
      <c r="V216" s="671"/>
      <c r="X216" s="321">
        <v>0</v>
      </c>
      <c r="Y216" s="687"/>
      <c r="Z216" s="594">
        <v>2020</v>
      </c>
      <c r="AA216" s="71" t="s">
        <v>354</v>
      </c>
    </row>
    <row r="217" spans="2:28" s="10" customFormat="1" ht="12.75" hidden="1" customHeight="1">
      <c r="B217" s="68">
        <v>2020</v>
      </c>
      <c r="C217" s="12" t="s">
        <v>352</v>
      </c>
      <c r="D217" s="729">
        <v>1403</v>
      </c>
      <c r="E217" s="12"/>
      <c r="F217" s="12">
        <v>15</v>
      </c>
      <c r="G217" s="12"/>
      <c r="H217" s="12">
        <v>7</v>
      </c>
      <c r="I217" s="12"/>
      <c r="J217" s="321">
        <v>0</v>
      </c>
      <c r="K217" s="12"/>
      <c r="L217" s="12">
        <v>22</v>
      </c>
      <c r="M217" s="12"/>
      <c r="N217" s="12">
        <v>2</v>
      </c>
      <c r="O217" s="12"/>
      <c r="P217" s="12">
        <v>11</v>
      </c>
      <c r="Q217" s="12"/>
      <c r="R217" s="321">
        <v>0</v>
      </c>
      <c r="S217" s="12"/>
      <c r="T217" s="321">
        <v>0</v>
      </c>
      <c r="U217" s="103"/>
      <c r="V217" s="103"/>
      <c r="W217" s="12"/>
      <c r="X217" s="728">
        <f>SUM(D217:T217)</f>
        <v>1460</v>
      </c>
      <c r="Y217" s="71"/>
      <c r="Z217" s="594">
        <v>2020</v>
      </c>
      <c r="AA217" s="71" t="s">
        <v>355</v>
      </c>
    </row>
    <row r="218" spans="2:28" s="10" customFormat="1" ht="12.75" hidden="1" customHeight="1">
      <c r="B218" s="68">
        <v>2020</v>
      </c>
      <c r="C218" s="12" t="s">
        <v>266</v>
      </c>
      <c r="D218" s="729">
        <v>0</v>
      </c>
      <c r="E218" s="12"/>
      <c r="F218" s="12">
        <v>0</v>
      </c>
      <c r="G218" s="12"/>
      <c r="H218" s="12">
        <v>0</v>
      </c>
      <c r="I218" s="12"/>
      <c r="J218" s="12">
        <v>0</v>
      </c>
      <c r="K218" s="12"/>
      <c r="L218" s="12">
        <v>0</v>
      </c>
      <c r="M218" s="12"/>
      <c r="N218" s="12">
        <v>0</v>
      </c>
      <c r="O218" s="12"/>
      <c r="P218" s="12">
        <v>0</v>
      </c>
      <c r="Q218" s="12"/>
      <c r="R218" s="12">
        <v>0</v>
      </c>
      <c r="S218" s="12"/>
      <c r="T218" s="12">
        <v>0</v>
      </c>
      <c r="U218" s="12"/>
      <c r="V218" s="12"/>
      <c r="W218" s="12"/>
      <c r="X218" s="728">
        <v>0</v>
      </c>
      <c r="Y218" s="71"/>
      <c r="Z218" s="594">
        <v>2020</v>
      </c>
      <c r="AA218" s="71" t="s">
        <v>264</v>
      </c>
    </row>
    <row r="219" spans="2:28" s="10" customFormat="1" ht="12.75" hidden="1" customHeight="1">
      <c r="B219" s="68">
        <v>2020</v>
      </c>
      <c r="C219" s="605" t="s">
        <v>271</v>
      </c>
      <c r="D219" s="729">
        <v>132</v>
      </c>
      <c r="E219" s="12"/>
      <c r="F219" s="12">
        <v>0</v>
      </c>
      <c r="G219" s="12"/>
      <c r="H219" s="12">
        <v>6</v>
      </c>
      <c r="I219" s="12"/>
      <c r="J219" s="12">
        <v>0</v>
      </c>
      <c r="K219" s="12"/>
      <c r="L219" s="12">
        <v>2</v>
      </c>
      <c r="M219" s="12"/>
      <c r="N219" s="12">
        <v>0</v>
      </c>
      <c r="O219" s="12"/>
      <c r="P219" s="12">
        <v>1</v>
      </c>
      <c r="Q219" s="12"/>
      <c r="R219" s="12">
        <v>0</v>
      </c>
      <c r="S219" s="12"/>
      <c r="T219" s="12">
        <v>0</v>
      </c>
      <c r="U219" s="12"/>
      <c r="V219" s="12"/>
      <c r="W219" s="12"/>
      <c r="X219" s="728">
        <f>SUM(D219:T219)</f>
        <v>141</v>
      </c>
      <c r="Y219" s="71"/>
      <c r="Z219" s="594">
        <v>2020</v>
      </c>
      <c r="AA219" s="71" t="s">
        <v>356</v>
      </c>
    </row>
    <row r="220" spans="2:28" s="10" customFormat="1" ht="12.75" hidden="1" customHeight="1">
      <c r="B220" s="68">
        <v>2020</v>
      </c>
      <c r="C220" s="605" t="s">
        <v>347</v>
      </c>
      <c r="D220" s="729">
        <v>1107</v>
      </c>
      <c r="E220" s="12"/>
      <c r="F220" s="12">
        <v>20</v>
      </c>
      <c r="G220" s="12"/>
      <c r="H220" s="12">
        <v>4</v>
      </c>
      <c r="I220" s="12"/>
      <c r="J220" s="12">
        <v>0</v>
      </c>
      <c r="K220" s="12"/>
      <c r="L220" s="12">
        <v>9</v>
      </c>
      <c r="M220" s="12"/>
      <c r="N220" s="12">
        <v>3</v>
      </c>
      <c r="O220" s="12"/>
      <c r="P220" s="12">
        <v>7</v>
      </c>
      <c r="Q220" s="12"/>
      <c r="R220" s="12">
        <v>2</v>
      </c>
      <c r="S220" s="12"/>
      <c r="T220" s="12">
        <v>4</v>
      </c>
      <c r="U220" s="12"/>
      <c r="V220" s="12"/>
      <c r="W220" s="12"/>
      <c r="X220" s="728">
        <f>SUM(D220:T220)</f>
        <v>1156</v>
      </c>
      <c r="Y220" s="71"/>
      <c r="Z220" s="594">
        <v>2020</v>
      </c>
      <c r="AA220" s="71" t="s">
        <v>347</v>
      </c>
    </row>
    <row r="221" spans="2:28" s="10" customFormat="1" ht="12.75" hidden="1" customHeight="1">
      <c r="B221" s="68">
        <v>2020</v>
      </c>
      <c r="C221" s="605" t="s">
        <v>50</v>
      </c>
      <c r="D221" s="729">
        <v>646</v>
      </c>
      <c r="E221" s="12"/>
      <c r="F221" s="12">
        <v>43</v>
      </c>
      <c r="G221" s="12"/>
      <c r="H221" s="12">
        <v>3</v>
      </c>
      <c r="I221" s="12"/>
      <c r="J221" s="12">
        <v>0</v>
      </c>
      <c r="K221" s="12"/>
      <c r="L221" s="12">
        <v>5</v>
      </c>
      <c r="M221" s="12"/>
      <c r="N221" s="12">
        <v>6</v>
      </c>
      <c r="O221" s="12"/>
      <c r="P221" s="12">
        <v>0</v>
      </c>
      <c r="Q221" s="12"/>
      <c r="R221" s="12">
        <v>0</v>
      </c>
      <c r="S221" s="12"/>
      <c r="T221" s="12">
        <v>2</v>
      </c>
      <c r="U221" s="103"/>
      <c r="V221" s="103"/>
      <c r="W221" s="12"/>
      <c r="X221" s="728">
        <f>SUM(D221:W221)</f>
        <v>705</v>
      </c>
      <c r="Y221" s="71"/>
      <c r="Z221" s="594">
        <v>2020</v>
      </c>
      <c r="AA221" s="71" t="s">
        <v>50</v>
      </c>
    </row>
    <row r="222" spans="2:28" s="10" customFormat="1" ht="12.75" hidden="1" customHeight="1">
      <c r="B222" s="68">
        <v>2020</v>
      </c>
      <c r="C222" s="605" t="s">
        <v>348</v>
      </c>
      <c r="D222" s="729">
        <v>437</v>
      </c>
      <c r="E222" s="12"/>
      <c r="F222" s="12">
        <v>17</v>
      </c>
      <c r="G222" s="12"/>
      <c r="H222" s="12">
        <v>1</v>
      </c>
      <c r="I222" s="12"/>
      <c r="J222" s="12">
        <v>0</v>
      </c>
      <c r="K222" s="12"/>
      <c r="L222" s="12">
        <v>1</v>
      </c>
      <c r="M222" s="12"/>
      <c r="N222" s="12">
        <v>49</v>
      </c>
      <c r="O222" s="12"/>
      <c r="P222" s="12">
        <v>7</v>
      </c>
      <c r="Q222" s="12"/>
      <c r="R222" s="12">
        <v>2</v>
      </c>
      <c r="S222" s="12"/>
      <c r="T222" s="12">
        <v>1</v>
      </c>
      <c r="U222" s="12"/>
      <c r="V222" s="12"/>
      <c r="W222" s="12"/>
      <c r="X222" s="728">
        <f t="shared" ref="X222:X227" si="26">SUM(D222:T222)</f>
        <v>515</v>
      </c>
      <c r="Y222" s="71"/>
      <c r="Z222" s="594">
        <v>2020</v>
      </c>
      <c r="AA222" s="71" t="s">
        <v>348</v>
      </c>
    </row>
    <row r="223" spans="2:28" s="10" customFormat="1" ht="12.75" hidden="1" customHeight="1">
      <c r="B223" s="68">
        <v>2020</v>
      </c>
      <c r="C223" s="605" t="s">
        <v>349</v>
      </c>
      <c r="D223" s="729">
        <v>449</v>
      </c>
      <c r="E223" s="12"/>
      <c r="F223" s="12">
        <v>23</v>
      </c>
      <c r="G223" s="12"/>
      <c r="H223" s="12">
        <v>15</v>
      </c>
      <c r="I223" s="12"/>
      <c r="J223" s="12">
        <v>2</v>
      </c>
      <c r="K223" s="12"/>
      <c r="L223" s="12">
        <v>3</v>
      </c>
      <c r="M223" s="12"/>
      <c r="N223" s="12">
        <v>10</v>
      </c>
      <c r="O223" s="12"/>
      <c r="P223" s="12">
        <v>2</v>
      </c>
      <c r="Q223" s="12"/>
      <c r="R223" s="12">
        <v>0</v>
      </c>
      <c r="S223" s="12"/>
      <c r="T223" s="12">
        <v>2</v>
      </c>
      <c r="U223" s="103"/>
      <c r="V223" s="103"/>
      <c r="W223" s="12"/>
      <c r="X223" s="728">
        <f t="shared" si="26"/>
        <v>506</v>
      </c>
      <c r="Y223" s="71"/>
      <c r="Z223" s="594">
        <v>2020</v>
      </c>
      <c r="AA223" s="71" t="s">
        <v>362</v>
      </c>
    </row>
    <row r="224" spans="2:28" s="10" customFormat="1" ht="12.75" hidden="1" customHeight="1">
      <c r="B224" s="68">
        <v>2021</v>
      </c>
      <c r="C224" s="605" t="s">
        <v>260</v>
      </c>
      <c r="D224" s="729">
        <v>276</v>
      </c>
      <c r="E224" s="12"/>
      <c r="F224" s="12">
        <v>34</v>
      </c>
      <c r="G224" s="12"/>
      <c r="H224" s="12">
        <v>1</v>
      </c>
      <c r="I224" s="12"/>
      <c r="J224" s="12">
        <v>0</v>
      </c>
      <c r="K224" s="12"/>
      <c r="L224" s="12">
        <v>0</v>
      </c>
      <c r="M224" s="12"/>
      <c r="N224" s="12">
        <v>9</v>
      </c>
      <c r="O224" s="12"/>
      <c r="P224" s="12">
        <v>5</v>
      </c>
      <c r="Q224" s="12"/>
      <c r="R224" s="12">
        <v>0</v>
      </c>
      <c r="S224" s="12"/>
      <c r="T224" s="12">
        <v>0</v>
      </c>
      <c r="U224" s="103"/>
      <c r="V224" s="103"/>
      <c r="W224" s="12"/>
      <c r="X224" s="728">
        <f t="shared" si="26"/>
        <v>325</v>
      </c>
      <c r="Y224" s="71"/>
      <c r="Z224" s="594">
        <v>2021</v>
      </c>
      <c r="AA224" s="71" t="s">
        <v>260</v>
      </c>
    </row>
    <row r="225" spans="2:27" s="10" customFormat="1" ht="12.75" hidden="1" customHeight="1">
      <c r="B225" s="68">
        <v>2021</v>
      </c>
      <c r="C225" s="605" t="s">
        <v>34</v>
      </c>
      <c r="D225" s="729">
        <v>122</v>
      </c>
      <c r="E225" s="12"/>
      <c r="F225" s="12">
        <v>35</v>
      </c>
      <c r="G225" s="12"/>
      <c r="H225" s="12">
        <v>11</v>
      </c>
      <c r="I225" s="12"/>
      <c r="J225" s="12">
        <v>0</v>
      </c>
      <c r="K225" s="12"/>
      <c r="L225" s="12">
        <v>9</v>
      </c>
      <c r="M225" s="12"/>
      <c r="N225" s="12">
        <v>9</v>
      </c>
      <c r="O225" s="12"/>
      <c r="P225" s="12">
        <v>15</v>
      </c>
      <c r="Q225" s="12"/>
      <c r="R225" s="12">
        <v>4</v>
      </c>
      <c r="S225" s="12"/>
      <c r="T225" s="12">
        <v>4</v>
      </c>
      <c r="U225" s="103"/>
      <c r="V225" s="103"/>
      <c r="W225" s="12"/>
      <c r="X225" s="728">
        <f t="shared" si="26"/>
        <v>209</v>
      </c>
      <c r="Y225" s="71"/>
      <c r="Z225" s="594">
        <v>2021</v>
      </c>
      <c r="AA225" s="71" t="s">
        <v>77</v>
      </c>
    </row>
    <row r="226" spans="2:27" s="10" customFormat="1" ht="12.75" hidden="1" customHeight="1">
      <c r="B226" s="68">
        <v>2021</v>
      </c>
      <c r="C226" s="605" t="s">
        <v>29</v>
      </c>
      <c r="D226" s="729">
        <v>184</v>
      </c>
      <c r="E226" s="12"/>
      <c r="F226" s="12">
        <v>34</v>
      </c>
      <c r="G226" s="12"/>
      <c r="H226" s="12">
        <v>2</v>
      </c>
      <c r="I226" s="12"/>
      <c r="J226" s="12">
        <v>0</v>
      </c>
      <c r="K226" s="12"/>
      <c r="L226" s="12">
        <v>10</v>
      </c>
      <c r="M226" s="12"/>
      <c r="N226" s="12">
        <v>17</v>
      </c>
      <c r="O226" s="12"/>
      <c r="P226" s="12">
        <v>25</v>
      </c>
      <c r="Q226" s="12"/>
      <c r="R226" s="12">
        <v>4</v>
      </c>
      <c r="S226" s="12"/>
      <c r="T226" s="12">
        <v>3</v>
      </c>
      <c r="U226" s="103"/>
      <c r="V226" s="103"/>
      <c r="W226" s="12"/>
      <c r="X226" s="728">
        <f t="shared" si="26"/>
        <v>279</v>
      </c>
      <c r="Y226" s="71"/>
      <c r="Z226" s="594">
        <v>2021</v>
      </c>
      <c r="AA226" s="71" t="s">
        <v>29</v>
      </c>
    </row>
    <row r="227" spans="2:27" s="10" customFormat="1" ht="12.75" hidden="1" customHeight="1">
      <c r="B227" s="68">
        <v>2021</v>
      </c>
      <c r="C227" s="605" t="s">
        <v>351</v>
      </c>
      <c r="D227" s="729">
        <v>193</v>
      </c>
      <c r="E227" s="12"/>
      <c r="F227" s="12">
        <v>27</v>
      </c>
      <c r="G227" s="12"/>
      <c r="H227" s="12">
        <v>8</v>
      </c>
      <c r="I227" s="12"/>
      <c r="J227" s="12">
        <v>0</v>
      </c>
      <c r="K227" s="12"/>
      <c r="L227" s="12">
        <v>9</v>
      </c>
      <c r="M227" s="12"/>
      <c r="N227" s="12">
        <v>5</v>
      </c>
      <c r="O227" s="12"/>
      <c r="P227" s="12">
        <v>2</v>
      </c>
      <c r="Q227" s="12"/>
      <c r="R227" s="12">
        <v>0</v>
      </c>
      <c r="S227" s="12"/>
      <c r="T227" s="12">
        <v>1</v>
      </c>
      <c r="U227" s="103"/>
      <c r="V227" s="103"/>
      <c r="W227" s="12"/>
      <c r="X227" s="728">
        <f t="shared" si="26"/>
        <v>245</v>
      </c>
      <c r="Y227" s="71"/>
      <c r="Z227" s="594">
        <v>2021</v>
      </c>
      <c r="AA227" s="71" t="s">
        <v>353</v>
      </c>
    </row>
    <row r="228" spans="2:27" s="10" customFormat="1" ht="12.75" hidden="1" customHeight="1">
      <c r="B228" s="68">
        <v>2021</v>
      </c>
      <c r="C228" s="605" t="s">
        <v>4</v>
      </c>
      <c r="D228" s="729">
        <v>323</v>
      </c>
      <c r="E228" s="12"/>
      <c r="F228" s="12">
        <v>12</v>
      </c>
      <c r="G228" s="12"/>
      <c r="H228" s="12">
        <v>6</v>
      </c>
      <c r="I228" s="12"/>
      <c r="J228" s="12">
        <v>0</v>
      </c>
      <c r="K228" s="12"/>
      <c r="L228" s="12">
        <v>8</v>
      </c>
      <c r="M228" s="12"/>
      <c r="N228" s="12">
        <v>3</v>
      </c>
      <c r="O228" s="12"/>
      <c r="P228" s="12">
        <v>1</v>
      </c>
      <c r="Q228" s="12"/>
      <c r="R228" s="12">
        <v>0</v>
      </c>
      <c r="S228" s="12"/>
      <c r="T228" s="12">
        <v>2</v>
      </c>
      <c r="U228" s="12"/>
      <c r="V228" s="12"/>
      <c r="W228" s="12"/>
      <c r="X228" s="728">
        <f t="shared" ref="X228:X247" si="27">SUM(D228:T228)</f>
        <v>355</v>
      </c>
      <c r="Y228" s="71"/>
      <c r="Z228" s="594">
        <v>2021</v>
      </c>
      <c r="AA228" s="71" t="s">
        <v>354</v>
      </c>
    </row>
    <row r="229" spans="2:27" s="10" customFormat="1" ht="12.75" hidden="1" customHeight="1">
      <c r="B229" s="68">
        <v>2021</v>
      </c>
      <c r="C229" s="605" t="s">
        <v>352</v>
      </c>
      <c r="D229" s="729">
        <v>223</v>
      </c>
      <c r="E229" s="12"/>
      <c r="F229" s="12">
        <v>22</v>
      </c>
      <c r="G229" s="12"/>
      <c r="H229" s="12">
        <v>3</v>
      </c>
      <c r="I229" s="12"/>
      <c r="J229" s="12">
        <v>2</v>
      </c>
      <c r="K229" s="12"/>
      <c r="L229" s="12">
        <v>4</v>
      </c>
      <c r="M229" s="12"/>
      <c r="N229" s="12">
        <v>106</v>
      </c>
      <c r="O229" s="12"/>
      <c r="P229" s="12">
        <v>9</v>
      </c>
      <c r="Q229" s="12"/>
      <c r="R229" s="12">
        <v>2</v>
      </c>
      <c r="S229" s="12"/>
      <c r="T229" s="12">
        <v>5</v>
      </c>
      <c r="U229" s="12"/>
      <c r="V229" s="12"/>
      <c r="W229" s="12"/>
      <c r="X229" s="728">
        <f t="shared" si="27"/>
        <v>376</v>
      </c>
      <c r="Y229" s="71"/>
      <c r="Z229" s="594">
        <v>2021</v>
      </c>
      <c r="AA229" s="71" t="s">
        <v>355</v>
      </c>
    </row>
    <row r="230" spans="2:27" s="10" customFormat="1" ht="12.75" hidden="1" customHeight="1">
      <c r="B230" s="68">
        <v>2021</v>
      </c>
      <c r="C230" s="605" t="s">
        <v>266</v>
      </c>
      <c r="D230" s="729">
        <v>63</v>
      </c>
      <c r="E230" s="12"/>
      <c r="F230" s="12">
        <v>21</v>
      </c>
      <c r="G230" s="12"/>
      <c r="H230" s="12">
        <v>3</v>
      </c>
      <c r="I230" s="12"/>
      <c r="J230" s="12">
        <v>0</v>
      </c>
      <c r="K230" s="12"/>
      <c r="L230" s="12">
        <v>4</v>
      </c>
      <c r="M230" s="12"/>
      <c r="N230" s="12">
        <v>1</v>
      </c>
      <c r="O230" s="12"/>
      <c r="P230" s="12">
        <v>1</v>
      </c>
      <c r="Q230" s="12"/>
      <c r="R230" s="12">
        <v>2</v>
      </c>
      <c r="S230" s="12"/>
      <c r="T230" s="12">
        <v>3</v>
      </c>
      <c r="U230" s="103"/>
      <c r="V230" s="103"/>
      <c r="W230" s="12"/>
      <c r="X230" s="728">
        <f t="shared" si="27"/>
        <v>98</v>
      </c>
      <c r="Y230" s="71"/>
      <c r="Z230" s="594">
        <v>2021</v>
      </c>
      <c r="AA230" s="71" t="s">
        <v>264</v>
      </c>
    </row>
    <row r="231" spans="2:27" s="10" customFormat="1" ht="12.75" hidden="1" customHeight="1">
      <c r="B231" s="68">
        <v>2021</v>
      </c>
      <c r="C231" s="605" t="s">
        <v>271</v>
      </c>
      <c r="D231" s="729">
        <v>152</v>
      </c>
      <c r="E231" s="12"/>
      <c r="F231" s="12">
        <v>46</v>
      </c>
      <c r="G231" s="12"/>
      <c r="H231" s="12">
        <v>12</v>
      </c>
      <c r="I231" s="12"/>
      <c r="J231" s="12">
        <v>2</v>
      </c>
      <c r="K231" s="12"/>
      <c r="L231" s="12">
        <v>10</v>
      </c>
      <c r="M231" s="12"/>
      <c r="N231" s="12">
        <v>12</v>
      </c>
      <c r="O231" s="12"/>
      <c r="P231" s="12">
        <v>1</v>
      </c>
      <c r="Q231" s="12"/>
      <c r="R231" s="12">
        <v>1</v>
      </c>
      <c r="S231" s="12"/>
      <c r="T231" s="12">
        <v>8</v>
      </c>
      <c r="U231" s="103"/>
      <c r="V231" s="103"/>
      <c r="W231" s="12"/>
      <c r="X231" s="728">
        <f t="shared" si="27"/>
        <v>244</v>
      </c>
      <c r="Y231" s="71"/>
      <c r="Z231" s="594">
        <v>2021</v>
      </c>
      <c r="AA231" s="71" t="s">
        <v>356</v>
      </c>
    </row>
    <row r="232" spans="2:27" s="10" customFormat="1" ht="12.75" hidden="1" customHeight="1">
      <c r="B232" s="68">
        <v>2021</v>
      </c>
      <c r="C232" s="605" t="s">
        <v>347</v>
      </c>
      <c r="D232" s="729">
        <v>6</v>
      </c>
      <c r="E232" s="12"/>
      <c r="F232" s="12">
        <v>1</v>
      </c>
      <c r="G232" s="12"/>
      <c r="H232" s="12">
        <v>0</v>
      </c>
      <c r="I232" s="12"/>
      <c r="J232" s="12">
        <v>0</v>
      </c>
      <c r="K232" s="12"/>
      <c r="L232" s="12">
        <v>0</v>
      </c>
      <c r="M232" s="12"/>
      <c r="N232" s="12">
        <v>37</v>
      </c>
      <c r="O232" s="12"/>
      <c r="P232" s="12">
        <v>0</v>
      </c>
      <c r="Q232" s="12"/>
      <c r="R232" s="12">
        <v>0</v>
      </c>
      <c r="S232" s="12"/>
      <c r="T232" s="12">
        <v>0</v>
      </c>
      <c r="U232" s="12"/>
      <c r="V232" s="12"/>
      <c r="W232" s="12"/>
      <c r="X232" s="728">
        <f t="shared" si="27"/>
        <v>44</v>
      </c>
      <c r="Y232" s="71"/>
      <c r="Z232" s="594">
        <v>2021</v>
      </c>
      <c r="AA232" s="71" t="s">
        <v>347</v>
      </c>
    </row>
    <row r="233" spans="2:27" s="10" customFormat="1" ht="12.75" hidden="1" customHeight="1">
      <c r="B233" s="68">
        <v>2021</v>
      </c>
      <c r="C233" s="107" t="s">
        <v>50</v>
      </c>
      <c r="D233" s="728">
        <v>206</v>
      </c>
      <c r="E233" s="12"/>
      <c r="F233" s="12">
        <v>88</v>
      </c>
      <c r="G233" s="12"/>
      <c r="H233" s="12">
        <v>4</v>
      </c>
      <c r="I233" s="12"/>
      <c r="J233" s="12">
        <v>2</v>
      </c>
      <c r="K233" s="12"/>
      <c r="L233" s="12">
        <v>10</v>
      </c>
      <c r="M233" s="12"/>
      <c r="N233" s="12">
        <v>6</v>
      </c>
      <c r="O233" s="12"/>
      <c r="P233" s="12">
        <v>0</v>
      </c>
      <c r="Q233" s="12"/>
      <c r="R233" s="12">
        <v>0</v>
      </c>
      <c r="S233" s="12"/>
      <c r="T233" s="12">
        <v>3</v>
      </c>
      <c r="U233" s="12"/>
      <c r="V233" s="12"/>
      <c r="W233" s="12"/>
      <c r="X233" s="728">
        <f t="shared" si="27"/>
        <v>319</v>
      </c>
      <c r="Y233" s="71"/>
      <c r="Z233" s="594">
        <v>2021</v>
      </c>
      <c r="AA233" s="71" t="s">
        <v>50</v>
      </c>
    </row>
    <row r="234" spans="2:27" s="10" customFormat="1" ht="12.75" hidden="1" customHeight="1">
      <c r="B234" s="68">
        <v>2021</v>
      </c>
      <c r="C234" s="107" t="s">
        <v>348</v>
      </c>
      <c r="D234" s="728">
        <v>597</v>
      </c>
      <c r="E234" s="12"/>
      <c r="F234" s="12">
        <v>19</v>
      </c>
      <c r="G234" s="12"/>
      <c r="H234" s="12">
        <v>8</v>
      </c>
      <c r="I234" s="12"/>
      <c r="J234" s="12">
        <v>2</v>
      </c>
      <c r="K234" s="12"/>
      <c r="L234" s="12">
        <v>1</v>
      </c>
      <c r="M234" s="12"/>
      <c r="N234" s="12">
        <v>4</v>
      </c>
      <c r="O234" s="12"/>
      <c r="P234" s="12">
        <v>3</v>
      </c>
      <c r="Q234" s="12"/>
      <c r="R234" s="12">
        <v>4</v>
      </c>
      <c r="S234" s="12"/>
      <c r="T234" s="12">
        <v>10</v>
      </c>
      <c r="U234" s="12"/>
      <c r="V234" s="12"/>
      <c r="W234" s="12"/>
      <c r="X234" s="728">
        <f t="shared" si="27"/>
        <v>648</v>
      </c>
      <c r="Y234" s="12"/>
      <c r="Z234" s="776">
        <v>2021</v>
      </c>
      <c r="AA234" s="71" t="s">
        <v>348</v>
      </c>
    </row>
    <row r="235" spans="2:27" s="10" customFormat="1" ht="12.75" hidden="1" customHeight="1">
      <c r="B235" s="68">
        <v>2021</v>
      </c>
      <c r="C235" s="605" t="s">
        <v>349</v>
      </c>
      <c r="D235" s="729">
        <v>314</v>
      </c>
      <c r="E235" s="12"/>
      <c r="F235" s="12">
        <v>4</v>
      </c>
      <c r="G235" s="12"/>
      <c r="H235" s="12">
        <v>5</v>
      </c>
      <c r="I235" s="12"/>
      <c r="J235" s="12">
        <v>2</v>
      </c>
      <c r="K235" s="12"/>
      <c r="L235" s="12">
        <v>14</v>
      </c>
      <c r="M235" s="12"/>
      <c r="N235" s="12">
        <v>1</v>
      </c>
      <c r="O235" s="12"/>
      <c r="P235" s="12">
        <v>5</v>
      </c>
      <c r="Q235" s="12"/>
      <c r="R235" s="12">
        <v>0</v>
      </c>
      <c r="S235" s="12"/>
      <c r="T235" s="12">
        <v>8</v>
      </c>
      <c r="U235" s="12"/>
      <c r="V235" s="12"/>
      <c r="W235" s="12"/>
      <c r="X235" s="728">
        <f t="shared" si="27"/>
        <v>353</v>
      </c>
      <c r="Y235" s="12"/>
      <c r="Z235" s="776">
        <v>2021</v>
      </c>
      <c r="AA235" s="71" t="s">
        <v>362</v>
      </c>
    </row>
    <row r="236" spans="2:27" s="10" customFormat="1" ht="12.75" hidden="1" customHeight="1">
      <c r="B236" s="68">
        <v>2022</v>
      </c>
      <c r="C236" s="605" t="s">
        <v>260</v>
      </c>
      <c r="D236" s="729">
        <v>0</v>
      </c>
      <c r="E236" s="12"/>
      <c r="F236" s="12">
        <v>0</v>
      </c>
      <c r="G236" s="12"/>
      <c r="H236" s="12">
        <v>0</v>
      </c>
      <c r="I236" s="12"/>
      <c r="J236" s="12">
        <v>0</v>
      </c>
      <c r="K236" s="12"/>
      <c r="L236" s="12">
        <v>0</v>
      </c>
      <c r="M236" s="12"/>
      <c r="N236" s="12">
        <v>0</v>
      </c>
      <c r="O236" s="12"/>
      <c r="P236" s="12">
        <v>0</v>
      </c>
      <c r="Q236" s="12"/>
      <c r="R236" s="12">
        <v>0</v>
      </c>
      <c r="S236" s="12"/>
      <c r="T236" s="12">
        <v>0</v>
      </c>
      <c r="U236" s="12"/>
      <c r="V236" s="12"/>
      <c r="W236" s="12"/>
      <c r="X236" s="728">
        <f t="shared" si="27"/>
        <v>0</v>
      </c>
      <c r="Y236" s="12"/>
      <c r="Z236" s="776">
        <v>2022</v>
      </c>
      <c r="AA236" s="71" t="s">
        <v>260</v>
      </c>
    </row>
    <row r="237" spans="2:27" s="10" customFormat="1" ht="12.75" hidden="1" customHeight="1">
      <c r="B237" s="68">
        <v>2022</v>
      </c>
      <c r="C237" s="605" t="s">
        <v>350</v>
      </c>
      <c r="D237" s="729">
        <v>0</v>
      </c>
      <c r="E237" s="12"/>
      <c r="F237" s="12">
        <v>321</v>
      </c>
      <c r="G237" s="12"/>
      <c r="H237" s="12">
        <v>12</v>
      </c>
      <c r="I237" s="12"/>
      <c r="J237" s="12">
        <v>8</v>
      </c>
      <c r="K237" s="12"/>
      <c r="L237" s="12">
        <v>3</v>
      </c>
      <c r="M237" s="12"/>
      <c r="N237" s="12">
        <v>7</v>
      </c>
      <c r="O237" s="12"/>
      <c r="P237" s="12">
        <v>10</v>
      </c>
      <c r="Q237" s="12"/>
      <c r="R237" s="12">
        <v>4</v>
      </c>
      <c r="S237" s="12"/>
      <c r="T237" s="12">
        <v>4</v>
      </c>
      <c r="U237" s="12"/>
      <c r="V237" s="12"/>
      <c r="W237" s="12"/>
      <c r="X237" s="728">
        <f t="shared" si="27"/>
        <v>369</v>
      </c>
      <c r="Y237" s="12"/>
      <c r="Z237" s="776">
        <v>2022</v>
      </c>
      <c r="AA237" s="71" t="s">
        <v>77</v>
      </c>
    </row>
    <row r="238" spans="2:27" s="10" customFormat="1" ht="12.75" hidden="1" customHeight="1">
      <c r="B238" s="68">
        <v>2022</v>
      </c>
      <c r="C238" s="605" t="s">
        <v>29</v>
      </c>
      <c r="D238" s="729">
        <v>0</v>
      </c>
      <c r="E238" s="12"/>
      <c r="F238" s="12">
        <v>9</v>
      </c>
      <c r="G238" s="12"/>
      <c r="H238" s="12">
        <v>6</v>
      </c>
      <c r="I238" s="12"/>
      <c r="J238" s="12">
        <v>0</v>
      </c>
      <c r="K238" s="12"/>
      <c r="L238" s="12">
        <v>0</v>
      </c>
      <c r="M238" s="12"/>
      <c r="N238" s="12">
        <v>1</v>
      </c>
      <c r="O238" s="12"/>
      <c r="P238" s="12">
        <v>0</v>
      </c>
      <c r="Q238" s="12"/>
      <c r="R238" s="12">
        <v>0</v>
      </c>
      <c r="S238" s="12"/>
      <c r="T238" s="12">
        <v>0</v>
      </c>
      <c r="U238" s="12"/>
      <c r="V238" s="12"/>
      <c r="W238" s="12"/>
      <c r="X238" s="728">
        <f t="shared" si="27"/>
        <v>16</v>
      </c>
      <c r="Y238" s="12"/>
      <c r="Z238" s="776">
        <v>2022</v>
      </c>
      <c r="AA238" s="71" t="s">
        <v>29</v>
      </c>
    </row>
    <row r="239" spans="2:27" s="10" customFormat="1" ht="12.75" customHeight="1">
      <c r="B239" s="68">
        <v>2022</v>
      </c>
      <c r="C239" s="605" t="s">
        <v>35</v>
      </c>
      <c r="D239" s="729">
        <v>54</v>
      </c>
      <c r="E239" s="12"/>
      <c r="F239" s="12">
        <v>11</v>
      </c>
      <c r="G239" s="12"/>
      <c r="H239" s="12">
        <v>0</v>
      </c>
      <c r="I239" s="12"/>
      <c r="J239" s="12">
        <v>0</v>
      </c>
      <c r="K239" s="12"/>
      <c r="L239" s="12">
        <v>0</v>
      </c>
      <c r="M239" s="12"/>
      <c r="N239" s="12">
        <v>0</v>
      </c>
      <c r="O239" s="12"/>
      <c r="P239" s="12">
        <v>0</v>
      </c>
      <c r="Q239" s="12"/>
      <c r="R239" s="12">
        <v>0</v>
      </c>
      <c r="S239" s="12"/>
      <c r="T239" s="12">
        <v>0</v>
      </c>
      <c r="U239" s="12"/>
      <c r="V239" s="12"/>
      <c r="W239" s="12"/>
      <c r="X239" s="728">
        <f t="shared" si="27"/>
        <v>65</v>
      </c>
      <c r="Y239" s="12"/>
      <c r="Z239" s="776">
        <v>2022</v>
      </c>
      <c r="AA239" s="71" t="s">
        <v>78</v>
      </c>
    </row>
    <row r="240" spans="2:27" s="10" customFormat="1" ht="12.75" hidden="1" customHeight="1">
      <c r="B240" s="68">
        <v>2022</v>
      </c>
      <c r="C240" s="605" t="s">
        <v>4</v>
      </c>
      <c r="D240" s="729">
        <v>876</v>
      </c>
      <c r="E240" s="12"/>
      <c r="F240" s="12">
        <v>95</v>
      </c>
      <c r="G240" s="12"/>
      <c r="H240" s="12">
        <v>4</v>
      </c>
      <c r="I240" s="12"/>
      <c r="J240" s="12">
        <v>9</v>
      </c>
      <c r="K240" s="12"/>
      <c r="L240" s="12">
        <v>9</v>
      </c>
      <c r="M240" s="12"/>
      <c r="N240" s="12">
        <v>32</v>
      </c>
      <c r="O240" s="12"/>
      <c r="P240" s="12">
        <v>10</v>
      </c>
      <c r="Q240" s="12"/>
      <c r="R240" s="12">
        <v>12</v>
      </c>
      <c r="S240" s="12"/>
      <c r="T240" s="12">
        <v>9</v>
      </c>
      <c r="U240" s="12"/>
      <c r="V240" s="12"/>
      <c r="W240" s="12"/>
      <c r="X240" s="728">
        <f t="shared" si="27"/>
        <v>1056</v>
      </c>
      <c r="Y240" s="12"/>
      <c r="Z240" s="776">
        <v>2022</v>
      </c>
      <c r="AA240" s="71" t="s">
        <v>79</v>
      </c>
    </row>
    <row r="241" spans="2:27" s="10" customFormat="1" ht="12.75" hidden="1" customHeight="1">
      <c r="B241" s="68">
        <v>2022</v>
      </c>
      <c r="C241" s="605" t="s">
        <v>30</v>
      </c>
      <c r="D241" s="729">
        <v>756</v>
      </c>
      <c r="E241" s="12"/>
      <c r="F241" s="12">
        <v>80</v>
      </c>
      <c r="G241" s="12"/>
      <c r="H241" s="12">
        <v>14</v>
      </c>
      <c r="I241" s="12"/>
      <c r="J241" s="12">
        <v>3</v>
      </c>
      <c r="K241" s="12"/>
      <c r="L241" s="12">
        <v>9</v>
      </c>
      <c r="M241" s="12"/>
      <c r="N241" s="12">
        <v>63</v>
      </c>
      <c r="O241" s="12"/>
      <c r="P241" s="12">
        <v>15</v>
      </c>
      <c r="Q241" s="12"/>
      <c r="R241" s="12">
        <v>2</v>
      </c>
      <c r="S241" s="12"/>
      <c r="T241" s="12">
        <v>8</v>
      </c>
      <c r="U241" s="12"/>
      <c r="V241" s="12"/>
      <c r="W241" s="12"/>
      <c r="X241" s="728">
        <f t="shared" si="27"/>
        <v>950</v>
      </c>
      <c r="Y241" s="12"/>
      <c r="Z241" s="776">
        <v>2022</v>
      </c>
      <c r="AA241" s="71" t="s">
        <v>80</v>
      </c>
    </row>
    <row r="242" spans="2:27" s="10" customFormat="1" ht="12.75" hidden="1" customHeight="1">
      <c r="B242" s="68">
        <v>2022</v>
      </c>
      <c r="C242" s="107" t="s">
        <v>266</v>
      </c>
      <c r="D242" s="728">
        <v>2589</v>
      </c>
      <c r="E242" s="12"/>
      <c r="F242" s="12">
        <v>343</v>
      </c>
      <c r="G242" s="12"/>
      <c r="H242" s="12">
        <v>85</v>
      </c>
      <c r="I242" s="12"/>
      <c r="J242" s="12">
        <v>13</v>
      </c>
      <c r="K242" s="12"/>
      <c r="L242" s="12">
        <v>91</v>
      </c>
      <c r="M242" s="12"/>
      <c r="N242" s="12">
        <v>100</v>
      </c>
      <c r="O242" s="12"/>
      <c r="P242" s="12">
        <v>57</v>
      </c>
      <c r="Q242" s="12"/>
      <c r="R242" s="12">
        <v>30</v>
      </c>
      <c r="S242" s="12"/>
      <c r="T242" s="12">
        <v>34</v>
      </c>
      <c r="U242" s="12"/>
      <c r="V242" s="12"/>
      <c r="W242" s="12"/>
      <c r="X242" s="728">
        <f t="shared" si="27"/>
        <v>3342</v>
      </c>
      <c r="Y242" s="71"/>
      <c r="Z242" s="776">
        <v>2022</v>
      </c>
      <c r="AA242" s="71" t="s">
        <v>264</v>
      </c>
    </row>
    <row r="243" spans="2:27" s="10" customFormat="1" ht="12.75" hidden="1" customHeight="1">
      <c r="B243" s="68">
        <v>2022</v>
      </c>
      <c r="C243" s="107" t="s">
        <v>271</v>
      </c>
      <c r="D243" s="728">
        <v>2187</v>
      </c>
      <c r="E243" s="12"/>
      <c r="F243" s="12">
        <v>56</v>
      </c>
      <c r="G243" s="12"/>
      <c r="H243" s="12">
        <v>16</v>
      </c>
      <c r="I243" s="12"/>
      <c r="J243" s="12">
        <v>6</v>
      </c>
      <c r="K243" s="12"/>
      <c r="L243" s="12">
        <v>9</v>
      </c>
      <c r="M243" s="12"/>
      <c r="N243" s="12">
        <v>31</v>
      </c>
      <c r="O243" s="12"/>
      <c r="P243" s="12">
        <v>68</v>
      </c>
      <c r="Q243" s="12"/>
      <c r="R243" s="12">
        <v>9</v>
      </c>
      <c r="S243" s="12"/>
      <c r="T243" s="12">
        <v>8</v>
      </c>
      <c r="U243" s="12"/>
      <c r="V243" s="12"/>
      <c r="W243" s="12"/>
      <c r="X243" s="728">
        <f t="shared" si="27"/>
        <v>2390</v>
      </c>
      <c r="Y243" s="71"/>
      <c r="Z243" s="594">
        <v>2022</v>
      </c>
      <c r="AA243" s="71" t="s">
        <v>356</v>
      </c>
    </row>
    <row r="244" spans="2:27" s="10" customFormat="1" ht="12.75" hidden="1" customHeight="1">
      <c r="B244" s="68">
        <v>2022</v>
      </c>
      <c r="C244" s="107" t="s">
        <v>31</v>
      </c>
      <c r="D244" s="728">
        <v>2139</v>
      </c>
      <c r="E244" s="12"/>
      <c r="F244" s="12">
        <v>116</v>
      </c>
      <c r="G244" s="12"/>
      <c r="H244" s="12">
        <v>50</v>
      </c>
      <c r="I244" s="12"/>
      <c r="J244" s="12">
        <v>12</v>
      </c>
      <c r="K244" s="12"/>
      <c r="L244" s="12">
        <v>46</v>
      </c>
      <c r="M244" s="12"/>
      <c r="N244" s="12">
        <v>92</v>
      </c>
      <c r="O244" s="12"/>
      <c r="P244" s="12">
        <v>49</v>
      </c>
      <c r="Q244" s="12"/>
      <c r="R244" s="12">
        <v>20</v>
      </c>
      <c r="S244" s="12"/>
      <c r="T244" s="12">
        <v>22</v>
      </c>
      <c r="U244" s="12"/>
      <c r="V244" s="12"/>
      <c r="W244" s="12"/>
      <c r="X244" s="728">
        <f t="shared" si="27"/>
        <v>2546</v>
      </c>
      <c r="Y244" s="71"/>
      <c r="Z244" s="594">
        <v>2022</v>
      </c>
      <c r="AA244" s="71" t="s">
        <v>31</v>
      </c>
    </row>
    <row r="245" spans="2:27" s="10" customFormat="1" ht="12.75" hidden="1" customHeight="1">
      <c r="B245" s="68">
        <v>2022</v>
      </c>
      <c r="C245" s="775" t="s">
        <v>50</v>
      </c>
      <c r="D245" s="728">
        <v>1557</v>
      </c>
      <c r="E245" s="12"/>
      <c r="F245" s="728">
        <v>138</v>
      </c>
      <c r="G245" s="12"/>
      <c r="H245" s="728">
        <v>63</v>
      </c>
      <c r="I245" s="12"/>
      <c r="J245" s="728">
        <v>4</v>
      </c>
      <c r="K245" s="12"/>
      <c r="L245" s="728">
        <v>36</v>
      </c>
      <c r="M245" s="12"/>
      <c r="N245" s="728">
        <v>52</v>
      </c>
      <c r="O245" s="12"/>
      <c r="P245" s="728">
        <v>58</v>
      </c>
      <c r="Q245" s="12"/>
      <c r="R245" s="728">
        <v>22</v>
      </c>
      <c r="S245" s="844"/>
      <c r="T245" s="728">
        <v>24</v>
      </c>
      <c r="U245" s="844"/>
      <c r="V245" s="844"/>
      <c r="W245" s="844"/>
      <c r="X245" s="728">
        <f t="shared" si="27"/>
        <v>1954</v>
      </c>
      <c r="Y245" s="12"/>
      <c r="Z245" s="776">
        <v>2022</v>
      </c>
      <c r="AA245" s="71" t="s">
        <v>50</v>
      </c>
    </row>
    <row r="246" spans="2:27" s="10" customFormat="1" ht="12.75" hidden="1" customHeight="1">
      <c r="B246" s="68">
        <v>2022</v>
      </c>
      <c r="C246" s="775" t="s">
        <v>348</v>
      </c>
      <c r="D246" s="728">
        <v>1958</v>
      </c>
      <c r="E246" s="12"/>
      <c r="F246" s="728">
        <v>166</v>
      </c>
      <c r="G246" s="12"/>
      <c r="H246" s="728">
        <v>79</v>
      </c>
      <c r="I246" s="12"/>
      <c r="J246" s="728">
        <v>14</v>
      </c>
      <c r="K246" s="12"/>
      <c r="L246" s="728">
        <v>49</v>
      </c>
      <c r="M246" s="12"/>
      <c r="N246" s="728">
        <v>91</v>
      </c>
      <c r="O246" s="12"/>
      <c r="P246" s="728">
        <v>50</v>
      </c>
      <c r="Q246" s="12"/>
      <c r="R246" s="728">
        <v>23</v>
      </c>
      <c r="S246" s="12"/>
      <c r="T246" s="728">
        <v>14</v>
      </c>
      <c r="U246" s="844"/>
      <c r="V246" s="844"/>
      <c r="W246" s="844"/>
      <c r="X246" s="728">
        <f t="shared" si="27"/>
        <v>2444</v>
      </c>
      <c r="Y246" s="12"/>
      <c r="Z246" s="776">
        <v>2022</v>
      </c>
      <c r="AA246" s="71" t="s">
        <v>348</v>
      </c>
    </row>
    <row r="247" spans="2:27" s="10" customFormat="1" ht="12.75" hidden="1" customHeight="1">
      <c r="B247" s="68">
        <v>2022</v>
      </c>
      <c r="C247" s="775" t="s">
        <v>349</v>
      </c>
      <c r="D247" s="728">
        <v>2896</v>
      </c>
      <c r="E247" s="12"/>
      <c r="F247" s="728">
        <v>166</v>
      </c>
      <c r="G247" s="12"/>
      <c r="H247" s="728">
        <v>52</v>
      </c>
      <c r="I247" s="12"/>
      <c r="J247" s="728">
        <v>20</v>
      </c>
      <c r="K247" s="12"/>
      <c r="L247" s="728">
        <v>45</v>
      </c>
      <c r="M247" s="12"/>
      <c r="N247" s="728">
        <v>93</v>
      </c>
      <c r="O247" s="12"/>
      <c r="P247" s="728">
        <v>75</v>
      </c>
      <c r="Q247" s="12"/>
      <c r="R247" s="728">
        <v>30</v>
      </c>
      <c r="S247" s="12"/>
      <c r="T247" s="728">
        <v>32</v>
      </c>
      <c r="U247" s="844"/>
      <c r="V247" s="844"/>
      <c r="W247" s="844"/>
      <c r="X247" s="89">
        <f t="shared" si="27"/>
        <v>3409</v>
      </c>
      <c r="Y247" s="71"/>
      <c r="Z247" s="776">
        <v>2022</v>
      </c>
      <c r="AA247" s="71" t="s">
        <v>362</v>
      </c>
    </row>
    <row r="248" spans="2:27" s="10" customFormat="1" ht="12.75" hidden="1" customHeight="1">
      <c r="B248" s="68">
        <v>2023</v>
      </c>
      <c r="C248" s="775" t="s">
        <v>33</v>
      </c>
      <c r="D248" s="729">
        <v>1484</v>
      </c>
      <c r="E248" s="12"/>
      <c r="F248" s="12">
        <v>87</v>
      </c>
      <c r="G248" s="12"/>
      <c r="H248" s="12">
        <v>25</v>
      </c>
      <c r="I248" s="12"/>
      <c r="J248" s="12">
        <v>2</v>
      </c>
      <c r="K248" s="12"/>
      <c r="L248" s="12">
        <v>24</v>
      </c>
      <c r="M248" s="12"/>
      <c r="N248" s="12">
        <v>37</v>
      </c>
      <c r="O248" s="12"/>
      <c r="P248" s="12">
        <v>33</v>
      </c>
      <c r="Q248" s="12"/>
      <c r="R248" s="12">
        <v>7</v>
      </c>
      <c r="S248" s="12"/>
      <c r="T248" s="12">
        <v>4</v>
      </c>
      <c r="U248" s="12"/>
      <c r="V248" s="12"/>
      <c r="W248" s="12"/>
      <c r="X248" s="728">
        <f>SUM(D248:T248)</f>
        <v>1703</v>
      </c>
      <c r="Y248" s="71"/>
      <c r="Z248" s="776">
        <v>2023</v>
      </c>
      <c r="AA248" s="71" t="s">
        <v>33</v>
      </c>
    </row>
    <row r="249" spans="2:27" s="10" customFormat="1" ht="12.75" hidden="1" customHeight="1">
      <c r="B249" s="68">
        <v>2023</v>
      </c>
      <c r="C249" s="605" t="s">
        <v>34</v>
      </c>
      <c r="D249" s="729">
        <v>1446</v>
      </c>
      <c r="E249" s="12" t="s">
        <v>41</v>
      </c>
      <c r="F249" s="12">
        <v>53</v>
      </c>
      <c r="G249" s="12" t="s">
        <v>41</v>
      </c>
      <c r="H249" s="12">
        <v>30</v>
      </c>
      <c r="I249" s="12" t="s">
        <v>41</v>
      </c>
      <c r="J249" s="12">
        <v>5</v>
      </c>
      <c r="K249" s="12" t="s">
        <v>41</v>
      </c>
      <c r="L249" s="12">
        <v>16</v>
      </c>
      <c r="M249" s="12" t="s">
        <v>41</v>
      </c>
      <c r="N249" s="12">
        <v>31</v>
      </c>
      <c r="O249" s="12" t="s">
        <v>41</v>
      </c>
      <c r="P249" s="12">
        <v>32</v>
      </c>
      <c r="Q249" s="12" t="s">
        <v>41</v>
      </c>
      <c r="R249" s="12">
        <v>5</v>
      </c>
      <c r="S249" s="12" t="s">
        <v>41</v>
      </c>
      <c r="T249" s="12">
        <v>17</v>
      </c>
      <c r="U249" s="12"/>
      <c r="V249" s="12"/>
      <c r="W249" s="12" t="s">
        <v>41</v>
      </c>
      <c r="X249" s="728">
        <f>SUM(D249:T249)</f>
        <v>1635</v>
      </c>
      <c r="Y249" s="12" t="s">
        <v>41</v>
      </c>
      <c r="Z249" s="776">
        <v>2023</v>
      </c>
      <c r="AA249" s="71" t="s">
        <v>77</v>
      </c>
    </row>
    <row r="250" spans="2:27" s="10" customFormat="1" ht="12.75" hidden="1" customHeight="1">
      <c r="B250" s="68">
        <v>2023</v>
      </c>
      <c r="C250" s="107" t="s">
        <v>29</v>
      </c>
      <c r="D250" s="728">
        <v>172</v>
      </c>
      <c r="E250" s="12"/>
      <c r="F250" s="728">
        <v>21</v>
      </c>
      <c r="G250" s="12"/>
      <c r="H250" s="728">
        <v>13</v>
      </c>
      <c r="I250" s="12"/>
      <c r="J250" s="728">
        <v>1</v>
      </c>
      <c r="K250" s="12"/>
      <c r="L250" s="728">
        <v>5</v>
      </c>
      <c r="M250" s="12"/>
      <c r="N250" s="728">
        <v>15</v>
      </c>
      <c r="O250" s="12"/>
      <c r="P250" s="728">
        <v>4</v>
      </c>
      <c r="Q250" s="12"/>
      <c r="R250" s="728">
        <v>4</v>
      </c>
      <c r="S250" s="12"/>
      <c r="T250" s="728">
        <v>4</v>
      </c>
      <c r="U250" s="12"/>
      <c r="V250" s="12"/>
      <c r="W250" s="12"/>
      <c r="X250" s="728">
        <f>SUM(D250:T250)</f>
        <v>239</v>
      </c>
      <c r="Y250" s="71"/>
      <c r="Z250" s="776">
        <v>2023</v>
      </c>
      <c r="AA250" s="71" t="s">
        <v>29</v>
      </c>
    </row>
    <row r="251" spans="2:27" s="10" customFormat="1" ht="12.75" customHeight="1">
      <c r="B251" s="68">
        <v>2023</v>
      </c>
      <c r="C251" s="107" t="s">
        <v>35</v>
      </c>
      <c r="D251" s="728">
        <v>2345</v>
      </c>
      <c r="E251" s="12"/>
      <c r="F251" s="12">
        <v>102</v>
      </c>
      <c r="G251" s="12"/>
      <c r="H251" s="12">
        <v>19</v>
      </c>
      <c r="I251" s="12"/>
      <c r="J251" s="12">
        <v>3</v>
      </c>
      <c r="K251" s="12"/>
      <c r="L251" s="12">
        <v>25</v>
      </c>
      <c r="M251" s="12"/>
      <c r="N251" s="12">
        <v>82</v>
      </c>
      <c r="O251" s="12"/>
      <c r="P251" s="12">
        <v>24</v>
      </c>
      <c r="Q251" s="12"/>
      <c r="R251" s="12">
        <v>10</v>
      </c>
      <c r="S251" s="12"/>
      <c r="T251" s="12">
        <v>8</v>
      </c>
      <c r="U251" s="12"/>
      <c r="V251" s="12"/>
      <c r="W251" s="12"/>
      <c r="X251" s="728">
        <f t="shared" ref="X251:X287" si="28">SUM(D251:T251)</f>
        <v>2618</v>
      </c>
      <c r="Y251" s="71"/>
      <c r="Z251" s="776">
        <v>2023</v>
      </c>
      <c r="AA251" s="71" t="s">
        <v>78</v>
      </c>
    </row>
    <row r="252" spans="2:27" s="10" customFormat="1" ht="12.75" hidden="1" customHeight="1">
      <c r="B252" s="68">
        <v>2023</v>
      </c>
      <c r="C252" s="107" t="s">
        <v>4</v>
      </c>
      <c r="D252" s="728">
        <v>3776</v>
      </c>
      <c r="E252" s="12"/>
      <c r="F252" s="12">
        <v>127</v>
      </c>
      <c r="G252" s="12"/>
      <c r="H252" s="12">
        <v>46</v>
      </c>
      <c r="I252" s="12"/>
      <c r="J252" s="12">
        <v>8</v>
      </c>
      <c r="K252" s="12"/>
      <c r="L252" s="12">
        <v>36</v>
      </c>
      <c r="M252" s="12"/>
      <c r="N252" s="12">
        <v>115</v>
      </c>
      <c r="O252" s="12"/>
      <c r="P252" s="12">
        <v>28</v>
      </c>
      <c r="Q252" s="12"/>
      <c r="R252" s="12">
        <v>9</v>
      </c>
      <c r="S252" s="12"/>
      <c r="T252" s="12">
        <v>23</v>
      </c>
      <c r="U252" s="12"/>
      <c r="V252" s="12"/>
      <c r="W252" s="12"/>
      <c r="X252" s="728">
        <f t="shared" si="28"/>
        <v>4168</v>
      </c>
      <c r="Y252" s="71"/>
      <c r="Z252" s="776">
        <v>2023</v>
      </c>
      <c r="AA252" s="71" t="s">
        <v>79</v>
      </c>
    </row>
    <row r="253" spans="2:27" s="10" customFormat="1" ht="12.75" hidden="1" customHeight="1">
      <c r="B253" s="68">
        <v>2023</v>
      </c>
      <c r="C253" s="107" t="s">
        <v>30</v>
      </c>
      <c r="D253" s="728">
        <v>3033</v>
      </c>
      <c r="E253" s="12"/>
      <c r="F253" s="12">
        <v>118</v>
      </c>
      <c r="G253" s="12"/>
      <c r="H253" s="12">
        <v>29</v>
      </c>
      <c r="I253" s="12"/>
      <c r="J253" s="12">
        <v>2</v>
      </c>
      <c r="K253" s="12"/>
      <c r="L253" s="12">
        <v>26</v>
      </c>
      <c r="M253" s="12"/>
      <c r="N253" s="12">
        <v>82</v>
      </c>
      <c r="O253" s="12"/>
      <c r="P253" s="12">
        <v>26</v>
      </c>
      <c r="Q253" s="12"/>
      <c r="R253" s="12">
        <v>7</v>
      </c>
      <c r="S253" s="12"/>
      <c r="T253" s="12">
        <v>15</v>
      </c>
      <c r="U253" s="12"/>
      <c r="V253" s="12"/>
      <c r="W253" s="12"/>
      <c r="X253" s="728">
        <f t="shared" si="28"/>
        <v>3338</v>
      </c>
      <c r="Y253" s="71"/>
      <c r="Z253" s="776">
        <v>2023</v>
      </c>
      <c r="AA253" s="71" t="s">
        <v>80</v>
      </c>
    </row>
    <row r="254" spans="2:27" s="10" customFormat="1" ht="12.75" hidden="1" customHeight="1">
      <c r="B254" s="68">
        <v>2023</v>
      </c>
      <c r="C254" s="107" t="s">
        <v>36</v>
      </c>
      <c r="D254" s="728">
        <v>2333</v>
      </c>
      <c r="E254" s="12"/>
      <c r="F254" s="12">
        <v>116</v>
      </c>
      <c r="G254" s="12"/>
      <c r="H254" s="12">
        <v>20</v>
      </c>
      <c r="I254" s="12"/>
      <c r="J254" s="12">
        <v>2</v>
      </c>
      <c r="K254" s="12"/>
      <c r="L254" s="12">
        <v>27</v>
      </c>
      <c r="M254" s="12"/>
      <c r="N254" s="12">
        <v>56</v>
      </c>
      <c r="O254" s="12"/>
      <c r="P254" s="12">
        <v>50</v>
      </c>
      <c r="Q254" s="12"/>
      <c r="R254" s="12">
        <v>12</v>
      </c>
      <c r="S254" s="12"/>
      <c r="T254" s="12">
        <v>17</v>
      </c>
      <c r="U254" s="12"/>
      <c r="V254" s="12"/>
      <c r="W254" s="12"/>
      <c r="X254" s="728">
        <f t="shared" si="28"/>
        <v>2633</v>
      </c>
      <c r="Y254" s="71"/>
      <c r="Z254" s="776">
        <v>2023</v>
      </c>
      <c r="AA254" s="71" t="s">
        <v>81</v>
      </c>
    </row>
    <row r="255" spans="2:27" s="10" customFormat="1" ht="12.75" hidden="1" customHeight="1">
      <c r="B255" s="68">
        <v>2023</v>
      </c>
      <c r="C255" s="107" t="s">
        <v>37</v>
      </c>
      <c r="D255" s="728">
        <v>2300</v>
      </c>
      <c r="E255" s="12"/>
      <c r="F255" s="12">
        <v>106</v>
      </c>
      <c r="G255" s="12"/>
      <c r="H255" s="12">
        <v>44</v>
      </c>
      <c r="I255" s="12"/>
      <c r="J255" s="12">
        <v>0</v>
      </c>
      <c r="K255" s="12"/>
      <c r="L255" s="12">
        <v>32</v>
      </c>
      <c r="M255" s="12"/>
      <c r="N255" s="12">
        <v>61</v>
      </c>
      <c r="O255" s="12"/>
      <c r="P255" s="12">
        <v>22</v>
      </c>
      <c r="Q255" s="12"/>
      <c r="R255" s="12">
        <v>13</v>
      </c>
      <c r="S255" s="12"/>
      <c r="T255" s="12">
        <v>20</v>
      </c>
      <c r="U255" s="12"/>
      <c r="V255" s="12"/>
      <c r="W255" s="12"/>
      <c r="X255" s="728">
        <f t="shared" si="28"/>
        <v>2598</v>
      </c>
      <c r="Y255" s="71"/>
      <c r="Z255" s="776">
        <v>2023</v>
      </c>
      <c r="AA255" s="71" t="s">
        <v>82</v>
      </c>
    </row>
    <row r="256" spans="2:27" s="10" customFormat="1" ht="12.75" hidden="1" customHeight="1">
      <c r="B256" s="68">
        <v>2023</v>
      </c>
      <c r="C256" s="107" t="s">
        <v>31</v>
      </c>
      <c r="D256" s="728">
        <v>3747</v>
      </c>
      <c r="E256" s="12"/>
      <c r="F256" s="12">
        <v>72</v>
      </c>
      <c r="G256" s="12"/>
      <c r="H256" s="12">
        <v>14</v>
      </c>
      <c r="I256" s="12"/>
      <c r="J256" s="12">
        <v>3</v>
      </c>
      <c r="K256" s="12"/>
      <c r="L256" s="12">
        <v>17</v>
      </c>
      <c r="M256" s="12"/>
      <c r="N256" s="12">
        <v>30</v>
      </c>
      <c r="O256" s="12"/>
      <c r="P256" s="12">
        <v>14</v>
      </c>
      <c r="Q256" s="12"/>
      <c r="R256" s="12">
        <v>8</v>
      </c>
      <c r="S256" s="12"/>
      <c r="T256" s="12">
        <v>4</v>
      </c>
      <c r="U256" s="12"/>
      <c r="V256" s="12"/>
      <c r="W256" s="12"/>
      <c r="X256" s="728">
        <f>SUM(D256:T256)</f>
        <v>3909</v>
      </c>
      <c r="Y256" s="71"/>
      <c r="Z256" s="776">
        <v>2023</v>
      </c>
      <c r="AA256" s="71" t="s">
        <v>147</v>
      </c>
    </row>
    <row r="257" spans="2:27" s="10" customFormat="1" ht="12.75" hidden="1" customHeight="1">
      <c r="B257" s="68">
        <v>2023</v>
      </c>
      <c r="C257" s="107" t="s">
        <v>38</v>
      </c>
      <c r="D257" s="728">
        <v>2936</v>
      </c>
      <c r="E257" s="12"/>
      <c r="F257" s="12">
        <v>91</v>
      </c>
      <c r="G257" s="12"/>
      <c r="H257" s="12">
        <v>22</v>
      </c>
      <c r="I257" s="12"/>
      <c r="J257" s="12">
        <v>1</v>
      </c>
      <c r="K257" s="12"/>
      <c r="L257" s="12">
        <v>29</v>
      </c>
      <c r="M257" s="12"/>
      <c r="N257" s="12">
        <v>43</v>
      </c>
      <c r="O257" s="12"/>
      <c r="P257" s="12">
        <v>20</v>
      </c>
      <c r="Q257" s="12"/>
      <c r="R257" s="12">
        <v>11</v>
      </c>
      <c r="S257" s="12"/>
      <c r="T257" s="12">
        <v>6</v>
      </c>
      <c r="U257" s="12"/>
      <c r="V257" s="12"/>
      <c r="W257" s="12"/>
      <c r="X257" s="728">
        <f>SUM(D257:T257)</f>
        <v>3159</v>
      </c>
      <c r="Y257" s="71"/>
      <c r="Z257" s="776">
        <v>2023</v>
      </c>
      <c r="AA257" s="71" t="s">
        <v>38</v>
      </c>
    </row>
    <row r="258" spans="2:27" s="10" customFormat="1" ht="12.75" hidden="1" customHeight="1">
      <c r="B258" s="68">
        <v>2023</v>
      </c>
      <c r="C258" s="107" t="s">
        <v>39</v>
      </c>
      <c r="D258" s="728">
        <v>3045</v>
      </c>
      <c r="E258" s="12"/>
      <c r="F258" s="12">
        <v>39</v>
      </c>
      <c r="G258" s="12"/>
      <c r="H258" s="12">
        <v>16</v>
      </c>
      <c r="I258" s="12"/>
      <c r="J258" s="12">
        <v>0</v>
      </c>
      <c r="K258" s="12"/>
      <c r="L258" s="12">
        <v>48</v>
      </c>
      <c r="M258" s="12"/>
      <c r="N258" s="12">
        <v>32</v>
      </c>
      <c r="O258" s="12"/>
      <c r="P258" s="12">
        <v>16</v>
      </c>
      <c r="Q258" s="12"/>
      <c r="R258" s="12">
        <v>4</v>
      </c>
      <c r="S258" s="12"/>
      <c r="T258" s="12">
        <v>8</v>
      </c>
      <c r="U258" s="12"/>
      <c r="V258" s="12"/>
      <c r="W258" s="12"/>
      <c r="X258" s="728">
        <f t="shared" si="28"/>
        <v>3208</v>
      </c>
      <c r="Y258" s="71"/>
      <c r="Z258" s="776">
        <v>2023</v>
      </c>
      <c r="AA258" s="71" t="s">
        <v>39</v>
      </c>
    </row>
    <row r="259" spans="2:27" s="10" customFormat="1" ht="12.75" hidden="1" customHeight="1">
      <c r="B259" s="68">
        <v>2023</v>
      </c>
      <c r="C259" s="107" t="s">
        <v>32</v>
      </c>
      <c r="D259" s="728">
        <v>133</v>
      </c>
      <c r="E259" s="12"/>
      <c r="F259" s="12">
        <v>40</v>
      </c>
      <c r="G259" s="12"/>
      <c r="H259" s="12">
        <v>9</v>
      </c>
      <c r="I259" s="12"/>
      <c r="J259" s="12">
        <v>2</v>
      </c>
      <c r="K259" s="12"/>
      <c r="L259" s="12">
        <v>7</v>
      </c>
      <c r="M259" s="12"/>
      <c r="N259" s="12">
        <v>18</v>
      </c>
      <c r="O259" s="12"/>
      <c r="P259" s="12">
        <v>10</v>
      </c>
      <c r="Q259" s="12"/>
      <c r="R259" s="12">
        <v>2</v>
      </c>
      <c r="S259" s="12"/>
      <c r="T259" s="12">
        <v>5</v>
      </c>
      <c r="U259" s="12"/>
      <c r="V259" s="12"/>
      <c r="W259" s="12"/>
      <c r="X259" s="728">
        <f t="shared" si="28"/>
        <v>226</v>
      </c>
      <c r="Y259" s="71"/>
      <c r="Z259" s="776">
        <v>2023</v>
      </c>
      <c r="AA259" s="71" t="s">
        <v>83</v>
      </c>
    </row>
    <row r="260" spans="2:27" s="10" customFormat="1" ht="12.75" hidden="1" customHeight="1">
      <c r="B260" s="68">
        <v>2024</v>
      </c>
      <c r="C260" s="107" t="s">
        <v>33</v>
      </c>
      <c r="D260" s="728">
        <v>1222</v>
      </c>
      <c r="E260" s="12"/>
      <c r="F260" s="12">
        <v>40</v>
      </c>
      <c r="G260" s="12"/>
      <c r="H260" s="12">
        <v>17</v>
      </c>
      <c r="I260" s="12"/>
      <c r="J260" s="12">
        <v>0</v>
      </c>
      <c r="K260" s="12"/>
      <c r="L260" s="12">
        <v>13</v>
      </c>
      <c r="M260" s="12"/>
      <c r="N260" s="12">
        <v>24</v>
      </c>
      <c r="O260" s="12"/>
      <c r="P260" s="12">
        <v>21</v>
      </c>
      <c r="Q260" s="12"/>
      <c r="R260" s="12">
        <v>2</v>
      </c>
      <c r="S260" s="12"/>
      <c r="T260" s="12">
        <v>7</v>
      </c>
      <c r="U260" s="12"/>
      <c r="V260" s="12"/>
      <c r="W260" s="12"/>
      <c r="X260" s="728">
        <f t="shared" si="28"/>
        <v>1346</v>
      </c>
      <c r="Y260" s="71"/>
      <c r="Z260" s="594">
        <v>2024</v>
      </c>
      <c r="AA260" s="71" t="s">
        <v>33</v>
      </c>
    </row>
    <row r="261" spans="2:27" s="10" customFormat="1" ht="12.75" hidden="1" customHeight="1">
      <c r="B261" s="68">
        <v>2024</v>
      </c>
      <c r="C261" s="107" t="s">
        <v>34</v>
      </c>
      <c r="D261" s="728">
        <v>852</v>
      </c>
      <c r="E261" s="12"/>
      <c r="F261" s="12">
        <v>89</v>
      </c>
      <c r="G261" s="12"/>
      <c r="H261" s="12">
        <v>72</v>
      </c>
      <c r="I261" s="12"/>
      <c r="J261" s="12">
        <v>16</v>
      </c>
      <c r="K261" s="12"/>
      <c r="L261" s="12">
        <v>27</v>
      </c>
      <c r="M261" s="12"/>
      <c r="N261" s="12">
        <v>118</v>
      </c>
      <c r="O261" s="12"/>
      <c r="P261" s="12">
        <v>81</v>
      </c>
      <c r="Q261" s="12"/>
      <c r="R261" s="12">
        <v>15</v>
      </c>
      <c r="S261" s="12"/>
      <c r="T261" s="12">
        <v>28</v>
      </c>
      <c r="U261" s="12"/>
      <c r="V261" s="12"/>
      <c r="W261" s="12"/>
      <c r="X261" s="728">
        <f t="shared" si="28"/>
        <v>1298</v>
      </c>
      <c r="Y261" s="71"/>
      <c r="Z261" s="594">
        <v>2024</v>
      </c>
      <c r="AA261" s="71" t="s">
        <v>77</v>
      </c>
    </row>
    <row r="262" spans="2:27" s="10" customFormat="1" ht="12.75" hidden="1" customHeight="1">
      <c r="B262" s="68">
        <v>2024</v>
      </c>
      <c r="C262" s="107" t="s">
        <v>29</v>
      </c>
      <c r="D262" s="728">
        <v>1068</v>
      </c>
      <c r="E262" s="12"/>
      <c r="F262" s="12">
        <v>169</v>
      </c>
      <c r="G262" s="12"/>
      <c r="H262" s="12">
        <v>80</v>
      </c>
      <c r="I262" s="12"/>
      <c r="J262" s="12">
        <v>6</v>
      </c>
      <c r="K262" s="12"/>
      <c r="L262" s="12">
        <v>53</v>
      </c>
      <c r="M262" s="12"/>
      <c r="N262" s="12">
        <v>166</v>
      </c>
      <c r="O262" s="12"/>
      <c r="P262" s="12">
        <v>70</v>
      </c>
      <c r="Q262" s="12"/>
      <c r="R262" s="12">
        <v>17</v>
      </c>
      <c r="S262" s="12"/>
      <c r="T262" s="12">
        <v>19</v>
      </c>
      <c r="U262" s="12"/>
      <c r="V262" s="12"/>
      <c r="W262" s="12"/>
      <c r="X262" s="728">
        <f t="shared" si="28"/>
        <v>1648</v>
      </c>
      <c r="Y262" s="71"/>
      <c r="Z262" s="594">
        <v>2024</v>
      </c>
      <c r="AA262" s="71" t="s">
        <v>29</v>
      </c>
    </row>
    <row r="263" spans="2:27" s="10" customFormat="1" ht="12.75" customHeight="1">
      <c r="B263" s="68">
        <v>2024</v>
      </c>
      <c r="C263" s="107" t="s">
        <v>35</v>
      </c>
      <c r="D263" s="728">
        <v>1121</v>
      </c>
      <c r="E263" s="12"/>
      <c r="F263" s="12">
        <v>160</v>
      </c>
      <c r="G263" s="12"/>
      <c r="H263" s="12">
        <v>103</v>
      </c>
      <c r="I263" s="12"/>
      <c r="J263" s="12">
        <v>2</v>
      </c>
      <c r="K263" s="12"/>
      <c r="L263" s="12">
        <v>64</v>
      </c>
      <c r="M263" s="12"/>
      <c r="N263" s="12">
        <v>193</v>
      </c>
      <c r="O263" s="12"/>
      <c r="P263" s="12">
        <v>111</v>
      </c>
      <c r="Q263" s="12"/>
      <c r="R263" s="12">
        <v>10</v>
      </c>
      <c r="S263" s="12"/>
      <c r="T263" s="12">
        <v>20</v>
      </c>
      <c r="U263" s="12"/>
      <c r="V263" s="12"/>
      <c r="W263" s="12"/>
      <c r="X263" s="728">
        <f t="shared" si="28"/>
        <v>1784</v>
      </c>
      <c r="Y263" s="71"/>
      <c r="Z263" s="594">
        <v>2024</v>
      </c>
      <c r="AA263" s="71" t="s">
        <v>78</v>
      </c>
    </row>
    <row r="264" spans="2:27" s="10" customFormat="1" ht="12.75" hidden="1" customHeight="1">
      <c r="B264" s="68">
        <v>2024</v>
      </c>
      <c r="C264" s="107" t="s">
        <v>4</v>
      </c>
      <c r="D264" s="728">
        <v>924</v>
      </c>
      <c r="E264" s="12"/>
      <c r="F264" s="12">
        <v>71</v>
      </c>
      <c r="G264" s="12"/>
      <c r="H264" s="12">
        <v>32</v>
      </c>
      <c r="I264" s="12"/>
      <c r="J264" s="12">
        <v>5</v>
      </c>
      <c r="K264" s="12"/>
      <c r="L264" s="12">
        <v>22</v>
      </c>
      <c r="M264" s="12"/>
      <c r="N264" s="12">
        <v>96</v>
      </c>
      <c r="O264" s="12"/>
      <c r="P264" s="12">
        <v>42</v>
      </c>
      <c r="Q264" s="12"/>
      <c r="R264" s="12">
        <v>6</v>
      </c>
      <c r="S264" s="12"/>
      <c r="T264" s="12">
        <v>13</v>
      </c>
      <c r="U264" s="12"/>
      <c r="V264" s="12"/>
      <c r="W264" s="12"/>
      <c r="X264" s="728">
        <f t="shared" si="28"/>
        <v>1211</v>
      </c>
      <c r="Y264" s="71"/>
      <c r="Z264" s="594">
        <v>2024</v>
      </c>
      <c r="AA264" s="71" t="s">
        <v>79</v>
      </c>
    </row>
    <row r="265" spans="2:27" s="10" customFormat="1" ht="12.75" hidden="1" customHeight="1">
      <c r="B265" s="68">
        <v>2024</v>
      </c>
      <c r="C265" s="107" t="s">
        <v>30</v>
      </c>
      <c r="D265" s="728">
        <v>1493</v>
      </c>
      <c r="E265" s="12"/>
      <c r="F265" s="12">
        <v>112</v>
      </c>
      <c r="G265" s="12"/>
      <c r="H265" s="12">
        <v>19</v>
      </c>
      <c r="I265" s="12"/>
      <c r="J265" s="12">
        <v>6</v>
      </c>
      <c r="K265" s="12"/>
      <c r="L265" s="12">
        <v>43</v>
      </c>
      <c r="M265" s="12"/>
      <c r="N265" s="12">
        <v>88</v>
      </c>
      <c r="O265" s="12"/>
      <c r="P265" s="12">
        <v>73</v>
      </c>
      <c r="Q265" s="12"/>
      <c r="R265" s="12">
        <v>9</v>
      </c>
      <c r="S265" s="12"/>
      <c r="T265" s="12">
        <v>17</v>
      </c>
      <c r="U265" s="12"/>
      <c r="V265" s="12"/>
      <c r="W265" s="12"/>
      <c r="X265" s="728">
        <f t="shared" si="28"/>
        <v>1860</v>
      </c>
      <c r="Y265" s="71"/>
      <c r="Z265" s="594">
        <v>2024</v>
      </c>
      <c r="AA265" s="71" t="s">
        <v>80</v>
      </c>
    </row>
    <row r="266" spans="2:27" s="10" customFormat="1" ht="12.75" hidden="1" customHeight="1">
      <c r="B266" s="68">
        <v>2024</v>
      </c>
      <c r="C266" s="107" t="s">
        <v>36</v>
      </c>
      <c r="D266" s="728">
        <v>1685</v>
      </c>
      <c r="E266" s="12"/>
      <c r="F266" s="12">
        <v>138</v>
      </c>
      <c r="G266" s="12"/>
      <c r="H266" s="12">
        <v>23</v>
      </c>
      <c r="I266" s="12"/>
      <c r="J266" s="12">
        <v>6</v>
      </c>
      <c r="K266" s="12"/>
      <c r="L266" s="12">
        <v>28</v>
      </c>
      <c r="M266" s="12"/>
      <c r="N266" s="12">
        <v>178</v>
      </c>
      <c r="O266" s="12"/>
      <c r="P266" s="12">
        <v>58</v>
      </c>
      <c r="Q266" s="12"/>
      <c r="R266" s="12">
        <v>37</v>
      </c>
      <c r="S266" s="12"/>
      <c r="T266" s="12">
        <v>15</v>
      </c>
      <c r="U266" s="12"/>
      <c r="V266" s="12"/>
      <c r="W266" s="12"/>
      <c r="X266" s="728">
        <f t="shared" si="28"/>
        <v>2168</v>
      </c>
      <c r="Y266" s="71"/>
      <c r="Z266" s="594">
        <v>2024</v>
      </c>
      <c r="AA266" s="71" t="s">
        <v>81</v>
      </c>
    </row>
    <row r="267" spans="2:27" s="10" customFormat="1" ht="12.75" hidden="1" customHeight="1">
      <c r="B267" s="68">
        <v>2024</v>
      </c>
      <c r="C267" s="107" t="s">
        <v>37</v>
      </c>
      <c r="D267" s="728">
        <v>2490</v>
      </c>
      <c r="E267" s="12"/>
      <c r="F267" s="12">
        <v>269</v>
      </c>
      <c r="G267" s="12"/>
      <c r="H267" s="12">
        <v>93</v>
      </c>
      <c r="I267" s="12"/>
      <c r="J267" s="12">
        <v>10</v>
      </c>
      <c r="K267" s="12"/>
      <c r="L267" s="12">
        <v>65</v>
      </c>
      <c r="M267" s="12"/>
      <c r="N267" s="12">
        <v>189</v>
      </c>
      <c r="O267" s="12"/>
      <c r="P267" s="12">
        <v>99</v>
      </c>
      <c r="Q267" s="12"/>
      <c r="R267" s="12">
        <v>44</v>
      </c>
      <c r="S267" s="12"/>
      <c r="T267" s="12">
        <v>30</v>
      </c>
      <c r="U267" s="12"/>
      <c r="V267" s="12"/>
      <c r="W267" s="12"/>
      <c r="X267" s="728">
        <f t="shared" si="28"/>
        <v>3289</v>
      </c>
      <c r="Y267" s="71"/>
      <c r="Z267" s="594">
        <v>2024</v>
      </c>
      <c r="AA267" s="71" t="s">
        <v>82</v>
      </c>
    </row>
    <row r="268" spans="2:27" s="10" customFormat="1" ht="12.75" hidden="1" customHeight="1">
      <c r="B268" s="68">
        <v>2024</v>
      </c>
      <c r="C268" s="107" t="s">
        <v>31</v>
      </c>
      <c r="D268" s="728">
        <v>3787</v>
      </c>
      <c r="E268" s="12"/>
      <c r="F268" s="12">
        <v>248</v>
      </c>
      <c r="G268" s="12"/>
      <c r="H268" s="12">
        <v>32</v>
      </c>
      <c r="I268" s="12"/>
      <c r="J268" s="12">
        <v>11</v>
      </c>
      <c r="K268" s="12"/>
      <c r="L268" s="12">
        <v>71</v>
      </c>
      <c r="M268" s="12"/>
      <c r="N268" s="12">
        <v>197</v>
      </c>
      <c r="O268" s="12"/>
      <c r="P268" s="12">
        <v>68</v>
      </c>
      <c r="Q268" s="12"/>
      <c r="R268" s="12">
        <v>10</v>
      </c>
      <c r="S268" s="12"/>
      <c r="T268" s="12">
        <v>29</v>
      </c>
      <c r="U268" s="12"/>
      <c r="V268" s="12"/>
      <c r="W268" s="12"/>
      <c r="X268" s="728">
        <f t="shared" si="28"/>
        <v>4453</v>
      </c>
      <c r="Y268" s="71"/>
      <c r="Z268" s="594">
        <v>2024</v>
      </c>
      <c r="AA268" s="71" t="s">
        <v>31</v>
      </c>
    </row>
    <row r="269" spans="2:27" s="10" customFormat="1" ht="12.75" hidden="1" customHeight="1">
      <c r="B269" s="68">
        <v>2024</v>
      </c>
      <c r="C269" s="107" t="s">
        <v>38</v>
      </c>
      <c r="D269" s="728">
        <v>2589</v>
      </c>
      <c r="E269" s="12"/>
      <c r="F269" s="12">
        <v>154</v>
      </c>
      <c r="G269" s="12"/>
      <c r="H269" s="12">
        <v>45</v>
      </c>
      <c r="I269" s="12"/>
      <c r="J269" s="12">
        <v>5</v>
      </c>
      <c r="K269" s="12"/>
      <c r="L269" s="12">
        <v>37</v>
      </c>
      <c r="M269" s="12"/>
      <c r="N269" s="12">
        <v>154</v>
      </c>
      <c r="O269" s="12"/>
      <c r="P269" s="12">
        <v>32</v>
      </c>
      <c r="Q269" s="12"/>
      <c r="R269" s="12">
        <v>11</v>
      </c>
      <c r="S269" s="12"/>
      <c r="T269" s="12">
        <v>34</v>
      </c>
      <c r="U269" s="12"/>
      <c r="V269" s="12"/>
      <c r="W269" s="12"/>
      <c r="X269" s="728">
        <f t="shared" si="28"/>
        <v>3061</v>
      </c>
      <c r="Y269" s="71"/>
      <c r="Z269" s="594">
        <v>2024</v>
      </c>
      <c r="AA269" s="71" t="s">
        <v>38</v>
      </c>
    </row>
    <row r="270" spans="2:27" s="10" customFormat="1" ht="12.75" hidden="1" customHeight="1">
      <c r="B270" s="68">
        <v>2024</v>
      </c>
      <c r="C270" s="107" t="s">
        <v>39</v>
      </c>
      <c r="D270" s="728">
        <v>3060</v>
      </c>
      <c r="E270" s="12"/>
      <c r="F270" s="12">
        <v>180</v>
      </c>
      <c r="G270" s="12"/>
      <c r="H270" s="12">
        <v>43</v>
      </c>
      <c r="I270" s="12"/>
      <c r="J270" s="12">
        <v>5</v>
      </c>
      <c r="K270" s="12"/>
      <c r="L270" s="12">
        <v>42</v>
      </c>
      <c r="M270" s="12"/>
      <c r="N270" s="12">
        <v>140</v>
      </c>
      <c r="O270" s="12"/>
      <c r="P270" s="12">
        <v>60</v>
      </c>
      <c r="Q270" s="12"/>
      <c r="R270" s="12">
        <v>0</v>
      </c>
      <c r="S270" s="12"/>
      <c r="T270" s="12">
        <v>30</v>
      </c>
      <c r="U270" s="12"/>
      <c r="V270" s="12"/>
      <c r="W270" s="12"/>
      <c r="X270" s="728">
        <f t="shared" si="28"/>
        <v>3560</v>
      </c>
      <c r="Y270" s="71"/>
      <c r="Z270" s="594">
        <v>2024</v>
      </c>
      <c r="AA270" s="71" t="s">
        <v>39</v>
      </c>
    </row>
    <row r="271" spans="2:27" s="10" customFormat="1" ht="12.75" hidden="1" customHeight="1">
      <c r="B271" s="68">
        <v>2024</v>
      </c>
      <c r="C271" s="107" t="s">
        <v>32</v>
      </c>
      <c r="D271" s="728">
        <v>3756</v>
      </c>
      <c r="E271" s="12"/>
      <c r="F271" s="12">
        <v>155</v>
      </c>
      <c r="G271" s="12"/>
      <c r="H271" s="12">
        <v>39</v>
      </c>
      <c r="I271" s="12"/>
      <c r="J271" s="12">
        <v>7</v>
      </c>
      <c r="K271" s="12"/>
      <c r="L271" s="12">
        <v>31</v>
      </c>
      <c r="M271" s="12"/>
      <c r="N271" s="12">
        <v>109</v>
      </c>
      <c r="O271" s="12"/>
      <c r="P271" s="12">
        <v>41</v>
      </c>
      <c r="Q271" s="12"/>
      <c r="R271" s="12">
        <v>7</v>
      </c>
      <c r="S271" s="12"/>
      <c r="T271" s="12">
        <v>101</v>
      </c>
      <c r="U271" s="12"/>
      <c r="V271" s="12"/>
      <c r="W271" s="12"/>
      <c r="X271" s="728">
        <f t="shared" si="28"/>
        <v>4246</v>
      </c>
      <c r="Y271" s="71"/>
      <c r="Z271" s="594">
        <v>2024</v>
      </c>
      <c r="AA271" s="71" t="s">
        <v>83</v>
      </c>
    </row>
    <row r="272" spans="2:27" s="10" customFormat="1" ht="12.75" hidden="1" customHeight="1">
      <c r="B272" s="68">
        <v>2025</v>
      </c>
      <c r="C272" s="605" t="s">
        <v>33</v>
      </c>
      <c r="D272" s="729">
        <v>2107</v>
      </c>
      <c r="E272" s="12"/>
      <c r="F272" s="12">
        <v>167</v>
      </c>
      <c r="G272" s="12"/>
      <c r="H272" s="12">
        <v>55</v>
      </c>
      <c r="I272" s="12"/>
      <c r="J272" s="12">
        <v>17</v>
      </c>
      <c r="K272" s="12"/>
      <c r="L272" s="12">
        <v>30</v>
      </c>
      <c r="M272" s="12"/>
      <c r="N272" s="12">
        <v>125</v>
      </c>
      <c r="O272" s="12"/>
      <c r="P272" s="12">
        <v>80</v>
      </c>
      <c r="Q272" s="12"/>
      <c r="R272" s="12">
        <v>29</v>
      </c>
      <c r="S272" s="12"/>
      <c r="T272" s="12">
        <v>18</v>
      </c>
      <c r="U272" s="12"/>
      <c r="V272" s="12"/>
      <c r="W272" s="12"/>
      <c r="X272" s="728">
        <f t="shared" si="28"/>
        <v>2628</v>
      </c>
      <c r="Y272" s="12"/>
      <c r="Z272" s="776">
        <v>2025</v>
      </c>
      <c r="AA272" s="71" t="s">
        <v>33</v>
      </c>
    </row>
    <row r="273" spans="2:27" s="10" customFormat="1" ht="12.75" hidden="1" customHeight="1">
      <c r="B273" s="68">
        <v>2025</v>
      </c>
      <c r="C273" s="107" t="s">
        <v>34</v>
      </c>
      <c r="D273" s="728">
        <v>1774</v>
      </c>
      <c r="E273" s="12"/>
      <c r="F273" s="12">
        <v>29</v>
      </c>
      <c r="G273" s="12"/>
      <c r="H273" s="12">
        <v>47</v>
      </c>
      <c r="I273" s="12"/>
      <c r="J273" s="12">
        <v>1</v>
      </c>
      <c r="K273" s="12"/>
      <c r="L273" s="12">
        <v>17</v>
      </c>
      <c r="M273" s="12"/>
      <c r="N273" s="12">
        <v>66</v>
      </c>
      <c r="O273" s="12"/>
      <c r="P273" s="12">
        <v>19</v>
      </c>
      <c r="Q273" s="12"/>
      <c r="R273" s="12">
        <v>10</v>
      </c>
      <c r="S273" s="12"/>
      <c r="T273" s="12">
        <v>9</v>
      </c>
      <c r="U273" s="12"/>
      <c r="V273" s="12"/>
      <c r="W273" s="12"/>
      <c r="X273" s="728">
        <f t="shared" si="28"/>
        <v>1972</v>
      </c>
      <c r="Y273" s="71"/>
      <c r="Z273" s="776">
        <v>2025</v>
      </c>
      <c r="AA273" s="71" t="s">
        <v>77</v>
      </c>
    </row>
    <row r="274" spans="2:27" s="10" customFormat="1" ht="13.5" hidden="1" customHeight="1">
      <c r="B274" s="68">
        <v>2025</v>
      </c>
      <c r="C274" s="107" t="s">
        <v>29</v>
      </c>
      <c r="D274" s="728">
        <v>1825</v>
      </c>
      <c r="E274" s="12"/>
      <c r="F274" s="12">
        <v>130</v>
      </c>
      <c r="G274" s="12"/>
      <c r="H274" s="12">
        <v>31</v>
      </c>
      <c r="I274" s="12"/>
      <c r="J274" s="12">
        <v>12</v>
      </c>
      <c r="K274" s="12"/>
      <c r="L274" s="12">
        <v>36</v>
      </c>
      <c r="M274" s="12"/>
      <c r="N274" s="12">
        <v>155</v>
      </c>
      <c r="O274" s="12"/>
      <c r="P274" s="12">
        <v>57</v>
      </c>
      <c r="Q274" s="12"/>
      <c r="R274" s="12">
        <v>26</v>
      </c>
      <c r="S274" s="12"/>
      <c r="T274" s="12">
        <v>20</v>
      </c>
      <c r="U274" s="12"/>
      <c r="V274" s="12"/>
      <c r="W274" s="12"/>
      <c r="X274" s="728">
        <f t="shared" si="28"/>
        <v>2292</v>
      </c>
      <c r="Y274" s="71"/>
      <c r="Z274" s="776">
        <v>2025</v>
      </c>
      <c r="AA274" s="71" t="s">
        <v>29</v>
      </c>
    </row>
    <row r="275" spans="2:27" s="10" customFormat="1" ht="13.5" customHeight="1">
      <c r="B275" s="68">
        <v>2025</v>
      </c>
      <c r="C275" s="107" t="s">
        <v>35</v>
      </c>
      <c r="D275" s="728">
        <v>2758</v>
      </c>
      <c r="E275" s="12"/>
      <c r="F275" s="12">
        <v>50</v>
      </c>
      <c r="G275" s="12"/>
      <c r="H275" s="12">
        <v>39</v>
      </c>
      <c r="I275" s="12"/>
      <c r="J275" s="12">
        <v>9</v>
      </c>
      <c r="K275" s="12"/>
      <c r="L275" s="12">
        <v>24</v>
      </c>
      <c r="M275" s="12"/>
      <c r="N275" s="12">
        <v>51</v>
      </c>
      <c r="O275" s="12"/>
      <c r="P275" s="12">
        <v>27</v>
      </c>
      <c r="Q275" s="12"/>
      <c r="R275" s="12">
        <v>7</v>
      </c>
      <c r="S275" s="12"/>
      <c r="T275" s="12">
        <v>9</v>
      </c>
      <c r="U275" s="12"/>
      <c r="V275" s="12"/>
      <c r="W275" s="12"/>
      <c r="X275" s="728">
        <f t="shared" si="28"/>
        <v>2974</v>
      </c>
      <c r="Y275" s="71"/>
      <c r="Z275" s="776">
        <v>2025</v>
      </c>
      <c r="AA275" s="71" t="s">
        <v>78</v>
      </c>
    </row>
    <row r="276" spans="2:27" s="10" customFormat="1" ht="13.5" customHeight="1">
      <c r="B276" s="68"/>
      <c r="C276" s="107" t="s">
        <v>4</v>
      </c>
      <c r="D276" s="728">
        <v>3894</v>
      </c>
      <c r="E276" s="12"/>
      <c r="F276" s="12">
        <v>95</v>
      </c>
      <c r="G276" s="12"/>
      <c r="H276" s="12">
        <v>32</v>
      </c>
      <c r="I276" s="12"/>
      <c r="J276" s="12">
        <v>11</v>
      </c>
      <c r="K276" s="12"/>
      <c r="L276" s="12">
        <v>32</v>
      </c>
      <c r="M276" s="12"/>
      <c r="N276" s="12">
        <v>126</v>
      </c>
      <c r="O276" s="12"/>
      <c r="P276" s="12">
        <v>21</v>
      </c>
      <c r="Q276" s="12"/>
      <c r="R276" s="12">
        <v>19</v>
      </c>
      <c r="S276" s="12"/>
      <c r="T276" s="12">
        <v>21</v>
      </c>
      <c r="U276" s="12"/>
      <c r="V276" s="12"/>
      <c r="W276" s="12"/>
      <c r="X276" s="728">
        <f t="shared" si="28"/>
        <v>4251</v>
      </c>
      <c r="Y276" s="71"/>
      <c r="Z276" s="594"/>
      <c r="AA276" s="71" t="s">
        <v>79</v>
      </c>
    </row>
    <row r="277" spans="2:27" s="10" customFormat="1" ht="13.5" customHeight="1">
      <c r="B277" s="68"/>
      <c r="C277" s="107" t="s">
        <v>30</v>
      </c>
      <c r="D277" s="728">
        <v>2502</v>
      </c>
      <c r="E277" s="12"/>
      <c r="F277" s="12">
        <v>159</v>
      </c>
      <c r="G277" s="12"/>
      <c r="H277" s="12">
        <v>36</v>
      </c>
      <c r="I277" s="12"/>
      <c r="J277" s="12">
        <v>5</v>
      </c>
      <c r="K277" s="12"/>
      <c r="L277" s="12">
        <v>36</v>
      </c>
      <c r="M277" s="12"/>
      <c r="N277" s="12">
        <v>128</v>
      </c>
      <c r="O277" s="12"/>
      <c r="P277" s="12">
        <v>37</v>
      </c>
      <c r="Q277" s="12"/>
      <c r="R277" s="12">
        <v>23</v>
      </c>
      <c r="S277" s="12"/>
      <c r="T277" s="12">
        <v>26</v>
      </c>
      <c r="U277" s="12"/>
      <c r="V277" s="12"/>
      <c r="W277" s="12"/>
      <c r="X277" s="728">
        <f t="shared" si="28"/>
        <v>2952</v>
      </c>
      <c r="Y277" s="71"/>
      <c r="Z277" s="594"/>
      <c r="AA277" s="71" t="s">
        <v>80</v>
      </c>
    </row>
    <row r="278" spans="2:27" s="10" customFormat="1" ht="13.5" customHeight="1">
      <c r="B278" s="68"/>
      <c r="C278" s="107" t="s">
        <v>36</v>
      </c>
      <c r="D278" s="728">
        <v>2510</v>
      </c>
      <c r="E278" s="12"/>
      <c r="F278" s="12">
        <v>141</v>
      </c>
      <c r="G278" s="12"/>
      <c r="H278" s="12">
        <v>21</v>
      </c>
      <c r="I278" s="12"/>
      <c r="J278" s="12">
        <v>5</v>
      </c>
      <c r="K278" s="12"/>
      <c r="L278" s="12">
        <v>42</v>
      </c>
      <c r="M278" s="12"/>
      <c r="N278" s="12">
        <v>164</v>
      </c>
      <c r="O278" s="12"/>
      <c r="P278" s="12">
        <v>38</v>
      </c>
      <c r="Q278" s="12"/>
      <c r="R278" s="12">
        <v>21</v>
      </c>
      <c r="S278" s="12"/>
      <c r="T278" s="12">
        <v>38</v>
      </c>
      <c r="U278" s="12"/>
      <c r="V278" s="12"/>
      <c r="W278" s="12"/>
      <c r="X278" s="728">
        <f t="shared" si="28"/>
        <v>2980</v>
      </c>
      <c r="Y278" s="71"/>
      <c r="Z278" s="594"/>
      <c r="AA278" s="71" t="s">
        <v>81</v>
      </c>
    </row>
    <row r="279" spans="2:27" s="10" customFormat="1" ht="13.5" customHeight="1">
      <c r="B279" s="68"/>
      <c r="C279" s="107" t="s">
        <v>37</v>
      </c>
      <c r="D279" s="728">
        <v>2504</v>
      </c>
      <c r="E279" s="12"/>
      <c r="F279" s="12">
        <v>79</v>
      </c>
      <c r="G279" s="12"/>
      <c r="H279" s="12">
        <v>50</v>
      </c>
      <c r="I279" s="12"/>
      <c r="J279" s="12">
        <v>5</v>
      </c>
      <c r="K279" s="12"/>
      <c r="L279" s="12">
        <v>26</v>
      </c>
      <c r="M279" s="12"/>
      <c r="N279" s="12">
        <v>245</v>
      </c>
      <c r="O279" s="12"/>
      <c r="P279" s="12">
        <v>28</v>
      </c>
      <c r="Q279" s="12"/>
      <c r="R279" s="12">
        <v>14</v>
      </c>
      <c r="S279" s="12"/>
      <c r="T279" s="12">
        <v>18</v>
      </c>
      <c r="U279" s="12"/>
      <c r="V279" s="12"/>
      <c r="W279" s="12"/>
      <c r="X279" s="728">
        <f t="shared" si="28"/>
        <v>2969</v>
      </c>
      <c r="Y279" s="71"/>
      <c r="Z279" s="594"/>
      <c r="AA279" s="892" t="s">
        <v>82</v>
      </c>
    </row>
    <row r="280" spans="2:27" s="10" customFormat="1" ht="13.5" customHeight="1">
      <c r="B280" s="68"/>
      <c r="C280" s="107" t="s">
        <v>31</v>
      </c>
      <c r="D280" s="728">
        <v>4082</v>
      </c>
      <c r="E280" s="12"/>
      <c r="F280" s="12">
        <v>95</v>
      </c>
      <c r="G280" s="12"/>
      <c r="H280" s="12">
        <v>17</v>
      </c>
      <c r="I280" s="12"/>
      <c r="J280" s="12">
        <v>7</v>
      </c>
      <c r="K280" s="12"/>
      <c r="L280" s="12">
        <v>20</v>
      </c>
      <c r="M280" s="12"/>
      <c r="N280" s="12">
        <v>127</v>
      </c>
      <c r="O280" s="12"/>
      <c r="P280" s="12">
        <v>26</v>
      </c>
      <c r="Q280" s="12"/>
      <c r="R280" s="12">
        <v>14</v>
      </c>
      <c r="S280" s="12"/>
      <c r="T280" s="12">
        <v>17</v>
      </c>
      <c r="U280" s="12"/>
      <c r="V280" s="12"/>
      <c r="W280" s="12"/>
      <c r="X280" s="728">
        <f t="shared" si="28"/>
        <v>4405</v>
      </c>
      <c r="Y280" s="71"/>
      <c r="Z280" s="594"/>
      <c r="AA280" s="892" t="s">
        <v>31</v>
      </c>
    </row>
    <row r="281" spans="2:27" s="10" customFormat="1" ht="13.5" customHeight="1">
      <c r="B281" s="68"/>
      <c r="C281" s="107" t="s">
        <v>38</v>
      </c>
      <c r="D281" s="728">
        <v>2919</v>
      </c>
      <c r="E281" s="12"/>
      <c r="F281" s="12">
        <v>113</v>
      </c>
      <c r="G281" s="12"/>
      <c r="H281" s="12">
        <v>9</v>
      </c>
      <c r="I281" s="12"/>
      <c r="J281" s="12">
        <v>2</v>
      </c>
      <c r="K281" s="12"/>
      <c r="L281" s="12">
        <v>24</v>
      </c>
      <c r="M281" s="12"/>
      <c r="N281" s="12">
        <v>152</v>
      </c>
      <c r="O281" s="12"/>
      <c r="P281" s="12">
        <v>29</v>
      </c>
      <c r="Q281" s="12"/>
      <c r="R281" s="12">
        <v>13</v>
      </c>
      <c r="S281" s="12"/>
      <c r="T281" s="10">
        <v>35</v>
      </c>
      <c r="U281" s="12"/>
      <c r="V281" s="12"/>
      <c r="W281" s="12"/>
      <c r="X281" s="728">
        <f t="shared" si="28"/>
        <v>3296</v>
      </c>
      <c r="Y281" s="71"/>
      <c r="Z281" s="594"/>
      <c r="AA281" s="892" t="s">
        <v>38</v>
      </c>
    </row>
    <row r="282" spans="2:27" s="10" customFormat="1" ht="13.5" customHeight="1">
      <c r="B282" s="68"/>
      <c r="C282" s="107" t="s">
        <v>39</v>
      </c>
      <c r="D282" s="728">
        <v>3256</v>
      </c>
      <c r="E282" s="12"/>
      <c r="F282" s="12">
        <v>25</v>
      </c>
      <c r="G282" s="12"/>
      <c r="H282" s="12">
        <v>18</v>
      </c>
      <c r="I282" s="12"/>
      <c r="J282" s="12">
        <v>3</v>
      </c>
      <c r="K282" s="12"/>
      <c r="L282" s="12">
        <v>16</v>
      </c>
      <c r="M282" s="12"/>
      <c r="N282" s="12">
        <v>22</v>
      </c>
      <c r="O282" s="12"/>
      <c r="P282" s="12">
        <v>16</v>
      </c>
      <c r="Q282" s="12"/>
      <c r="R282" s="12">
        <v>4</v>
      </c>
      <c r="S282" s="12"/>
      <c r="T282" s="10">
        <v>8</v>
      </c>
      <c r="U282" s="12"/>
      <c r="V282" s="12"/>
      <c r="W282" s="12"/>
      <c r="X282" s="728">
        <f t="shared" si="28"/>
        <v>3368</v>
      </c>
      <c r="Y282" s="71"/>
      <c r="Z282" s="594"/>
      <c r="AA282" s="892" t="s">
        <v>39</v>
      </c>
    </row>
    <row r="283" spans="2:27" s="10" customFormat="1" ht="13.5" customHeight="1">
      <c r="B283" s="68"/>
      <c r="C283" s="107" t="s">
        <v>32</v>
      </c>
      <c r="D283" s="728">
        <v>2781</v>
      </c>
      <c r="E283" s="12"/>
      <c r="F283" s="12">
        <v>35</v>
      </c>
      <c r="G283" s="12"/>
      <c r="H283" s="12">
        <v>7</v>
      </c>
      <c r="I283" s="12"/>
      <c r="J283" s="12">
        <v>3</v>
      </c>
      <c r="K283" s="12"/>
      <c r="L283" s="12">
        <v>8</v>
      </c>
      <c r="M283" s="12"/>
      <c r="N283" s="12">
        <v>37</v>
      </c>
      <c r="O283" s="12"/>
      <c r="P283" s="12">
        <v>6</v>
      </c>
      <c r="Q283" s="12"/>
      <c r="R283" s="12">
        <v>8</v>
      </c>
      <c r="S283" s="12"/>
      <c r="T283" s="10">
        <v>6</v>
      </c>
      <c r="U283" s="12"/>
      <c r="V283" s="12"/>
      <c r="W283" s="12"/>
      <c r="X283" s="728">
        <f t="shared" si="28"/>
        <v>2891</v>
      </c>
      <c r="Y283" s="71"/>
      <c r="Z283" s="594"/>
      <c r="AA283" s="892" t="s">
        <v>83</v>
      </c>
    </row>
    <row r="284" spans="2:27" s="10" customFormat="1" ht="13.5" customHeight="1">
      <c r="B284" s="68">
        <v>2026</v>
      </c>
      <c r="C284" s="107" t="s">
        <v>33</v>
      </c>
      <c r="D284" s="728">
        <v>2252</v>
      </c>
      <c r="E284" s="12"/>
      <c r="F284" s="12">
        <v>42</v>
      </c>
      <c r="G284" s="12"/>
      <c r="H284" s="12">
        <v>35</v>
      </c>
      <c r="I284" s="12"/>
      <c r="J284" s="12">
        <v>1</v>
      </c>
      <c r="K284" s="12"/>
      <c r="L284" s="12">
        <v>10</v>
      </c>
      <c r="M284" s="12"/>
      <c r="N284" s="12">
        <v>55</v>
      </c>
      <c r="O284" s="12"/>
      <c r="P284" s="12">
        <v>32</v>
      </c>
      <c r="Q284" s="12"/>
      <c r="R284" s="12">
        <v>11</v>
      </c>
      <c r="S284" s="12"/>
      <c r="T284" s="10">
        <v>18</v>
      </c>
      <c r="U284" s="12"/>
      <c r="V284" s="12"/>
      <c r="W284" s="12"/>
      <c r="X284" s="728">
        <f t="shared" si="28"/>
        <v>2456</v>
      </c>
      <c r="Y284" s="71"/>
      <c r="Z284" s="594">
        <v>2026</v>
      </c>
      <c r="AA284" s="892" t="s">
        <v>33</v>
      </c>
    </row>
    <row r="285" spans="2:27" s="10" customFormat="1" ht="13.5" customHeight="1">
      <c r="B285" s="68"/>
      <c r="C285" s="107" t="s">
        <v>34</v>
      </c>
      <c r="D285" s="728">
        <v>1870</v>
      </c>
      <c r="E285" s="12"/>
      <c r="F285" s="12">
        <v>40</v>
      </c>
      <c r="G285" s="12"/>
      <c r="H285" s="12">
        <v>9</v>
      </c>
      <c r="I285" s="12"/>
      <c r="J285" s="12">
        <v>1</v>
      </c>
      <c r="K285" s="12"/>
      <c r="L285" s="12">
        <v>15</v>
      </c>
      <c r="M285" s="12"/>
      <c r="N285" s="12">
        <v>34</v>
      </c>
      <c r="O285" s="12"/>
      <c r="P285" s="12">
        <v>13</v>
      </c>
      <c r="Q285" s="12"/>
      <c r="R285" s="12">
        <v>7</v>
      </c>
      <c r="S285" s="12"/>
      <c r="T285" s="10">
        <v>9</v>
      </c>
      <c r="U285" s="12"/>
      <c r="V285" s="12"/>
      <c r="W285" s="12"/>
      <c r="X285" s="728">
        <f t="shared" si="28"/>
        <v>1998</v>
      </c>
      <c r="Y285" s="71"/>
      <c r="Z285" s="594"/>
      <c r="AA285" s="892" t="s">
        <v>34</v>
      </c>
    </row>
    <row r="286" spans="2:27" s="10" customFormat="1" ht="13.5" customHeight="1">
      <c r="B286" s="68"/>
      <c r="C286" s="107" t="s">
        <v>29</v>
      </c>
      <c r="D286" s="728">
        <v>2167</v>
      </c>
      <c r="E286" s="12"/>
      <c r="F286" s="12">
        <v>24</v>
      </c>
      <c r="G286" s="12"/>
      <c r="H286" s="12">
        <v>16</v>
      </c>
      <c r="I286" s="12"/>
      <c r="J286" s="12">
        <v>7</v>
      </c>
      <c r="K286" s="12"/>
      <c r="L286" s="12">
        <v>14</v>
      </c>
      <c r="M286" s="12"/>
      <c r="N286" s="12">
        <v>71</v>
      </c>
      <c r="O286" s="12"/>
      <c r="P286" s="12">
        <v>17</v>
      </c>
      <c r="Q286" s="12"/>
      <c r="R286" s="12">
        <v>7</v>
      </c>
      <c r="S286" s="12"/>
      <c r="T286" s="10">
        <v>5</v>
      </c>
      <c r="U286" s="12"/>
      <c r="V286" s="12"/>
      <c r="W286" s="12"/>
      <c r="X286" s="728">
        <f t="shared" si="28"/>
        <v>2328</v>
      </c>
      <c r="Y286" s="71"/>
      <c r="Z286" s="594"/>
      <c r="AA286" s="892" t="s">
        <v>29</v>
      </c>
    </row>
    <row r="287" spans="2:27" s="10" customFormat="1" ht="13.5" customHeight="1">
      <c r="B287" s="104"/>
      <c r="C287" s="1154" t="s">
        <v>601</v>
      </c>
      <c r="D287" s="688">
        <v>2897</v>
      </c>
      <c r="E287" s="103"/>
      <c r="F287" s="103">
        <v>33</v>
      </c>
      <c r="G287" s="103"/>
      <c r="H287" s="103">
        <v>29</v>
      </c>
      <c r="I287" s="103"/>
      <c r="J287" s="103">
        <v>6</v>
      </c>
      <c r="K287" s="103"/>
      <c r="L287" s="103">
        <v>14</v>
      </c>
      <c r="M287" s="103"/>
      <c r="N287" s="103">
        <v>87</v>
      </c>
      <c r="O287" s="103"/>
      <c r="P287" s="103">
        <v>6</v>
      </c>
      <c r="Q287" s="103"/>
      <c r="R287" s="103">
        <v>11</v>
      </c>
      <c r="S287" s="103"/>
      <c r="T287" s="671">
        <v>4</v>
      </c>
      <c r="U287" s="103"/>
      <c r="V287" s="103"/>
      <c r="W287" s="103"/>
      <c r="X287" s="688">
        <f t="shared" si="28"/>
        <v>3087</v>
      </c>
      <c r="Y287" s="7"/>
      <c r="Z287" s="1150"/>
      <c r="AA287" s="1074" t="s">
        <v>602</v>
      </c>
    </row>
    <row r="288" spans="2:27" s="10" customFormat="1" ht="16.5" customHeight="1">
      <c r="B288" s="83" t="s">
        <v>468</v>
      </c>
      <c r="C288" s="123"/>
      <c r="D288" s="79"/>
      <c r="E288" s="79"/>
      <c r="F288" s="79" t="s">
        <v>41</v>
      </c>
      <c r="G288" s="79"/>
      <c r="H288" s="80"/>
      <c r="I288" s="80"/>
      <c r="J288" s="12"/>
      <c r="K288" s="12"/>
      <c r="L288" s="12"/>
      <c r="M288" s="12"/>
      <c r="X288" s="359"/>
      <c r="Z288" s="132"/>
    </row>
    <row r="289" spans="2:29" hidden="1">
      <c r="B289" s="267" t="s">
        <v>26</v>
      </c>
      <c r="C289" s="56" t="s">
        <v>128</v>
      </c>
      <c r="D289" s="2"/>
      <c r="E289" s="2"/>
      <c r="F289" s="2"/>
      <c r="H289" s="73"/>
      <c r="I289" s="73"/>
      <c r="J289" s="73"/>
      <c r="K289" s="73"/>
      <c r="L289" s="73"/>
      <c r="M289" s="73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1"/>
      <c r="Y289" s="67"/>
      <c r="Z289" s="133"/>
      <c r="AA289" s="67"/>
      <c r="AB289" s="60"/>
      <c r="AC289" s="60"/>
    </row>
    <row r="290" spans="2:29" hidden="1">
      <c r="B290" s="267" t="s">
        <v>122</v>
      </c>
      <c r="C290" s="51" t="s">
        <v>129</v>
      </c>
      <c r="D290" s="47"/>
      <c r="E290" s="47"/>
      <c r="F290" s="266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X290" s="87"/>
      <c r="Z290" s="60"/>
      <c r="AA290" s="60"/>
      <c r="AB290" s="67"/>
      <c r="AC290" s="2"/>
    </row>
    <row r="291" spans="2:29">
      <c r="C291" s="51" t="s">
        <v>360</v>
      </c>
      <c r="D291" s="47"/>
      <c r="F291" s="47"/>
      <c r="G291" s="266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X291" s="87"/>
      <c r="Z291" s="60"/>
      <c r="AA291" s="60"/>
      <c r="AB291" s="67"/>
      <c r="AC291" s="2"/>
    </row>
    <row r="292" spans="2:29">
      <c r="C292" s="765" t="s">
        <v>359</v>
      </c>
      <c r="D292" s="267"/>
      <c r="E292" s="51"/>
      <c r="F292" s="51"/>
      <c r="G292" s="766"/>
      <c r="H292" s="767"/>
      <c r="I292" s="766"/>
      <c r="J292" s="76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67"/>
      <c r="Z292" s="133"/>
      <c r="AA292" s="67"/>
    </row>
    <row r="293" spans="2:29" ht="12" customHeight="1">
      <c r="C293" s="125" t="s">
        <v>418</v>
      </c>
    </row>
    <row r="294" spans="2:29">
      <c r="C294"/>
    </row>
    <row r="295" spans="2:29">
      <c r="C295"/>
    </row>
    <row r="296" spans="2:29">
      <c r="C296"/>
      <c r="J296" s="321"/>
    </row>
    <row r="297" spans="2:29">
      <c r="C297"/>
    </row>
    <row r="298" spans="2:29">
      <c r="C298"/>
    </row>
    <row r="299" spans="2:29">
      <c r="C299"/>
    </row>
  </sheetData>
  <phoneticPr fontId="13" type="noConversion"/>
  <pageMargins left="0.59055118110236227" right="0.35433070866141736" top="1.0236220472440944" bottom="0.19685039370078741" header="0.19685039370078741" footer="0.23622047244094491"/>
  <pageSetup paperSize="9" scale="80" orientation="landscape" r:id="rId1"/>
  <headerFooter alignWithMargins="0">
    <oddHeader>&amp;LVanuatu National Statistics Office    &amp;RInternational Arrival Statistics  September 2021</oddHeader>
    <oddFooter>&amp;C&amp;"Times New Roman,Regular"&amp;8Page 7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40625" defaultRowHeight="12.75"/>
  <cols>
    <col min="1" max="1" width="9.140625" style="55"/>
    <col min="2" max="2" width="3.28515625" style="55" customWidth="1"/>
    <col min="3" max="3" width="6.85546875" style="55" customWidth="1"/>
    <col min="4" max="4" width="6.5703125" style="55" customWidth="1"/>
    <col min="5" max="7" width="20.140625" style="84" customWidth="1"/>
    <col min="8" max="8" width="7.42578125" style="55" customWidth="1"/>
    <col min="9" max="9" width="18.85546875" style="55" customWidth="1"/>
    <col min="10" max="10" width="6.85546875" style="134" customWidth="1"/>
    <col min="11" max="11" width="6.5703125" style="55" customWidth="1"/>
    <col min="12" max="16384" width="9.140625" style="55"/>
  </cols>
  <sheetData>
    <row r="2" spans="3:18" ht="15.75">
      <c r="C2" s="116" t="s">
        <v>168</v>
      </c>
      <c r="D2" s="116"/>
      <c r="E2" s="144"/>
      <c r="F2" s="144"/>
      <c r="G2" s="145"/>
      <c r="H2" s="118"/>
      <c r="I2" s="118"/>
    </row>
    <row r="3" spans="3:18" ht="15.75">
      <c r="C3" s="116" t="s">
        <v>181</v>
      </c>
      <c r="D3" s="116"/>
      <c r="E3" s="144"/>
      <c r="F3" s="144"/>
      <c r="G3" s="145"/>
      <c r="H3" s="118"/>
      <c r="I3" s="118"/>
      <c r="J3" s="134" t="s">
        <v>141</v>
      </c>
    </row>
    <row r="4" spans="3:18">
      <c r="C4" s="119"/>
      <c r="D4" s="119"/>
      <c r="E4" s="146"/>
      <c r="F4" s="147"/>
      <c r="G4" s="147"/>
    </row>
    <row r="5" spans="3:18" s="96" customFormat="1" ht="26.25" customHeight="1">
      <c r="C5" s="1260" t="s">
        <v>75</v>
      </c>
      <c r="D5" s="1258" t="s">
        <v>120</v>
      </c>
      <c r="E5" s="1264" t="s">
        <v>186</v>
      </c>
      <c r="F5" s="1264"/>
      <c r="G5" s="1264"/>
      <c r="H5" s="1262" t="s">
        <v>171</v>
      </c>
      <c r="I5" s="1263"/>
      <c r="J5" s="1265" t="s">
        <v>76</v>
      </c>
      <c r="K5" s="1256" t="s">
        <v>121</v>
      </c>
    </row>
    <row r="6" spans="3:18" s="96" customFormat="1" ht="18.75" customHeight="1">
      <c r="C6" s="1261"/>
      <c r="D6" s="1259"/>
      <c r="E6" s="242" t="s">
        <v>155</v>
      </c>
      <c r="F6" s="243" t="s">
        <v>156</v>
      </c>
      <c r="G6" s="243" t="s">
        <v>165</v>
      </c>
      <c r="H6" s="245" t="s">
        <v>187</v>
      </c>
      <c r="I6" s="244" t="s">
        <v>185</v>
      </c>
      <c r="J6" s="1266"/>
      <c r="K6" s="1257"/>
    </row>
    <row r="7" spans="3:18" s="184" customFormat="1" hidden="1">
      <c r="C7" s="185">
        <v>2009</v>
      </c>
      <c r="D7" s="186" t="s">
        <v>33</v>
      </c>
      <c r="E7" s="187">
        <v>0</v>
      </c>
      <c r="F7" s="188">
        <v>0</v>
      </c>
      <c r="G7" s="188">
        <f t="shared" ref="G7:G12" si="0">(E7+F7)/2</f>
        <v>0</v>
      </c>
      <c r="H7" s="191"/>
      <c r="I7" s="192"/>
      <c r="J7" s="193">
        <v>2009</v>
      </c>
      <c r="K7" s="186" t="s">
        <v>33</v>
      </c>
      <c r="O7" s="190"/>
      <c r="R7" s="190"/>
    </row>
    <row r="8" spans="3:18" s="184" customFormat="1" hidden="1">
      <c r="C8" s="185"/>
      <c r="D8" s="186" t="s">
        <v>34</v>
      </c>
      <c r="E8" s="187">
        <v>0</v>
      </c>
      <c r="F8" s="188">
        <v>0</v>
      </c>
      <c r="G8" s="188">
        <f t="shared" si="0"/>
        <v>0</v>
      </c>
      <c r="H8" s="191"/>
      <c r="I8" s="192"/>
      <c r="J8" s="193"/>
      <c r="K8" s="186" t="s">
        <v>77</v>
      </c>
      <c r="O8" s="190"/>
      <c r="R8" s="190"/>
    </row>
    <row r="9" spans="3:18" s="184" customFormat="1" hidden="1">
      <c r="C9" s="185"/>
      <c r="D9" s="186" t="s">
        <v>29</v>
      </c>
      <c r="E9" s="187">
        <v>0</v>
      </c>
      <c r="F9" s="188">
        <v>0</v>
      </c>
      <c r="G9" s="188">
        <f t="shared" si="0"/>
        <v>0</v>
      </c>
      <c r="H9" s="191"/>
      <c r="I9" s="192"/>
      <c r="J9" s="193"/>
      <c r="K9" s="186" t="s">
        <v>29</v>
      </c>
      <c r="O9" s="190"/>
      <c r="R9" s="190"/>
    </row>
    <row r="10" spans="3:18" s="184" customFormat="1" hidden="1">
      <c r="C10" s="185"/>
      <c r="D10" s="186" t="s">
        <v>35</v>
      </c>
      <c r="E10" s="187">
        <v>0</v>
      </c>
      <c r="F10" s="188">
        <v>0</v>
      </c>
      <c r="G10" s="188">
        <f t="shared" si="0"/>
        <v>0</v>
      </c>
      <c r="H10" s="191"/>
      <c r="I10" s="192"/>
      <c r="J10" s="193"/>
      <c r="K10" s="186" t="s">
        <v>78</v>
      </c>
      <c r="O10" s="190"/>
      <c r="R10" s="190"/>
    </row>
    <row r="11" spans="3:18" s="184" customFormat="1" hidden="1">
      <c r="C11" s="185"/>
      <c r="D11" s="186" t="s">
        <v>4</v>
      </c>
      <c r="E11" s="187">
        <v>0</v>
      </c>
      <c r="F11" s="188">
        <v>0</v>
      </c>
      <c r="G11" s="188">
        <f t="shared" si="0"/>
        <v>0</v>
      </c>
      <c r="H11" s="191"/>
      <c r="I11" s="192"/>
      <c r="J11" s="193"/>
      <c r="K11" s="186" t="s">
        <v>79</v>
      </c>
      <c r="O11" s="190"/>
      <c r="R11" s="190"/>
    </row>
    <row r="12" spans="3:18" s="184" customFormat="1" hidden="1">
      <c r="C12" s="185"/>
      <c r="D12" s="186" t="s">
        <v>30</v>
      </c>
      <c r="E12" s="187" t="e">
        <f>#REF!</f>
        <v>#REF!</v>
      </c>
      <c r="F12" s="188">
        <v>0</v>
      </c>
      <c r="G12" s="188" t="e">
        <f t="shared" si="0"/>
        <v>#REF!</v>
      </c>
      <c r="H12" s="194" t="e">
        <f>REPT("|",G12)</f>
        <v>#REF!</v>
      </c>
      <c r="I12" s="192" t="e">
        <f>IF(G12&lt;4,"Transit",IF(G12&lt;7,"Holiday",IF(G12&lt;10.5,"Holiday/Business",IF(G12&lt;15,"Visiting friends and families"))))</f>
        <v>#REF!</v>
      </c>
      <c r="J12" s="193">
        <v>2009</v>
      </c>
      <c r="K12" s="186" t="s">
        <v>80</v>
      </c>
      <c r="O12" s="190"/>
      <c r="R12" s="190"/>
    </row>
    <row r="13" spans="3:18" s="184" customFormat="1" hidden="1">
      <c r="C13" s="185"/>
      <c r="D13" s="186" t="s">
        <v>36</v>
      </c>
      <c r="E13" s="187" t="e">
        <f>#REF!</f>
        <v>#REF!</v>
      </c>
      <c r="F13" s="187" t="e">
        <f>#REF!</f>
        <v>#REF!</v>
      </c>
      <c r="G13" s="188" t="e">
        <f t="shared" ref="G13:G54" si="1">(E13+F13)/2</f>
        <v>#REF!</v>
      </c>
      <c r="H13" s="194" t="e">
        <f t="shared" ref="H13:H28" si="2">REPT("|",G13)</f>
        <v>#REF!</v>
      </c>
      <c r="I13" s="192" t="e">
        <f>IF(G13&lt;4,"Transit",IF(G13&lt;7,"Holiday",IF(G13&lt;10.5,"Holiday/Business",IF(G13&lt;15,"Visiting friends and families"))))</f>
        <v>#REF!</v>
      </c>
      <c r="J13" s="193"/>
      <c r="K13" s="186" t="s">
        <v>81</v>
      </c>
      <c r="O13" s="190"/>
      <c r="R13" s="190"/>
    </row>
    <row r="14" spans="3:18" s="184" customFormat="1" hidden="1">
      <c r="C14" s="185"/>
      <c r="D14" s="186" t="s">
        <v>37</v>
      </c>
      <c r="E14" s="187" t="e">
        <f>#REF!</f>
        <v>#REF!</v>
      </c>
      <c r="F14" s="187" t="e">
        <f>#REF!</f>
        <v>#REF!</v>
      </c>
      <c r="G14" s="188" t="e">
        <f t="shared" si="1"/>
        <v>#REF!</v>
      </c>
      <c r="H14" s="194" t="e">
        <f t="shared" si="2"/>
        <v>#REF!</v>
      </c>
      <c r="I14" s="192" t="e">
        <f>IF(G14&lt;4,"Transit",IF(G14&lt;7,"Holiday",IF(G14&lt;10.5,"Holiday/Business",IF(G14&lt;15,"Visiting friends and families"))))</f>
        <v>#REF!</v>
      </c>
      <c r="J14" s="193"/>
      <c r="K14" s="186" t="s">
        <v>82</v>
      </c>
      <c r="O14" s="190"/>
      <c r="R14" s="190"/>
    </row>
    <row r="15" spans="3:18" s="184" customFormat="1" hidden="1">
      <c r="C15" s="185"/>
      <c r="D15" s="186" t="s">
        <v>31</v>
      </c>
      <c r="E15" s="187" t="e">
        <f>#REF!</f>
        <v>#REF!</v>
      </c>
      <c r="F15" s="187" t="e">
        <f>#REF!</f>
        <v>#REF!</v>
      </c>
      <c r="G15" s="188" t="e">
        <f t="shared" si="1"/>
        <v>#REF!</v>
      </c>
      <c r="H15" s="194" t="e">
        <f t="shared" si="2"/>
        <v>#REF!</v>
      </c>
      <c r="I15" s="192" t="e">
        <f>IF(G15&lt;4,"Transit",IF(G15&lt;7,"Holiday",IF(G15&lt;10.5,"Holiday/Business",IF(G15&lt;15,"Visiting friends and families"))))</f>
        <v>#REF!</v>
      </c>
      <c r="J15" s="193"/>
      <c r="K15" s="186" t="s">
        <v>31</v>
      </c>
      <c r="O15" s="190"/>
      <c r="R15" s="190"/>
    </row>
    <row r="16" spans="3:18" s="200" customFormat="1" hidden="1">
      <c r="C16" s="195">
        <v>2009</v>
      </c>
      <c r="D16" s="196" t="s">
        <v>38</v>
      </c>
      <c r="E16" s="197" t="e">
        <f>#REF!</f>
        <v>#REF!</v>
      </c>
      <c r="F16" s="197" t="e">
        <f>#REF!</f>
        <v>#REF!</v>
      </c>
      <c r="G16" s="198" t="e">
        <f t="shared" si="1"/>
        <v>#REF!</v>
      </c>
      <c r="H16" s="222" t="e">
        <f t="shared" si="2"/>
        <v>#REF!</v>
      </c>
      <c r="I16" s="220" t="e">
        <f>IF(G16&lt;4,"Transit",IF(G16&lt;5,"Holiday",IF(G16&lt;8.7,"Business/Holiday",IF(G16&lt;10,"Business",IF(G16&lt;14,"Visiting friends/families")))))</f>
        <v>#REF!</v>
      </c>
      <c r="J16" s="199">
        <v>2009</v>
      </c>
      <c r="K16" s="196" t="s">
        <v>49</v>
      </c>
      <c r="O16" s="201"/>
      <c r="R16" s="201"/>
    </row>
    <row r="17" spans="3:18" s="200" customFormat="1" ht="5.25" customHeight="1">
      <c r="C17" s="195"/>
      <c r="D17" s="196"/>
      <c r="E17" s="197"/>
      <c r="F17" s="197"/>
      <c r="G17" s="198"/>
      <c r="H17" s="222"/>
      <c r="I17" s="220"/>
      <c r="J17" s="199"/>
      <c r="K17" s="196"/>
      <c r="O17" s="201"/>
      <c r="R17" s="201"/>
    </row>
    <row r="18" spans="3:18" s="200" customFormat="1">
      <c r="C18" s="195">
        <v>2009</v>
      </c>
      <c r="D18" s="196" t="s">
        <v>39</v>
      </c>
      <c r="E18" s="197" t="e">
        <f>#REF!</f>
        <v>#REF!</v>
      </c>
      <c r="F18" s="197" t="e">
        <f>#REF!</f>
        <v>#REF!</v>
      </c>
      <c r="G18" s="198" t="e">
        <f t="shared" si="1"/>
        <v>#REF!</v>
      </c>
      <c r="H18" s="221" t="e">
        <f>REPT("|",G18)</f>
        <v>#REF!</v>
      </c>
      <c r="I18" s="220" t="e">
        <f>IF(G18&lt;4,"Transit",IF(G18&lt;5.1,"Holiday",IF(G18&lt;9.1,"Business/Holiday",IF(G18&lt;10.6,"Business",IF(G18&gt;10.6,"Visiting friends/families")))))</f>
        <v>#REF!</v>
      </c>
      <c r="J18" s="199">
        <v>2009</v>
      </c>
      <c r="K18" s="196" t="s">
        <v>39</v>
      </c>
      <c r="O18" s="201"/>
      <c r="R18" s="201"/>
    </row>
    <row r="19" spans="3:18" s="200" customFormat="1" hidden="1">
      <c r="C19" s="195"/>
      <c r="D19" s="196" t="s">
        <v>32</v>
      </c>
      <c r="E19" s="197" t="e">
        <f>#REF!</f>
        <v>#REF!</v>
      </c>
      <c r="F19" s="197" t="e">
        <f>#REF!</f>
        <v>#REF!</v>
      </c>
      <c r="G19" s="198" t="e">
        <f t="shared" si="1"/>
        <v>#REF!</v>
      </c>
      <c r="H19" s="221" t="e">
        <f t="shared" si="2"/>
        <v>#REF!</v>
      </c>
      <c r="I19" s="220" t="e">
        <f t="shared" ref="I19:I54" si="3">IF(G19&lt;4,"Transit",IF(G19&lt;5.1,"Holiday",IF(G19&lt;9.1,"Business/Holiday",IF(G19&lt;10.6,"Business",IF(G19&gt;10.6,"Visiting friends/families")))))</f>
        <v>#REF!</v>
      </c>
      <c r="J19" s="199"/>
      <c r="K19" s="196" t="s">
        <v>32</v>
      </c>
      <c r="O19" s="201"/>
      <c r="R19" s="201"/>
    </row>
    <row r="20" spans="3:18" s="200" customFormat="1" hidden="1">
      <c r="C20" s="195">
        <v>2010</v>
      </c>
      <c r="D20" s="196" t="s">
        <v>33</v>
      </c>
      <c r="E20" s="197" t="e">
        <f>#REF!</f>
        <v>#REF!</v>
      </c>
      <c r="F20" s="197" t="e">
        <f>#REF!</f>
        <v>#REF!</v>
      </c>
      <c r="G20" s="198" t="e">
        <f t="shared" si="1"/>
        <v>#REF!</v>
      </c>
      <c r="H20" s="221" t="e">
        <f t="shared" si="2"/>
        <v>#REF!</v>
      </c>
      <c r="I20" s="220" t="e">
        <f t="shared" si="3"/>
        <v>#REF!</v>
      </c>
      <c r="J20" s="199">
        <v>2010</v>
      </c>
      <c r="K20" s="196" t="s">
        <v>33</v>
      </c>
      <c r="O20" s="201"/>
      <c r="R20" s="201"/>
    </row>
    <row r="21" spans="3:18" s="200" customFormat="1" hidden="1">
      <c r="C21" s="195"/>
      <c r="D21" s="196" t="s">
        <v>34</v>
      </c>
      <c r="E21" s="197" t="e">
        <f>#REF!</f>
        <v>#REF!</v>
      </c>
      <c r="F21" s="197" t="e">
        <f>#REF!</f>
        <v>#REF!</v>
      </c>
      <c r="G21" s="198" t="e">
        <f t="shared" si="1"/>
        <v>#REF!</v>
      </c>
      <c r="H21" s="221" t="e">
        <f t="shared" si="2"/>
        <v>#REF!</v>
      </c>
      <c r="I21" s="220" t="e">
        <f t="shared" si="3"/>
        <v>#REF!</v>
      </c>
      <c r="J21" s="199"/>
      <c r="K21" s="196" t="s">
        <v>77</v>
      </c>
      <c r="O21" s="201"/>
      <c r="R21" s="201"/>
    </row>
    <row r="22" spans="3:18" s="200" customFormat="1" hidden="1">
      <c r="C22" s="195"/>
      <c r="D22" s="196" t="s">
        <v>29</v>
      </c>
      <c r="E22" s="197" t="e">
        <f>#REF!</f>
        <v>#REF!</v>
      </c>
      <c r="F22" s="197" t="e">
        <f>#REF!</f>
        <v>#REF!</v>
      </c>
      <c r="G22" s="198" t="e">
        <f t="shared" si="1"/>
        <v>#REF!</v>
      </c>
      <c r="H22" s="221" t="e">
        <f t="shared" si="2"/>
        <v>#REF!</v>
      </c>
      <c r="I22" s="220" t="e">
        <f t="shared" si="3"/>
        <v>#REF!</v>
      </c>
      <c r="J22" s="199"/>
      <c r="K22" s="196" t="s">
        <v>29</v>
      </c>
      <c r="O22" s="201"/>
      <c r="R22" s="201"/>
    </row>
    <row r="23" spans="3:18" s="200" customFormat="1" hidden="1">
      <c r="C23" s="195"/>
      <c r="D23" s="196" t="s">
        <v>35</v>
      </c>
      <c r="E23" s="197" t="e">
        <f>#REF!</f>
        <v>#REF!</v>
      </c>
      <c r="F23" s="197" t="e">
        <f>#REF!</f>
        <v>#REF!</v>
      </c>
      <c r="G23" s="198" t="e">
        <f t="shared" si="1"/>
        <v>#REF!</v>
      </c>
      <c r="H23" s="221" t="e">
        <f t="shared" si="2"/>
        <v>#REF!</v>
      </c>
      <c r="I23" s="220" t="e">
        <f t="shared" si="3"/>
        <v>#REF!</v>
      </c>
      <c r="J23" s="199"/>
      <c r="K23" s="196" t="s">
        <v>78</v>
      </c>
      <c r="O23" s="201"/>
      <c r="R23" s="201"/>
    </row>
    <row r="24" spans="3:18" s="200" customFormat="1" hidden="1">
      <c r="C24" s="195"/>
      <c r="D24" s="196" t="s">
        <v>4</v>
      </c>
      <c r="E24" s="197" t="e">
        <f>#REF!</f>
        <v>#REF!</v>
      </c>
      <c r="F24" s="197" t="e">
        <f>#REF!</f>
        <v>#REF!</v>
      </c>
      <c r="G24" s="198" t="e">
        <f t="shared" si="1"/>
        <v>#REF!</v>
      </c>
      <c r="H24" s="221" t="e">
        <f t="shared" si="2"/>
        <v>#REF!</v>
      </c>
      <c r="I24" s="220" t="e">
        <f t="shared" si="3"/>
        <v>#REF!</v>
      </c>
      <c r="J24" s="199"/>
      <c r="K24" s="196" t="s">
        <v>79</v>
      </c>
      <c r="O24" s="201"/>
      <c r="R24" s="201"/>
    </row>
    <row r="25" spans="3:18" s="200" customFormat="1" hidden="1">
      <c r="C25" s="195"/>
      <c r="D25" s="196" t="s">
        <v>30</v>
      </c>
      <c r="E25" s="197" t="e">
        <f>#REF!</f>
        <v>#REF!</v>
      </c>
      <c r="F25" s="197" t="e">
        <f>#REF!</f>
        <v>#REF!</v>
      </c>
      <c r="G25" s="198" t="e">
        <f t="shared" si="1"/>
        <v>#REF!</v>
      </c>
      <c r="H25" s="221" t="e">
        <f t="shared" si="2"/>
        <v>#REF!</v>
      </c>
      <c r="I25" s="220" t="e">
        <f t="shared" si="3"/>
        <v>#REF!</v>
      </c>
      <c r="J25" s="199">
        <v>2010</v>
      </c>
      <c r="K25" s="196" t="s">
        <v>80</v>
      </c>
      <c r="O25" s="201"/>
      <c r="R25" s="201"/>
    </row>
    <row r="26" spans="3:18" s="200" customFormat="1" hidden="1">
      <c r="C26" s="195"/>
      <c r="D26" s="196" t="s">
        <v>36</v>
      </c>
      <c r="E26" s="197" t="e">
        <f>#REF!</f>
        <v>#REF!</v>
      </c>
      <c r="F26" s="197" t="e">
        <f>#REF!</f>
        <v>#REF!</v>
      </c>
      <c r="G26" s="198" t="e">
        <f t="shared" si="1"/>
        <v>#REF!</v>
      </c>
      <c r="H26" s="221" t="e">
        <f t="shared" si="2"/>
        <v>#REF!</v>
      </c>
      <c r="I26" s="220" t="e">
        <f t="shared" si="3"/>
        <v>#REF!</v>
      </c>
      <c r="J26" s="199"/>
      <c r="K26" s="196" t="s">
        <v>81</v>
      </c>
      <c r="O26" s="201"/>
      <c r="R26" s="201"/>
    </row>
    <row r="27" spans="3:18" s="200" customFormat="1" hidden="1">
      <c r="C27" s="195"/>
      <c r="D27" s="196" t="s">
        <v>37</v>
      </c>
      <c r="E27" s="197" t="e">
        <f>#REF!</f>
        <v>#REF!</v>
      </c>
      <c r="F27" s="197" t="e">
        <f>#REF!</f>
        <v>#REF!</v>
      </c>
      <c r="G27" s="198" t="e">
        <f t="shared" si="1"/>
        <v>#REF!</v>
      </c>
      <c r="H27" s="221" t="e">
        <f t="shared" si="2"/>
        <v>#REF!</v>
      </c>
      <c r="I27" s="220" t="e">
        <f t="shared" si="3"/>
        <v>#REF!</v>
      </c>
      <c r="J27" s="199"/>
      <c r="K27" s="196" t="s">
        <v>82</v>
      </c>
      <c r="M27" s="202"/>
      <c r="N27" s="203"/>
      <c r="O27" s="201"/>
      <c r="R27" s="201"/>
    </row>
    <row r="28" spans="3:18" s="200" customFormat="1" hidden="1">
      <c r="C28" s="195"/>
      <c r="D28" s="196" t="s">
        <v>31</v>
      </c>
      <c r="E28" s="197" t="e">
        <f>#REF!</f>
        <v>#REF!</v>
      </c>
      <c r="F28" s="197" t="e">
        <f>#REF!</f>
        <v>#REF!</v>
      </c>
      <c r="G28" s="198" t="e">
        <f t="shared" si="1"/>
        <v>#REF!</v>
      </c>
      <c r="H28" s="221" t="e">
        <f t="shared" si="2"/>
        <v>#REF!</v>
      </c>
      <c r="I28" s="220" t="e">
        <f t="shared" si="3"/>
        <v>#REF!</v>
      </c>
      <c r="J28" s="199"/>
      <c r="K28" s="196" t="s">
        <v>31</v>
      </c>
      <c r="M28" s="204"/>
      <c r="O28" s="201"/>
      <c r="R28" s="201"/>
    </row>
    <row r="29" spans="3:18" s="200" customFormat="1" hidden="1">
      <c r="C29" s="195">
        <v>2010</v>
      </c>
      <c r="D29" s="196" t="s">
        <v>38</v>
      </c>
      <c r="E29" s="197" t="e">
        <f>#REF!</f>
        <v>#REF!</v>
      </c>
      <c r="F29" s="197" t="e">
        <f>#REF!</f>
        <v>#REF!</v>
      </c>
      <c r="G29" s="198" t="e">
        <f t="shared" si="1"/>
        <v>#REF!</v>
      </c>
      <c r="H29" s="222" t="e">
        <f t="shared" ref="H29:H54" si="4">REPT("|",G29)</f>
        <v>#REF!</v>
      </c>
      <c r="I29" s="220" t="e">
        <f t="shared" si="3"/>
        <v>#REF!</v>
      </c>
      <c r="J29" s="199">
        <v>2010</v>
      </c>
      <c r="K29" s="196" t="s">
        <v>49</v>
      </c>
      <c r="M29" s="202"/>
      <c r="O29" s="201"/>
      <c r="R29" s="201"/>
    </row>
    <row r="30" spans="3:18" s="200" customFormat="1">
      <c r="C30" s="195">
        <v>2010</v>
      </c>
      <c r="D30" s="196" t="s">
        <v>39</v>
      </c>
      <c r="E30" s="197" t="e">
        <f>#REF!</f>
        <v>#REF!</v>
      </c>
      <c r="F30" s="197" t="e">
        <f>#REF!</f>
        <v>#REF!</v>
      </c>
      <c r="G30" s="198" t="e">
        <f t="shared" si="1"/>
        <v>#REF!</v>
      </c>
      <c r="H30" s="222" t="e">
        <f t="shared" si="4"/>
        <v>#REF!</v>
      </c>
      <c r="I30" s="220" t="e">
        <f t="shared" si="3"/>
        <v>#REF!</v>
      </c>
      <c r="J30" s="199">
        <v>2010</v>
      </c>
      <c r="K30" s="196" t="s">
        <v>39</v>
      </c>
      <c r="M30" s="202"/>
      <c r="O30" s="201"/>
      <c r="R30" s="201"/>
    </row>
    <row r="31" spans="3:18" s="200" customFormat="1" hidden="1">
      <c r="C31" s="195"/>
      <c r="D31" s="196" t="s">
        <v>32</v>
      </c>
      <c r="E31" s="197" t="e">
        <f>#REF!</f>
        <v>#REF!</v>
      </c>
      <c r="F31" s="197" t="e">
        <f>#REF!</f>
        <v>#REF!</v>
      </c>
      <c r="G31" s="198" t="e">
        <f t="shared" si="1"/>
        <v>#REF!</v>
      </c>
      <c r="H31" s="222" t="e">
        <f t="shared" si="4"/>
        <v>#REF!</v>
      </c>
      <c r="I31" s="220" t="e">
        <f t="shared" si="3"/>
        <v>#REF!</v>
      </c>
      <c r="J31" s="199"/>
      <c r="K31" s="196" t="s">
        <v>32</v>
      </c>
      <c r="M31" s="202"/>
      <c r="O31" s="201"/>
      <c r="R31" s="201"/>
    </row>
    <row r="32" spans="3:18" s="200" customFormat="1">
      <c r="C32" s="195">
        <v>2011</v>
      </c>
      <c r="D32" s="196" t="s">
        <v>33</v>
      </c>
      <c r="E32" s="197">
        <v>8.638004896</v>
      </c>
      <c r="F32" s="197">
        <v>9.3602941176470598</v>
      </c>
      <c r="G32" s="198">
        <f t="shared" si="1"/>
        <v>8.9991495068235299</v>
      </c>
      <c r="H32" s="222" t="str">
        <f t="shared" si="4"/>
        <v>||||||||</v>
      </c>
      <c r="I32" s="220" t="str">
        <f t="shared" si="3"/>
        <v>Business/Holiday</v>
      </c>
      <c r="J32" s="199">
        <v>2011</v>
      </c>
      <c r="K32" s="196" t="s">
        <v>33</v>
      </c>
      <c r="M32" s="202"/>
      <c r="N32" s="206"/>
      <c r="O32" s="201"/>
      <c r="R32" s="201"/>
    </row>
    <row r="33" spans="3:18" s="200" customFormat="1">
      <c r="C33" s="195"/>
      <c r="D33" s="196" t="s">
        <v>34</v>
      </c>
      <c r="E33" s="197">
        <v>8.3964082347788001</v>
      </c>
      <c r="F33" s="197">
        <v>11.448275862068966</v>
      </c>
      <c r="G33" s="198">
        <f t="shared" si="1"/>
        <v>9.9223420484238822</v>
      </c>
      <c r="H33" s="222" t="str">
        <f t="shared" si="4"/>
        <v>|||||||||</v>
      </c>
      <c r="I33" s="220" t="str">
        <f t="shared" si="3"/>
        <v>Business</v>
      </c>
      <c r="J33" s="199"/>
      <c r="K33" s="207" t="s">
        <v>77</v>
      </c>
      <c r="M33" s="202"/>
      <c r="O33" s="201"/>
      <c r="R33" s="201"/>
    </row>
    <row r="34" spans="3:18" s="200" customFormat="1">
      <c r="C34" s="195"/>
      <c r="D34" s="196" t="s">
        <v>29</v>
      </c>
      <c r="E34" s="197">
        <v>8.797364834166288</v>
      </c>
      <c r="F34" s="197">
        <v>8.3440860220000008</v>
      </c>
      <c r="G34" s="198">
        <f t="shared" si="1"/>
        <v>8.5707254280831435</v>
      </c>
      <c r="H34" s="222" t="str">
        <f t="shared" si="4"/>
        <v>||||||||</v>
      </c>
      <c r="I34" s="220" t="str">
        <f t="shared" si="3"/>
        <v>Business/Holiday</v>
      </c>
      <c r="J34" s="199"/>
      <c r="K34" s="196" t="s">
        <v>29</v>
      </c>
      <c r="O34" s="201"/>
      <c r="R34" s="201"/>
    </row>
    <row r="35" spans="3:18" s="200" customFormat="1">
      <c r="C35" s="195"/>
      <c r="D35" s="196" t="s">
        <v>35</v>
      </c>
      <c r="E35" s="197">
        <v>8.2138628158844771</v>
      </c>
      <c r="F35" s="197">
        <v>13.838983050847499</v>
      </c>
      <c r="G35" s="198">
        <f t="shared" si="1"/>
        <v>11.026422933365989</v>
      </c>
      <c r="H35" s="222" t="str">
        <f t="shared" si="4"/>
        <v>|||||||||||</v>
      </c>
      <c r="I35" s="220" t="str">
        <f t="shared" si="3"/>
        <v>Visiting friends/families</v>
      </c>
      <c r="J35" s="199"/>
      <c r="K35" s="196" t="s">
        <v>35</v>
      </c>
    </row>
    <row r="36" spans="3:18" s="200" customFormat="1">
      <c r="C36" s="195"/>
      <c r="D36" s="196" t="s">
        <v>4</v>
      </c>
      <c r="E36" s="197">
        <v>9.1427655824387113</v>
      </c>
      <c r="F36" s="197">
        <v>10.446700507614214</v>
      </c>
      <c r="G36" s="198">
        <f t="shared" si="1"/>
        <v>9.7947330450264616</v>
      </c>
      <c r="H36" s="222" t="str">
        <f t="shared" si="4"/>
        <v>|||||||||</v>
      </c>
      <c r="I36" s="220" t="str">
        <f t="shared" si="3"/>
        <v>Business</v>
      </c>
      <c r="J36" s="199"/>
      <c r="K36" s="196" t="s">
        <v>79</v>
      </c>
    </row>
    <row r="37" spans="3:18" s="200" customFormat="1">
      <c r="C37" s="205"/>
      <c r="D37" s="196" t="s">
        <v>30</v>
      </c>
      <c r="E37" s="197">
        <v>8.589365037888685</v>
      </c>
      <c r="F37" s="197">
        <v>12.584905660377359</v>
      </c>
      <c r="G37" s="198">
        <f t="shared" si="1"/>
        <v>10.587135349133021</v>
      </c>
      <c r="H37" s="222" t="str">
        <f t="shared" si="4"/>
        <v>||||||||||</v>
      </c>
      <c r="I37" s="220" t="str">
        <f t="shared" si="3"/>
        <v>Business</v>
      </c>
      <c r="J37" s="199"/>
      <c r="K37" s="196" t="s">
        <v>80</v>
      </c>
    </row>
    <row r="38" spans="3:18" s="200" customFormat="1">
      <c r="C38" s="205"/>
      <c r="D38" s="196" t="s">
        <v>36</v>
      </c>
      <c r="E38" s="197">
        <v>8.9597811480130538</v>
      </c>
      <c r="F38" s="197">
        <v>10.425806451612903</v>
      </c>
      <c r="G38" s="198">
        <f t="shared" si="1"/>
        <v>9.6927937998129785</v>
      </c>
      <c r="H38" s="222" t="str">
        <f t="shared" si="4"/>
        <v>|||||||||</v>
      </c>
      <c r="I38" s="220" t="str">
        <f t="shared" si="3"/>
        <v>Business</v>
      </c>
      <c r="J38" s="199"/>
      <c r="K38" s="196" t="s">
        <v>81</v>
      </c>
    </row>
    <row r="39" spans="3:18" s="200" customFormat="1">
      <c r="C39" s="205"/>
      <c r="D39" s="196" t="s">
        <v>37</v>
      </c>
      <c r="E39" s="197">
        <v>8.9640038914711919</v>
      </c>
      <c r="F39" s="197">
        <v>10.8283378746594</v>
      </c>
      <c r="G39" s="198">
        <f t="shared" si="1"/>
        <v>9.8961708830652952</v>
      </c>
      <c r="H39" s="222" t="str">
        <f t="shared" si="4"/>
        <v>|||||||||</v>
      </c>
      <c r="I39" s="220" t="str">
        <f t="shared" si="3"/>
        <v>Business</v>
      </c>
      <c r="J39" s="199"/>
      <c r="K39" s="196" t="s">
        <v>82</v>
      </c>
    </row>
    <row r="40" spans="3:18" s="200" customFormat="1">
      <c r="C40" s="205"/>
      <c r="D40" s="196" t="s">
        <v>31</v>
      </c>
      <c r="E40" s="197">
        <v>8.7441051830924703</v>
      </c>
      <c r="F40" s="197">
        <v>9.5801749271137027</v>
      </c>
      <c r="G40" s="198">
        <f t="shared" si="1"/>
        <v>9.1621400551030874</v>
      </c>
      <c r="H40" s="222" t="str">
        <f t="shared" si="4"/>
        <v>|||||||||</v>
      </c>
      <c r="I40" s="220" t="str">
        <f t="shared" si="3"/>
        <v>Business</v>
      </c>
      <c r="J40" s="199"/>
      <c r="K40" s="196" t="s">
        <v>31</v>
      </c>
    </row>
    <row r="41" spans="3:18" s="200" customFormat="1">
      <c r="C41" s="205"/>
      <c r="D41" s="196" t="s">
        <v>38</v>
      </c>
      <c r="E41" s="197">
        <v>8.0182057731464802</v>
      </c>
      <c r="F41" s="197">
        <v>9.039007092198581</v>
      </c>
      <c r="G41" s="198">
        <f t="shared" si="1"/>
        <v>8.5286064326725306</v>
      </c>
      <c r="H41" s="222" t="str">
        <f t="shared" si="4"/>
        <v>||||||||</v>
      </c>
      <c r="I41" s="220" t="str">
        <f t="shared" si="3"/>
        <v>Business/Holiday</v>
      </c>
      <c r="J41" s="199"/>
      <c r="K41" s="196" t="s">
        <v>49</v>
      </c>
    </row>
    <row r="42" spans="3:18" s="200" customFormat="1">
      <c r="C42" s="205"/>
      <c r="D42" s="196" t="s">
        <v>39</v>
      </c>
      <c r="E42" s="197">
        <v>8.1449945593035906</v>
      </c>
      <c r="F42" s="197">
        <v>10.963576160000001</v>
      </c>
      <c r="G42" s="198">
        <f t="shared" si="1"/>
        <v>9.5542853596517965</v>
      </c>
      <c r="H42" s="222" t="str">
        <f t="shared" si="4"/>
        <v>|||||||||</v>
      </c>
      <c r="I42" s="220" t="str">
        <f t="shared" si="3"/>
        <v>Business</v>
      </c>
      <c r="J42" s="199"/>
      <c r="K42" s="196" t="s">
        <v>39</v>
      </c>
      <c r="P42" s="208"/>
    </row>
    <row r="43" spans="3:18" s="200" customFormat="1">
      <c r="C43" s="205"/>
      <c r="D43" s="196" t="s">
        <v>32</v>
      </c>
      <c r="E43" s="197">
        <v>11.985294120000001</v>
      </c>
      <c r="F43" s="197">
        <v>13.53231939</v>
      </c>
      <c r="G43" s="198">
        <f t="shared" si="1"/>
        <v>12.758806755</v>
      </c>
      <c r="H43" s="222" t="str">
        <f t="shared" si="4"/>
        <v>||||||||||||</v>
      </c>
      <c r="I43" s="220" t="str">
        <f t="shared" si="3"/>
        <v>Visiting friends/families</v>
      </c>
      <c r="J43" s="199"/>
      <c r="K43" s="196" t="s">
        <v>83</v>
      </c>
    </row>
    <row r="44" spans="3:18" s="200" customFormat="1">
      <c r="C44" s="195">
        <v>2012</v>
      </c>
      <c r="D44" s="16" t="s">
        <v>33</v>
      </c>
      <c r="E44" s="197">
        <v>10.287258792938278</v>
      </c>
      <c r="F44" s="197">
        <v>11.109756097560975</v>
      </c>
      <c r="G44" s="198">
        <f t="shared" si="1"/>
        <v>10.698507445249627</v>
      </c>
      <c r="H44" s="222" t="str">
        <f t="shared" si="4"/>
        <v>||||||||||</v>
      </c>
      <c r="I44" s="220" t="str">
        <f t="shared" si="3"/>
        <v>Visiting friends/families</v>
      </c>
      <c r="J44" s="199">
        <v>2012</v>
      </c>
      <c r="K44" s="196" t="s">
        <v>33</v>
      </c>
    </row>
    <row r="45" spans="3:18" s="200" customFormat="1">
      <c r="C45" s="195"/>
      <c r="D45" s="16" t="s">
        <v>34</v>
      </c>
      <c r="E45" s="197">
        <v>9.2880630630630634</v>
      </c>
      <c r="F45" s="197">
        <v>10.655172413793103</v>
      </c>
      <c r="G45" s="198">
        <f t="shared" si="1"/>
        <v>9.9716177384280833</v>
      </c>
      <c r="H45" s="222" t="str">
        <f t="shared" si="4"/>
        <v>|||||||||</v>
      </c>
      <c r="I45" s="220" t="str">
        <f t="shared" si="3"/>
        <v>Business</v>
      </c>
      <c r="J45" s="199"/>
      <c r="K45" s="207" t="s">
        <v>77</v>
      </c>
    </row>
    <row r="46" spans="3:18" s="200" customFormat="1">
      <c r="C46" s="195"/>
      <c r="D46" s="16" t="s">
        <v>29</v>
      </c>
      <c r="E46" s="197">
        <v>9.7463827019996749</v>
      </c>
      <c r="F46" s="197">
        <v>11.178010471204189</v>
      </c>
      <c r="G46" s="198">
        <f t="shared" si="1"/>
        <v>10.462196586601932</v>
      </c>
      <c r="H46" s="222" t="str">
        <f t="shared" si="4"/>
        <v>||||||||||</v>
      </c>
      <c r="I46" s="220" t="str">
        <f t="shared" si="3"/>
        <v>Business</v>
      </c>
      <c r="J46" s="199"/>
      <c r="K46" s="196" t="s">
        <v>29</v>
      </c>
    </row>
    <row r="47" spans="3:18" s="200" customFormat="1">
      <c r="C47" s="195"/>
      <c r="D47" s="16" t="s">
        <v>35</v>
      </c>
      <c r="E47" s="197">
        <v>9.6733892090099527</v>
      </c>
      <c r="F47" s="197">
        <v>10.79372197309417</v>
      </c>
      <c r="G47" s="198">
        <f t="shared" si="1"/>
        <v>10.233555591052061</v>
      </c>
      <c r="H47" s="222" t="str">
        <f t="shared" si="4"/>
        <v>||||||||||</v>
      </c>
      <c r="I47" s="220" t="str">
        <f t="shared" si="3"/>
        <v>Business</v>
      </c>
      <c r="J47" s="199"/>
      <c r="K47" s="196" t="s">
        <v>35</v>
      </c>
      <c r="O47" s="208"/>
    </row>
    <row r="48" spans="3:18" s="200" customFormat="1">
      <c r="C48" s="195"/>
      <c r="D48" s="16" t="s">
        <v>4</v>
      </c>
      <c r="E48" s="197">
        <v>9.8192021636240696</v>
      </c>
      <c r="F48" s="197">
        <v>12.575342465753424</v>
      </c>
      <c r="G48" s="198">
        <f t="shared" si="1"/>
        <v>11.197272314688746</v>
      </c>
      <c r="H48" s="222" t="str">
        <f t="shared" si="4"/>
        <v>|||||||||||</v>
      </c>
      <c r="I48" s="220" t="str">
        <f t="shared" si="3"/>
        <v>Visiting friends/families</v>
      </c>
      <c r="J48" s="199"/>
      <c r="K48" s="196" t="s">
        <v>79</v>
      </c>
      <c r="O48" s="206"/>
    </row>
    <row r="49" spans="3:15" s="200" customFormat="1">
      <c r="C49" s="195"/>
      <c r="D49" s="16" t="s">
        <v>30</v>
      </c>
      <c r="E49" s="209">
        <v>9.5336464821811493</v>
      </c>
      <c r="F49" s="197">
        <v>11.744047619047619</v>
      </c>
      <c r="G49" s="198">
        <f t="shared" si="1"/>
        <v>10.638847050614384</v>
      </c>
      <c r="H49" s="222" t="str">
        <f t="shared" si="4"/>
        <v>||||||||||</v>
      </c>
      <c r="I49" s="220" t="str">
        <f t="shared" si="3"/>
        <v>Visiting friends/families</v>
      </c>
      <c r="J49" s="199"/>
      <c r="K49" s="196" t="s">
        <v>80</v>
      </c>
    </row>
    <row r="50" spans="3:15" s="200" customFormat="1">
      <c r="C50" s="195"/>
      <c r="D50" s="16" t="s">
        <v>36</v>
      </c>
      <c r="E50" s="209">
        <v>11.368008363826451</v>
      </c>
      <c r="F50" s="197">
        <v>11.535031847133759</v>
      </c>
      <c r="G50" s="198">
        <f t="shared" si="1"/>
        <v>11.451520105480105</v>
      </c>
      <c r="H50" s="222" t="str">
        <f t="shared" si="4"/>
        <v>|||||||||||</v>
      </c>
      <c r="I50" s="220" t="str">
        <f t="shared" si="3"/>
        <v>Visiting friends/families</v>
      </c>
      <c r="J50" s="199"/>
      <c r="K50" s="196" t="s">
        <v>81</v>
      </c>
    </row>
    <row r="51" spans="3:15" s="200" customFormat="1">
      <c r="C51" s="195"/>
      <c r="D51" s="14" t="s">
        <v>37</v>
      </c>
      <c r="E51" s="209">
        <v>10.445090121146459</v>
      </c>
      <c r="F51" s="197">
        <v>10.50199203187251</v>
      </c>
      <c r="G51" s="198">
        <f t="shared" si="1"/>
        <v>10.473541076509484</v>
      </c>
      <c r="H51" s="222" t="str">
        <f t="shared" si="4"/>
        <v>||||||||||</v>
      </c>
      <c r="I51" s="220" t="str">
        <f t="shared" si="3"/>
        <v>Business</v>
      </c>
      <c r="J51" s="199"/>
      <c r="K51" s="196" t="s">
        <v>82</v>
      </c>
      <c r="N51" s="201"/>
    </row>
    <row r="52" spans="3:15" s="200" customFormat="1">
      <c r="C52" s="195"/>
      <c r="D52" s="14" t="s">
        <v>31</v>
      </c>
      <c r="E52" s="209">
        <v>9.5212454842594187</v>
      </c>
      <c r="F52" s="197">
        <v>11.020338983050847</v>
      </c>
      <c r="G52" s="198">
        <f t="shared" si="1"/>
        <v>10.270792233655133</v>
      </c>
      <c r="H52" s="222" t="str">
        <f t="shared" si="4"/>
        <v>||||||||||</v>
      </c>
      <c r="I52" s="220" t="str">
        <f t="shared" si="3"/>
        <v>Business</v>
      </c>
      <c r="J52" s="199"/>
      <c r="K52" s="196" t="s">
        <v>31</v>
      </c>
      <c r="N52" s="201"/>
    </row>
    <row r="53" spans="3:15" s="200" customFormat="1">
      <c r="C53" s="195"/>
      <c r="D53" s="14" t="s">
        <v>38</v>
      </c>
      <c r="E53" s="209">
        <v>10.445090121146459</v>
      </c>
      <c r="F53" s="197">
        <v>10.50199203187251</v>
      </c>
      <c r="G53" s="198">
        <f t="shared" si="1"/>
        <v>10.473541076509484</v>
      </c>
      <c r="H53" s="222" t="str">
        <f t="shared" si="4"/>
        <v>||||||||||</v>
      </c>
      <c r="I53" s="220" t="str">
        <f t="shared" si="3"/>
        <v>Business</v>
      </c>
      <c r="J53" s="199"/>
      <c r="K53" s="196" t="s">
        <v>49</v>
      </c>
      <c r="N53" s="201"/>
    </row>
    <row r="54" spans="3:15" s="200" customFormat="1">
      <c r="C54" s="195"/>
      <c r="D54" s="14" t="s">
        <v>39</v>
      </c>
      <c r="E54" s="209">
        <v>8.9084421704591357</v>
      </c>
      <c r="F54" s="197">
        <v>9.0222222222222221</v>
      </c>
      <c r="G54" s="198">
        <f t="shared" si="1"/>
        <v>8.9653321963406789</v>
      </c>
      <c r="H54" s="222" t="str">
        <f t="shared" si="4"/>
        <v>||||||||</v>
      </c>
      <c r="I54" s="220" t="str">
        <f t="shared" si="3"/>
        <v>Business/Holiday</v>
      </c>
      <c r="J54" s="199"/>
      <c r="K54" s="196" t="s">
        <v>39</v>
      </c>
      <c r="N54" s="201"/>
    </row>
    <row r="55" spans="3:15" s="200" customFormat="1" ht="15">
      <c r="C55" s="210"/>
      <c r="D55" s="211"/>
      <c r="E55" s="212"/>
      <c r="F55" s="213"/>
      <c r="G55" s="213"/>
      <c r="H55" s="214"/>
      <c r="I55" s="223"/>
      <c r="J55" s="215"/>
      <c r="K55" s="216"/>
    </row>
    <row r="56" spans="3:15">
      <c r="C56" s="122" t="s">
        <v>84</v>
      </c>
      <c r="D56" s="123" t="s">
        <v>134</v>
      </c>
      <c r="E56" s="148"/>
      <c r="F56" s="148"/>
      <c r="N56" s="141"/>
      <c r="O56" s="142"/>
    </row>
    <row r="57" spans="3:15" ht="18.75" customHeight="1">
      <c r="C57" s="122"/>
      <c r="D57" s="123"/>
      <c r="E57" s="148"/>
      <c r="F57" s="148"/>
      <c r="N57" s="141"/>
      <c r="O57" s="142"/>
    </row>
    <row r="58" spans="3:15" s="228" customFormat="1" ht="15.75" customHeight="1">
      <c r="C58" s="224" t="s">
        <v>174</v>
      </c>
      <c r="D58" s="225"/>
      <c r="E58" s="226"/>
      <c r="F58" s="227" t="s">
        <v>150</v>
      </c>
      <c r="G58" s="226"/>
      <c r="I58" s="229"/>
      <c r="K58" s="229"/>
    </row>
    <row r="59" spans="3:15" s="232" customFormat="1" ht="9">
      <c r="C59" s="230" t="s">
        <v>175</v>
      </c>
      <c r="D59" s="231"/>
      <c r="F59" s="239" t="s">
        <v>151</v>
      </c>
      <c r="G59" s="233"/>
      <c r="I59" s="234"/>
      <c r="K59" s="234"/>
    </row>
    <row r="60" spans="3:15" s="228" customFormat="1" ht="9">
      <c r="C60" s="235" t="s">
        <v>172</v>
      </c>
      <c r="D60" s="225"/>
      <c r="E60" s="226"/>
      <c r="F60" s="240" t="s">
        <v>177</v>
      </c>
      <c r="G60" s="226"/>
      <c r="I60" s="229"/>
      <c r="K60" s="229"/>
    </row>
    <row r="61" spans="3:15" s="228" customFormat="1" ht="9">
      <c r="C61" s="235" t="s">
        <v>176</v>
      </c>
      <c r="D61" s="225"/>
      <c r="E61" s="226"/>
      <c r="F61" s="241" t="s">
        <v>180</v>
      </c>
      <c r="G61" s="226"/>
      <c r="I61" s="229"/>
      <c r="K61" s="229"/>
    </row>
    <row r="62" spans="3:15" s="228" customFormat="1" ht="9">
      <c r="C62" s="236" t="s">
        <v>178</v>
      </c>
      <c r="D62" s="225"/>
      <c r="E62" s="226"/>
      <c r="F62" s="241" t="s">
        <v>183</v>
      </c>
      <c r="G62" s="226"/>
      <c r="I62" s="229"/>
      <c r="K62" s="229"/>
    </row>
    <row r="63" spans="3:15" s="228" customFormat="1" ht="9">
      <c r="C63" s="236" t="s">
        <v>173</v>
      </c>
      <c r="D63" s="237"/>
      <c r="E63" s="225"/>
      <c r="F63" s="239" t="s">
        <v>184</v>
      </c>
      <c r="G63" s="226"/>
      <c r="I63" s="229"/>
      <c r="J63" s="238"/>
    </row>
    <row r="78" spans="5:7" s="55" customFormat="1">
      <c r="E78" s="84"/>
      <c r="F78" s="149"/>
      <c r="G78" s="84"/>
    </row>
    <row r="80" spans="5:7" s="55" customFormat="1">
      <c r="E80" s="84"/>
      <c r="F80" s="84"/>
      <c r="G80" s="84"/>
    </row>
    <row r="82" spans="5:7" s="55" customFormat="1" ht="13.5">
      <c r="E82" s="150"/>
      <c r="F82" s="84"/>
      <c r="G82" s="84"/>
    </row>
    <row r="83" spans="5:7" s="55" customFormat="1" ht="13.5">
      <c r="E83" s="150"/>
      <c r="F83" s="84"/>
      <c r="G83" s="84"/>
    </row>
    <row r="84" spans="5:7" s="55" customFormat="1" ht="13.5">
      <c r="E84" s="150"/>
      <c r="F84" s="84"/>
      <c r="G84" s="84"/>
    </row>
    <row r="85" spans="5:7" s="55" customFormat="1" ht="13.5">
      <c r="E85" s="150"/>
      <c r="F85" s="84"/>
      <c r="G85" s="84"/>
    </row>
    <row r="86" spans="5:7" s="55" customFormat="1" ht="13.5">
      <c r="E86" s="150"/>
      <c r="F86" s="84"/>
      <c r="G86" s="84"/>
    </row>
    <row r="87" spans="5:7" s="55" customFormat="1" ht="13.5">
      <c r="E87" s="150"/>
      <c r="F87" s="84"/>
      <c r="G87" s="84"/>
    </row>
    <row r="88" spans="5:7" s="55" customFormat="1" ht="13.5">
      <c r="E88" s="150"/>
      <c r="F88" s="84"/>
      <c r="G88" s="84"/>
    </row>
    <row r="89" spans="5:7" s="55" customFormat="1" ht="13.5">
      <c r="E89" s="150"/>
      <c r="F89" s="84"/>
      <c r="G89" s="84"/>
    </row>
    <row r="90" spans="5:7" s="55" customFormat="1" ht="13.5">
      <c r="E90" s="150"/>
      <c r="F90" s="84"/>
      <c r="G90" s="84"/>
    </row>
    <row r="93" spans="5:7" s="55" customFormat="1" ht="13.5">
      <c r="E93" s="150"/>
      <c r="F93" s="84"/>
      <c r="G93" s="84"/>
    </row>
    <row r="94" spans="5:7" s="55" customFormat="1" ht="13.5">
      <c r="E94" s="150"/>
      <c r="F94" s="84"/>
      <c r="G94" s="84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6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7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2" spans="2:16" ht="15.75">
      <c r="B2" s="116" t="s">
        <v>168</v>
      </c>
      <c r="C2" s="116"/>
      <c r="D2" s="144"/>
      <c r="E2" s="144"/>
      <c r="F2" s="145"/>
      <c r="G2" s="118"/>
    </row>
    <row r="3" spans="2:16" ht="15.75">
      <c r="B3" s="116" t="s">
        <v>157</v>
      </c>
      <c r="C3" s="116"/>
      <c r="D3" s="179"/>
      <c r="E3" s="179"/>
      <c r="F3" s="180"/>
      <c r="G3" s="118"/>
      <c r="H3" s="134" t="s">
        <v>141</v>
      </c>
    </row>
    <row r="4" spans="2:16">
      <c r="B4" s="119"/>
      <c r="C4" s="119"/>
      <c r="D4" s="146"/>
      <c r="E4" s="147"/>
      <c r="F4" s="147"/>
    </row>
    <row r="5" spans="2:16" s="96" customFormat="1" ht="14.25" customHeight="1">
      <c r="B5" s="1260" t="s">
        <v>75</v>
      </c>
      <c r="C5" s="1258" t="s">
        <v>120</v>
      </c>
      <c r="D5" s="1264" t="s">
        <v>169</v>
      </c>
      <c r="E5" s="1264"/>
      <c r="F5" s="1264"/>
      <c r="G5" s="182"/>
      <c r="H5" s="1271" t="s">
        <v>76</v>
      </c>
      <c r="I5" s="1256" t="s">
        <v>121</v>
      </c>
    </row>
    <row r="6" spans="2:16" s="96" customFormat="1" ht="14.25" customHeight="1">
      <c r="B6" s="1267"/>
      <c r="C6" s="1269"/>
      <c r="D6" s="177" t="s">
        <v>155</v>
      </c>
      <c r="E6" s="178" t="s">
        <v>156</v>
      </c>
      <c r="F6" s="178" t="s">
        <v>165</v>
      </c>
      <c r="G6" s="183" t="s">
        <v>171</v>
      </c>
      <c r="H6" s="1272"/>
      <c r="I6" s="1274"/>
    </row>
    <row r="7" spans="2:16" s="96" customFormat="1" ht="14.25" customHeight="1">
      <c r="B7" s="1268"/>
      <c r="C7" s="1270"/>
      <c r="D7" s="175"/>
      <c r="E7" s="176"/>
      <c r="F7" s="219"/>
      <c r="G7" s="181"/>
      <c r="H7" s="1273"/>
      <c r="I7" s="1270"/>
    </row>
    <row r="8" spans="2:16" s="184" customFormat="1" hidden="1">
      <c r="B8" s="185">
        <v>2009</v>
      </c>
      <c r="C8" s="186" t="s">
        <v>33</v>
      </c>
      <c r="D8" s="187">
        <v>0</v>
      </c>
      <c r="E8" s="188">
        <v>0</v>
      </c>
      <c r="F8" s="188">
        <f t="shared" ref="F8:F13" si="0">(D8+E8)/2</f>
        <v>0</v>
      </c>
      <c r="G8" s="191"/>
      <c r="H8" s="189">
        <v>2009</v>
      </c>
      <c r="I8" s="186" t="s">
        <v>33</v>
      </c>
      <c r="M8" s="190"/>
      <c r="P8" s="190"/>
    </row>
    <row r="9" spans="2:16" s="184" customFormat="1" hidden="1">
      <c r="B9" s="185"/>
      <c r="C9" s="186" t="s">
        <v>34</v>
      </c>
      <c r="D9" s="187">
        <v>0</v>
      </c>
      <c r="E9" s="188">
        <v>0</v>
      </c>
      <c r="F9" s="188">
        <f t="shared" si="0"/>
        <v>0</v>
      </c>
      <c r="G9" s="191"/>
      <c r="H9" s="193"/>
      <c r="I9" s="186" t="s">
        <v>77</v>
      </c>
      <c r="M9" s="190"/>
      <c r="P9" s="190"/>
    </row>
    <row r="10" spans="2:16" s="184" customFormat="1" hidden="1">
      <c r="B10" s="185"/>
      <c r="C10" s="186" t="s">
        <v>29</v>
      </c>
      <c r="D10" s="187">
        <v>0</v>
      </c>
      <c r="E10" s="188">
        <v>0</v>
      </c>
      <c r="F10" s="188">
        <f t="shared" si="0"/>
        <v>0</v>
      </c>
      <c r="G10" s="191"/>
      <c r="H10" s="193"/>
      <c r="I10" s="186" t="s">
        <v>29</v>
      </c>
      <c r="M10" s="190"/>
      <c r="P10" s="190"/>
    </row>
    <row r="11" spans="2:16" s="184" customFormat="1" hidden="1">
      <c r="B11" s="185"/>
      <c r="C11" s="186" t="s">
        <v>35</v>
      </c>
      <c r="D11" s="187">
        <v>0</v>
      </c>
      <c r="E11" s="188">
        <v>0</v>
      </c>
      <c r="F11" s="188">
        <f t="shared" si="0"/>
        <v>0</v>
      </c>
      <c r="G11" s="191"/>
      <c r="H11" s="193"/>
      <c r="I11" s="186" t="s">
        <v>78</v>
      </c>
      <c r="M11" s="190"/>
      <c r="P11" s="190"/>
    </row>
    <row r="12" spans="2:16" s="184" customFormat="1" hidden="1">
      <c r="B12" s="185"/>
      <c r="C12" s="186" t="s">
        <v>4</v>
      </c>
      <c r="D12" s="187">
        <v>0</v>
      </c>
      <c r="E12" s="188">
        <v>0</v>
      </c>
      <c r="F12" s="188">
        <f t="shared" si="0"/>
        <v>0</v>
      </c>
      <c r="G12" s="191"/>
      <c r="H12" s="193"/>
      <c r="I12" s="186" t="s">
        <v>79</v>
      </c>
      <c r="M12" s="190"/>
      <c r="P12" s="190"/>
    </row>
    <row r="13" spans="2:16" s="184" customFormat="1" hidden="1">
      <c r="B13" s="185"/>
      <c r="C13" s="186" t="s">
        <v>30</v>
      </c>
      <c r="D13" s="187" t="e">
        <f>#REF!</f>
        <v>#REF!</v>
      </c>
      <c r="E13" s="188">
        <v>0</v>
      </c>
      <c r="F13" s="188" t="e">
        <f t="shared" si="0"/>
        <v>#REF!</v>
      </c>
      <c r="G13" s="194" t="e">
        <f>REPT("|",F13)</f>
        <v>#REF!</v>
      </c>
      <c r="H13" s="193">
        <v>2009</v>
      </c>
      <c r="I13" s="186" t="s">
        <v>80</v>
      </c>
      <c r="M13" s="190"/>
      <c r="P13" s="190"/>
    </row>
    <row r="14" spans="2:16" s="184" customFormat="1" hidden="1">
      <c r="B14" s="185"/>
      <c r="C14" s="186" t="s">
        <v>36</v>
      </c>
      <c r="D14" s="187" t="e">
        <f>#REF!</f>
        <v>#REF!</v>
      </c>
      <c r="E14" s="187" t="e">
        <f>#REF!</f>
        <v>#REF!</v>
      </c>
      <c r="F14" s="188" t="e">
        <f t="shared" ref="F14:F53" si="1">(D14+E14)/2</f>
        <v>#REF!</v>
      </c>
      <c r="G14" s="194" t="e">
        <f t="shared" ref="G14:G53" si="2">REPT("|",F14)</f>
        <v>#REF!</v>
      </c>
      <c r="H14" s="193"/>
      <c r="I14" s="186" t="s">
        <v>81</v>
      </c>
      <c r="M14" s="190"/>
      <c r="P14" s="190"/>
    </row>
    <row r="15" spans="2:16" s="184" customFormat="1" hidden="1">
      <c r="B15" s="185"/>
      <c r="C15" s="186" t="s">
        <v>37</v>
      </c>
      <c r="D15" s="187" t="e">
        <f>#REF!</f>
        <v>#REF!</v>
      </c>
      <c r="E15" s="187" t="e">
        <f>#REF!</f>
        <v>#REF!</v>
      </c>
      <c r="F15" s="188" t="e">
        <f t="shared" si="1"/>
        <v>#REF!</v>
      </c>
      <c r="G15" s="194" t="e">
        <f t="shared" si="2"/>
        <v>#REF!</v>
      </c>
      <c r="H15" s="193"/>
      <c r="I15" s="186" t="s">
        <v>82</v>
      </c>
      <c r="M15" s="190"/>
      <c r="P15" s="190"/>
    </row>
    <row r="16" spans="2:16" s="184" customFormat="1" hidden="1">
      <c r="B16" s="185"/>
      <c r="C16" s="186" t="s">
        <v>31</v>
      </c>
      <c r="D16" s="187" t="e">
        <f>#REF!</f>
        <v>#REF!</v>
      </c>
      <c r="E16" s="187" t="e">
        <f>#REF!</f>
        <v>#REF!</v>
      </c>
      <c r="F16" s="188" t="e">
        <f t="shared" si="1"/>
        <v>#REF!</v>
      </c>
      <c r="G16" s="194" t="e">
        <f t="shared" si="2"/>
        <v>#REF!</v>
      </c>
      <c r="H16" s="193"/>
      <c r="I16" s="186" t="s">
        <v>31</v>
      </c>
      <c r="M16" s="190"/>
      <c r="P16" s="190"/>
    </row>
    <row r="17" spans="2:16" s="200" customFormat="1">
      <c r="B17" s="195">
        <v>2009</v>
      </c>
      <c r="C17" s="196" t="s">
        <v>38</v>
      </c>
      <c r="D17" s="197" t="e">
        <f>#REF!</f>
        <v>#REF!</v>
      </c>
      <c r="E17" s="197" t="e">
        <f>#REF!</f>
        <v>#REF!</v>
      </c>
      <c r="F17" s="198" t="e">
        <f t="shared" si="1"/>
        <v>#REF!</v>
      </c>
      <c r="G17" s="222" t="e">
        <f t="shared" si="2"/>
        <v>#REF!</v>
      </c>
      <c r="H17" s="199">
        <v>2009</v>
      </c>
      <c r="I17" s="196" t="s">
        <v>49</v>
      </c>
      <c r="M17" s="201"/>
      <c r="P17" s="201"/>
    </row>
    <row r="18" spans="2:16" s="200" customFormat="1" hidden="1">
      <c r="B18" s="195"/>
      <c r="C18" s="196" t="s">
        <v>39</v>
      </c>
      <c r="D18" s="197" t="e">
        <f>#REF!</f>
        <v>#REF!</v>
      </c>
      <c r="E18" s="197" t="e">
        <f>#REF!</f>
        <v>#REF!</v>
      </c>
      <c r="F18" s="198" t="e">
        <f t="shared" si="1"/>
        <v>#REF!</v>
      </c>
      <c r="G18" s="221" t="e">
        <f t="shared" si="2"/>
        <v>#REF!</v>
      </c>
      <c r="H18" s="199"/>
      <c r="I18" s="196" t="s">
        <v>39</v>
      </c>
      <c r="M18" s="201"/>
      <c r="P18" s="201"/>
    </row>
    <row r="19" spans="2:16" s="200" customFormat="1" hidden="1">
      <c r="B19" s="195"/>
      <c r="C19" s="196" t="s">
        <v>32</v>
      </c>
      <c r="D19" s="197" t="e">
        <f>#REF!</f>
        <v>#REF!</v>
      </c>
      <c r="E19" s="197" t="e">
        <f>#REF!</f>
        <v>#REF!</v>
      </c>
      <c r="F19" s="198" t="e">
        <f t="shared" si="1"/>
        <v>#REF!</v>
      </c>
      <c r="G19" s="221" t="e">
        <f t="shared" si="2"/>
        <v>#REF!</v>
      </c>
      <c r="H19" s="199"/>
      <c r="I19" s="196" t="s">
        <v>32</v>
      </c>
      <c r="M19" s="201"/>
      <c r="P19" s="201"/>
    </row>
    <row r="20" spans="2:16" s="200" customFormat="1" hidden="1">
      <c r="B20" s="195">
        <v>2010</v>
      </c>
      <c r="C20" s="196" t="s">
        <v>33</v>
      </c>
      <c r="D20" s="197" t="e">
        <f>#REF!</f>
        <v>#REF!</v>
      </c>
      <c r="E20" s="197" t="e">
        <f>#REF!</f>
        <v>#REF!</v>
      </c>
      <c r="F20" s="198" t="e">
        <f t="shared" si="1"/>
        <v>#REF!</v>
      </c>
      <c r="G20" s="221" t="e">
        <f t="shared" si="2"/>
        <v>#REF!</v>
      </c>
      <c r="H20" s="199">
        <v>2010</v>
      </c>
      <c r="I20" s="196" t="s">
        <v>33</v>
      </c>
      <c r="M20" s="201"/>
      <c r="P20" s="201"/>
    </row>
    <row r="21" spans="2:16" s="200" customFormat="1" hidden="1">
      <c r="B21" s="195"/>
      <c r="C21" s="196" t="s">
        <v>34</v>
      </c>
      <c r="D21" s="197" t="e">
        <f>#REF!</f>
        <v>#REF!</v>
      </c>
      <c r="E21" s="197" t="e">
        <f>#REF!</f>
        <v>#REF!</v>
      </c>
      <c r="F21" s="198" t="e">
        <f t="shared" si="1"/>
        <v>#REF!</v>
      </c>
      <c r="G21" s="221" t="e">
        <f t="shared" si="2"/>
        <v>#REF!</v>
      </c>
      <c r="H21" s="199"/>
      <c r="I21" s="196" t="s">
        <v>77</v>
      </c>
      <c r="M21" s="201"/>
      <c r="P21" s="201"/>
    </row>
    <row r="22" spans="2:16" s="200" customFormat="1" hidden="1">
      <c r="B22" s="195"/>
      <c r="C22" s="196" t="s">
        <v>29</v>
      </c>
      <c r="D22" s="197" t="e">
        <f>#REF!</f>
        <v>#REF!</v>
      </c>
      <c r="E22" s="197" t="e">
        <f>#REF!</f>
        <v>#REF!</v>
      </c>
      <c r="F22" s="198" t="e">
        <f t="shared" si="1"/>
        <v>#REF!</v>
      </c>
      <c r="G22" s="221" t="e">
        <f t="shared" si="2"/>
        <v>#REF!</v>
      </c>
      <c r="H22" s="199"/>
      <c r="I22" s="196" t="s">
        <v>29</v>
      </c>
      <c r="M22" s="201"/>
      <c r="P22" s="201"/>
    </row>
    <row r="23" spans="2:16" s="200" customFormat="1" hidden="1">
      <c r="B23" s="195"/>
      <c r="C23" s="196" t="s">
        <v>35</v>
      </c>
      <c r="D23" s="197" t="e">
        <f>#REF!</f>
        <v>#REF!</v>
      </c>
      <c r="E23" s="197" t="e">
        <f>#REF!</f>
        <v>#REF!</v>
      </c>
      <c r="F23" s="198" t="e">
        <f t="shared" si="1"/>
        <v>#REF!</v>
      </c>
      <c r="G23" s="221" t="e">
        <f t="shared" si="2"/>
        <v>#REF!</v>
      </c>
      <c r="H23" s="199"/>
      <c r="I23" s="196" t="s">
        <v>78</v>
      </c>
      <c r="M23" s="201"/>
      <c r="P23" s="201"/>
    </row>
    <row r="24" spans="2:16" s="200" customFormat="1" hidden="1">
      <c r="B24" s="195"/>
      <c r="C24" s="196" t="s">
        <v>4</v>
      </c>
      <c r="D24" s="197" t="e">
        <f>#REF!</f>
        <v>#REF!</v>
      </c>
      <c r="E24" s="197" t="e">
        <f>#REF!</f>
        <v>#REF!</v>
      </c>
      <c r="F24" s="198" t="e">
        <f t="shared" si="1"/>
        <v>#REF!</v>
      </c>
      <c r="G24" s="221" t="e">
        <f t="shared" si="2"/>
        <v>#REF!</v>
      </c>
      <c r="H24" s="199"/>
      <c r="I24" s="196" t="s">
        <v>79</v>
      </c>
      <c r="M24" s="201"/>
      <c r="P24" s="201"/>
    </row>
    <row r="25" spans="2:16" s="200" customFormat="1" hidden="1">
      <c r="B25" s="195"/>
      <c r="C25" s="196" t="s">
        <v>30</v>
      </c>
      <c r="D25" s="197" t="e">
        <f>#REF!</f>
        <v>#REF!</v>
      </c>
      <c r="E25" s="197" t="e">
        <f>#REF!</f>
        <v>#REF!</v>
      </c>
      <c r="F25" s="198" t="e">
        <f t="shared" si="1"/>
        <v>#REF!</v>
      </c>
      <c r="G25" s="221" t="e">
        <f t="shared" si="2"/>
        <v>#REF!</v>
      </c>
      <c r="H25" s="199">
        <v>2010</v>
      </c>
      <c r="I25" s="196" t="s">
        <v>80</v>
      </c>
      <c r="M25" s="201"/>
      <c r="P25" s="201"/>
    </row>
    <row r="26" spans="2:16" s="200" customFormat="1" hidden="1">
      <c r="B26" s="195"/>
      <c r="C26" s="196" t="s">
        <v>36</v>
      </c>
      <c r="D26" s="197" t="e">
        <f>#REF!</f>
        <v>#REF!</v>
      </c>
      <c r="E26" s="197" t="e">
        <f>#REF!</f>
        <v>#REF!</v>
      </c>
      <c r="F26" s="198" t="e">
        <f t="shared" si="1"/>
        <v>#REF!</v>
      </c>
      <c r="G26" s="221" t="e">
        <f t="shared" si="2"/>
        <v>#REF!</v>
      </c>
      <c r="H26" s="199"/>
      <c r="I26" s="196" t="s">
        <v>81</v>
      </c>
      <c r="M26" s="201"/>
      <c r="P26" s="201"/>
    </row>
    <row r="27" spans="2:16" s="200" customFormat="1" hidden="1">
      <c r="B27" s="195"/>
      <c r="C27" s="196" t="s">
        <v>37</v>
      </c>
      <c r="D27" s="197" t="e">
        <f>#REF!</f>
        <v>#REF!</v>
      </c>
      <c r="E27" s="197" t="e">
        <f>#REF!</f>
        <v>#REF!</v>
      </c>
      <c r="F27" s="198" t="e">
        <f t="shared" si="1"/>
        <v>#REF!</v>
      </c>
      <c r="G27" s="221" t="e">
        <f t="shared" si="2"/>
        <v>#REF!</v>
      </c>
      <c r="H27" s="199"/>
      <c r="I27" s="196" t="s">
        <v>82</v>
      </c>
      <c r="K27" s="202"/>
      <c r="L27" s="203"/>
      <c r="M27" s="201"/>
      <c r="P27" s="201"/>
    </row>
    <row r="28" spans="2:16" s="200" customFormat="1" hidden="1">
      <c r="B28" s="195"/>
      <c r="C28" s="196" t="s">
        <v>31</v>
      </c>
      <c r="D28" s="197" t="e">
        <f>#REF!</f>
        <v>#REF!</v>
      </c>
      <c r="E28" s="197" t="e">
        <f>#REF!</f>
        <v>#REF!</v>
      </c>
      <c r="F28" s="198" t="e">
        <f t="shared" si="1"/>
        <v>#REF!</v>
      </c>
      <c r="G28" s="221" t="e">
        <f t="shared" si="2"/>
        <v>#REF!</v>
      </c>
      <c r="H28" s="199"/>
      <c r="I28" s="196" t="s">
        <v>31</v>
      </c>
      <c r="K28" s="204"/>
      <c r="M28" s="201"/>
      <c r="P28" s="201"/>
    </row>
    <row r="29" spans="2:16" s="200" customFormat="1">
      <c r="B29" s="195">
        <v>2010</v>
      </c>
      <c r="C29" s="196" t="s">
        <v>38</v>
      </c>
      <c r="D29" s="197" t="e">
        <f>#REF!</f>
        <v>#REF!</v>
      </c>
      <c r="E29" s="197" t="e">
        <f>#REF!</f>
        <v>#REF!</v>
      </c>
      <c r="F29" s="198" t="e">
        <f t="shared" si="1"/>
        <v>#REF!</v>
      </c>
      <c r="G29" s="222" t="e">
        <f t="shared" si="2"/>
        <v>#REF!</v>
      </c>
      <c r="H29" s="199">
        <v>2010</v>
      </c>
      <c r="I29" s="196" t="s">
        <v>49</v>
      </c>
      <c r="K29" s="202"/>
      <c r="M29" s="201"/>
      <c r="P29" s="201"/>
    </row>
    <row r="30" spans="2:16" s="200" customFormat="1" hidden="1">
      <c r="B30" s="205"/>
      <c r="C30" s="196" t="s">
        <v>39</v>
      </c>
      <c r="D30" s="197" t="e">
        <f>#REF!</f>
        <v>#REF!</v>
      </c>
      <c r="E30" s="197" t="e">
        <f>#REF!</f>
        <v>#REF!</v>
      </c>
      <c r="F30" s="198" t="e">
        <f t="shared" si="1"/>
        <v>#REF!</v>
      </c>
      <c r="G30" s="222" t="e">
        <f t="shared" si="2"/>
        <v>#REF!</v>
      </c>
      <c r="H30" s="199"/>
      <c r="I30" s="196" t="s">
        <v>39</v>
      </c>
      <c r="K30" s="202"/>
      <c r="M30" s="201"/>
      <c r="P30" s="201"/>
    </row>
    <row r="31" spans="2:16" s="200" customFormat="1" hidden="1">
      <c r="B31" s="195"/>
      <c r="C31" s="196" t="s">
        <v>32</v>
      </c>
      <c r="D31" s="197" t="e">
        <f>#REF!</f>
        <v>#REF!</v>
      </c>
      <c r="E31" s="197" t="e">
        <f>#REF!</f>
        <v>#REF!</v>
      </c>
      <c r="F31" s="198" t="e">
        <f t="shared" si="1"/>
        <v>#REF!</v>
      </c>
      <c r="G31" s="222" t="e">
        <f t="shared" si="2"/>
        <v>#REF!</v>
      </c>
      <c r="H31" s="199"/>
      <c r="I31" s="196" t="s">
        <v>32</v>
      </c>
      <c r="K31" s="202"/>
      <c r="M31" s="201"/>
      <c r="P31" s="201"/>
    </row>
    <row r="32" spans="2:16" s="200" customFormat="1">
      <c r="B32" s="195">
        <v>2011</v>
      </c>
      <c r="C32" s="196" t="s">
        <v>33</v>
      </c>
      <c r="D32" s="197">
        <v>8.638004896</v>
      </c>
      <c r="E32" s="197">
        <v>9.3602941176470598</v>
      </c>
      <c r="F32" s="198">
        <f t="shared" si="1"/>
        <v>8.9991495068235299</v>
      </c>
      <c r="G32" s="222" t="str">
        <f t="shared" si="2"/>
        <v>||||||||</v>
      </c>
      <c r="H32" s="199">
        <v>2011</v>
      </c>
      <c r="I32" s="196" t="s">
        <v>33</v>
      </c>
      <c r="K32" s="202"/>
      <c r="L32" s="206"/>
      <c r="M32" s="201"/>
      <c r="P32" s="201"/>
    </row>
    <row r="33" spans="2:16" s="200" customFormat="1">
      <c r="B33" s="195"/>
      <c r="C33" s="196" t="s">
        <v>34</v>
      </c>
      <c r="D33" s="197">
        <v>8.3964082347788001</v>
      </c>
      <c r="E33" s="197">
        <v>11.448275862068966</v>
      </c>
      <c r="F33" s="198">
        <f t="shared" si="1"/>
        <v>9.9223420484238822</v>
      </c>
      <c r="G33" s="222" t="str">
        <f t="shared" si="2"/>
        <v>|||||||||</v>
      </c>
      <c r="H33" s="199"/>
      <c r="I33" s="207" t="s">
        <v>77</v>
      </c>
      <c r="K33" s="202"/>
      <c r="M33" s="201"/>
      <c r="P33" s="201"/>
    </row>
    <row r="34" spans="2:16" s="200" customFormat="1">
      <c r="B34" s="195"/>
      <c r="C34" s="196" t="s">
        <v>29</v>
      </c>
      <c r="D34" s="197">
        <v>8.797364834166288</v>
      </c>
      <c r="E34" s="197">
        <v>8.3440860220000008</v>
      </c>
      <c r="F34" s="198">
        <f t="shared" si="1"/>
        <v>8.5707254280831435</v>
      </c>
      <c r="G34" s="222" t="str">
        <f t="shared" si="2"/>
        <v>||||||||</v>
      </c>
      <c r="H34" s="199"/>
      <c r="I34" s="196" t="s">
        <v>29</v>
      </c>
      <c r="M34" s="201"/>
      <c r="P34" s="201"/>
    </row>
    <row r="35" spans="2:16" s="200" customFormat="1">
      <c r="B35" s="195"/>
      <c r="C35" s="196" t="s">
        <v>35</v>
      </c>
      <c r="D35" s="197">
        <v>8.2138628158844771</v>
      </c>
      <c r="E35" s="197">
        <v>13.838983050847499</v>
      </c>
      <c r="F35" s="198">
        <f t="shared" si="1"/>
        <v>11.026422933365989</v>
      </c>
      <c r="G35" s="222" t="str">
        <f t="shared" si="2"/>
        <v>|||||||||||</v>
      </c>
      <c r="H35" s="199"/>
      <c r="I35" s="196" t="s">
        <v>35</v>
      </c>
    </row>
    <row r="36" spans="2:16" s="200" customFormat="1">
      <c r="B36" s="195"/>
      <c r="C36" s="196" t="s">
        <v>4</v>
      </c>
      <c r="D36" s="197">
        <v>9.1427655824387113</v>
      </c>
      <c r="E36" s="197">
        <v>10.446700507614214</v>
      </c>
      <c r="F36" s="198">
        <f t="shared" si="1"/>
        <v>9.7947330450264616</v>
      </c>
      <c r="G36" s="222" t="str">
        <f t="shared" si="2"/>
        <v>|||||||||</v>
      </c>
      <c r="H36" s="199"/>
      <c r="I36" s="196" t="s">
        <v>79</v>
      </c>
    </row>
    <row r="37" spans="2:16" s="200" customFormat="1">
      <c r="B37" s="205"/>
      <c r="C37" s="196" t="s">
        <v>30</v>
      </c>
      <c r="D37" s="197">
        <v>8.589365037888685</v>
      </c>
      <c r="E37" s="197">
        <v>12.584905660377359</v>
      </c>
      <c r="F37" s="198">
        <f t="shared" si="1"/>
        <v>10.587135349133021</v>
      </c>
      <c r="G37" s="222" t="str">
        <f t="shared" si="2"/>
        <v>||||||||||</v>
      </c>
      <c r="H37" s="199"/>
      <c r="I37" s="196" t="s">
        <v>80</v>
      </c>
    </row>
    <row r="38" spans="2:16" s="200" customFormat="1">
      <c r="B38" s="205"/>
      <c r="C38" s="196" t="s">
        <v>36</v>
      </c>
      <c r="D38" s="197">
        <v>8.9597811480130538</v>
      </c>
      <c r="E38" s="197">
        <v>10.425806451612903</v>
      </c>
      <c r="F38" s="198">
        <f t="shared" si="1"/>
        <v>9.6927937998129785</v>
      </c>
      <c r="G38" s="222" t="str">
        <f t="shared" si="2"/>
        <v>|||||||||</v>
      </c>
      <c r="H38" s="199"/>
      <c r="I38" s="196" t="s">
        <v>81</v>
      </c>
    </row>
    <row r="39" spans="2:16" s="200" customFormat="1">
      <c r="B39" s="205"/>
      <c r="C39" s="196" t="s">
        <v>37</v>
      </c>
      <c r="D39" s="197">
        <v>8.9640038914711919</v>
      </c>
      <c r="E39" s="197">
        <v>10.8283378746594</v>
      </c>
      <c r="F39" s="198">
        <f t="shared" si="1"/>
        <v>9.8961708830652952</v>
      </c>
      <c r="G39" s="222" t="str">
        <f t="shared" si="2"/>
        <v>|||||||||</v>
      </c>
      <c r="H39" s="199"/>
      <c r="I39" s="196" t="s">
        <v>82</v>
      </c>
    </row>
    <row r="40" spans="2:16" s="200" customFormat="1">
      <c r="B40" s="205"/>
      <c r="C40" s="196" t="s">
        <v>31</v>
      </c>
      <c r="D40" s="197">
        <v>8.7441051830924703</v>
      </c>
      <c r="E40" s="197">
        <v>9.5801749271137027</v>
      </c>
      <c r="F40" s="198">
        <f t="shared" si="1"/>
        <v>9.1621400551030874</v>
      </c>
      <c r="G40" s="222" t="str">
        <f t="shared" si="2"/>
        <v>|||||||||</v>
      </c>
      <c r="H40" s="199"/>
      <c r="I40" s="196" t="s">
        <v>31</v>
      </c>
    </row>
    <row r="41" spans="2:16" s="200" customFormat="1">
      <c r="B41" s="205"/>
      <c r="C41" s="196" t="s">
        <v>38</v>
      </c>
      <c r="D41" s="197">
        <v>8.0182057731464802</v>
      </c>
      <c r="E41" s="197">
        <v>9.039007092198581</v>
      </c>
      <c r="F41" s="198">
        <f t="shared" si="1"/>
        <v>8.5286064326725306</v>
      </c>
      <c r="G41" s="222" t="str">
        <f t="shared" si="2"/>
        <v>||||||||</v>
      </c>
      <c r="H41" s="199"/>
      <c r="I41" s="196" t="s">
        <v>49</v>
      </c>
    </row>
    <row r="42" spans="2:16" s="200" customFormat="1">
      <c r="B42" s="205"/>
      <c r="C42" s="196" t="s">
        <v>39</v>
      </c>
      <c r="D42" s="197">
        <v>8.1449945593035906</v>
      </c>
      <c r="E42" s="197">
        <v>10.963576160000001</v>
      </c>
      <c r="F42" s="198">
        <f t="shared" si="1"/>
        <v>9.5542853596517965</v>
      </c>
      <c r="G42" s="222" t="str">
        <f t="shared" si="2"/>
        <v>|||||||||</v>
      </c>
      <c r="H42" s="199"/>
      <c r="I42" s="196" t="s">
        <v>39</v>
      </c>
      <c r="N42" s="208"/>
    </row>
    <row r="43" spans="2:16" s="200" customFormat="1">
      <c r="B43" s="205"/>
      <c r="C43" s="196" t="s">
        <v>32</v>
      </c>
      <c r="D43" s="197">
        <v>11.985294120000001</v>
      </c>
      <c r="E43" s="197">
        <v>13.53231939</v>
      </c>
      <c r="F43" s="198">
        <f t="shared" si="1"/>
        <v>12.758806755</v>
      </c>
      <c r="G43" s="222" t="str">
        <f t="shared" si="2"/>
        <v>||||||||||||</v>
      </c>
      <c r="H43" s="199"/>
      <c r="I43" s="196" t="s">
        <v>83</v>
      </c>
    </row>
    <row r="44" spans="2:16" s="200" customFormat="1">
      <c r="B44" s="195">
        <v>2012</v>
      </c>
      <c r="C44" s="16" t="s">
        <v>33</v>
      </c>
      <c r="D44" s="197">
        <v>10.287258792938278</v>
      </c>
      <c r="E44" s="197">
        <v>11.109756097560975</v>
      </c>
      <c r="F44" s="198">
        <f t="shared" si="1"/>
        <v>10.698507445249627</v>
      </c>
      <c r="G44" s="222" t="str">
        <f t="shared" si="2"/>
        <v>||||||||||</v>
      </c>
      <c r="H44" s="199">
        <v>2012</v>
      </c>
      <c r="I44" s="196" t="s">
        <v>33</v>
      </c>
    </row>
    <row r="45" spans="2:16" s="200" customFormat="1">
      <c r="B45" s="195"/>
      <c r="C45" s="16" t="s">
        <v>34</v>
      </c>
      <c r="D45" s="197">
        <v>9.2880630630630634</v>
      </c>
      <c r="E45" s="197">
        <v>10.655172413793103</v>
      </c>
      <c r="F45" s="198">
        <f t="shared" si="1"/>
        <v>9.9716177384280833</v>
      </c>
      <c r="G45" s="222" t="str">
        <f t="shared" si="2"/>
        <v>|||||||||</v>
      </c>
      <c r="H45" s="199"/>
      <c r="I45" s="207" t="s">
        <v>77</v>
      </c>
    </row>
    <row r="46" spans="2:16" s="200" customFormat="1">
      <c r="B46" s="195"/>
      <c r="C46" s="16" t="s">
        <v>29</v>
      </c>
      <c r="D46" s="197">
        <v>9.7463827019996749</v>
      </c>
      <c r="E46" s="197">
        <v>11.178010471204189</v>
      </c>
      <c r="F46" s="198">
        <f t="shared" si="1"/>
        <v>10.462196586601932</v>
      </c>
      <c r="G46" s="222" t="str">
        <f t="shared" si="2"/>
        <v>||||||||||</v>
      </c>
      <c r="H46" s="199"/>
      <c r="I46" s="196" t="s">
        <v>29</v>
      </c>
    </row>
    <row r="47" spans="2:16" s="200" customFormat="1">
      <c r="B47" s="195"/>
      <c r="C47" s="16" t="s">
        <v>35</v>
      </c>
      <c r="D47" s="197">
        <v>9.6733892090099527</v>
      </c>
      <c r="E47" s="197">
        <v>10.79372197309417</v>
      </c>
      <c r="F47" s="198">
        <f t="shared" si="1"/>
        <v>10.233555591052061</v>
      </c>
      <c r="G47" s="222" t="str">
        <f t="shared" si="2"/>
        <v>||||||||||</v>
      </c>
      <c r="H47" s="199"/>
      <c r="I47" s="196" t="s">
        <v>35</v>
      </c>
      <c r="M47" s="208"/>
    </row>
    <row r="48" spans="2:16" s="200" customFormat="1">
      <c r="B48" s="195"/>
      <c r="C48" s="16" t="s">
        <v>4</v>
      </c>
      <c r="D48" s="197">
        <v>9.8192021636240696</v>
      </c>
      <c r="E48" s="197">
        <v>12.575342465753424</v>
      </c>
      <c r="F48" s="198">
        <f t="shared" si="1"/>
        <v>11.197272314688746</v>
      </c>
      <c r="G48" s="222" t="str">
        <f t="shared" si="2"/>
        <v>|||||||||||</v>
      </c>
      <c r="H48" s="199"/>
      <c r="I48" s="196" t="s">
        <v>79</v>
      </c>
      <c r="M48" s="206"/>
    </row>
    <row r="49" spans="2:13" s="200" customFormat="1">
      <c r="B49" s="195"/>
      <c r="C49" s="16" t="s">
        <v>30</v>
      </c>
      <c r="D49" s="209">
        <v>9.5336464821811493</v>
      </c>
      <c r="E49" s="197">
        <v>11.744047619047619</v>
      </c>
      <c r="F49" s="198">
        <f t="shared" si="1"/>
        <v>10.638847050614384</v>
      </c>
      <c r="G49" s="222" t="str">
        <f t="shared" si="2"/>
        <v>||||||||||</v>
      </c>
      <c r="H49" s="199"/>
      <c r="I49" s="196" t="s">
        <v>80</v>
      </c>
    </row>
    <row r="50" spans="2:13" s="200" customFormat="1">
      <c r="B50" s="195"/>
      <c r="C50" s="16" t="s">
        <v>36</v>
      </c>
      <c r="D50" s="209">
        <v>11.368008363826451</v>
      </c>
      <c r="E50" s="197">
        <v>11.535031847133759</v>
      </c>
      <c r="F50" s="198">
        <f t="shared" si="1"/>
        <v>11.451520105480105</v>
      </c>
      <c r="G50" s="222" t="str">
        <f t="shared" si="2"/>
        <v>|||||||||||</v>
      </c>
      <c r="H50" s="199"/>
      <c r="I50" s="196" t="s">
        <v>81</v>
      </c>
    </row>
    <row r="51" spans="2:13" s="200" customFormat="1">
      <c r="B51" s="195"/>
      <c r="C51" s="14" t="s">
        <v>37</v>
      </c>
      <c r="D51" s="209">
        <v>10.445090121146459</v>
      </c>
      <c r="E51" s="197">
        <v>10.50199203187251</v>
      </c>
      <c r="F51" s="198">
        <f t="shared" si="1"/>
        <v>10.473541076509484</v>
      </c>
      <c r="G51" s="222" t="str">
        <f t="shared" si="2"/>
        <v>||||||||||</v>
      </c>
      <c r="H51" s="199"/>
      <c r="I51" s="196" t="s">
        <v>82</v>
      </c>
      <c r="L51" s="201"/>
    </row>
    <row r="52" spans="2:13" s="200" customFormat="1">
      <c r="B52" s="195"/>
      <c r="C52" s="14" t="s">
        <v>31</v>
      </c>
      <c r="D52" s="209">
        <v>9.5212454842594187</v>
      </c>
      <c r="E52" s="197">
        <v>11.020338983050847</v>
      </c>
      <c r="F52" s="198">
        <f t="shared" si="1"/>
        <v>10.270792233655133</v>
      </c>
      <c r="G52" s="222" t="str">
        <f t="shared" si="2"/>
        <v>||||||||||</v>
      </c>
      <c r="H52" s="199"/>
      <c r="I52" s="196" t="s">
        <v>31</v>
      </c>
      <c r="L52" s="201"/>
    </row>
    <row r="53" spans="2:13" s="200" customFormat="1">
      <c r="B53" s="195"/>
      <c r="C53" s="14" t="s">
        <v>38</v>
      </c>
      <c r="D53" s="209">
        <v>10.445090121146459</v>
      </c>
      <c r="E53" s="197">
        <v>10.50199203187251</v>
      </c>
      <c r="F53" s="198">
        <f t="shared" si="1"/>
        <v>10.473541076509484</v>
      </c>
      <c r="G53" s="222" t="str">
        <f t="shared" si="2"/>
        <v>||||||||||</v>
      </c>
      <c r="H53" s="199"/>
      <c r="I53" s="196" t="s">
        <v>49</v>
      </c>
      <c r="L53" s="201"/>
    </row>
    <row r="54" spans="2:13" s="200" customFormat="1">
      <c r="B54" s="195"/>
      <c r="C54" s="14" t="s">
        <v>39</v>
      </c>
      <c r="D54" s="209">
        <v>8.9084421704591357</v>
      </c>
      <c r="E54" s="197">
        <v>9.0222222222222221</v>
      </c>
      <c r="F54" s="198">
        <f>(D54+E54)/2</f>
        <v>8.9653321963406789</v>
      </c>
      <c r="G54" s="222" t="str">
        <f>REPT("|",F54)</f>
        <v>||||||||</v>
      </c>
      <c r="H54" s="199"/>
      <c r="I54" s="196"/>
      <c r="L54" s="201"/>
    </row>
    <row r="55" spans="2:13" s="200" customFormat="1" ht="15">
      <c r="B55" s="210"/>
      <c r="C55" s="211"/>
      <c r="D55" s="212"/>
      <c r="E55" s="213"/>
      <c r="F55" s="213"/>
      <c r="G55" s="214"/>
      <c r="H55" s="215"/>
      <c r="I55" s="216"/>
    </row>
    <row r="56" spans="2:13">
      <c r="B56" s="122" t="s">
        <v>84</v>
      </c>
      <c r="C56" s="123" t="s">
        <v>134</v>
      </c>
      <c r="D56" s="148"/>
      <c r="E56" s="148"/>
      <c r="L56" s="141"/>
      <c r="M56" s="142"/>
    </row>
    <row r="57" spans="2:13">
      <c r="B57" s="151" t="s">
        <v>164</v>
      </c>
      <c r="C57" s="148"/>
      <c r="E57" s="122" t="s">
        <v>150</v>
      </c>
      <c r="H57" s="55"/>
      <c r="I57" s="140"/>
    </row>
    <row r="58" spans="2:13" s="127" customFormat="1">
      <c r="B58" s="152" t="s">
        <v>159</v>
      </c>
      <c r="C58" s="154"/>
      <c r="E58" s="125" t="s">
        <v>151</v>
      </c>
      <c r="F58" s="155"/>
      <c r="I58" s="139"/>
    </row>
    <row r="59" spans="2:13">
      <c r="B59" s="153" t="s">
        <v>163</v>
      </c>
      <c r="C59" s="148"/>
      <c r="E59" s="125" t="s">
        <v>152</v>
      </c>
      <c r="H59" s="55"/>
      <c r="I59" s="140"/>
    </row>
    <row r="60" spans="2:13">
      <c r="B60" s="152" t="s">
        <v>160</v>
      </c>
      <c r="C60" s="148"/>
      <c r="E60" s="125" t="s">
        <v>153</v>
      </c>
      <c r="H60" s="55"/>
      <c r="I60" s="140"/>
    </row>
    <row r="61" spans="2:13">
      <c r="B61" s="152" t="s">
        <v>162</v>
      </c>
      <c r="C61" s="148"/>
      <c r="E61" s="125" t="s">
        <v>154</v>
      </c>
      <c r="H61" s="55"/>
      <c r="I61" s="140"/>
    </row>
    <row r="62" spans="2:13">
      <c r="B62" s="126"/>
      <c r="C62" s="125"/>
      <c r="D62" s="148"/>
      <c r="E62" s="148"/>
    </row>
    <row r="77" spans="5:8">
      <c r="E77" s="149"/>
      <c r="H77" s="55"/>
    </row>
    <row r="79" spans="5:8">
      <c r="H79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6" spans="4:8" ht="13.5">
      <c r="D86" s="150"/>
      <c r="H86" s="55"/>
    </row>
    <row r="87" spans="4:8" ht="13.5">
      <c r="D87" s="150"/>
      <c r="H87" s="55"/>
    </row>
    <row r="88" spans="4:8" ht="13.5">
      <c r="D88" s="150"/>
      <c r="H88" s="55"/>
    </row>
    <row r="89" spans="4:8" ht="13.5">
      <c r="D89" s="150"/>
      <c r="H89" s="55"/>
    </row>
    <row r="92" spans="4:8" ht="13.5">
      <c r="D92" s="150"/>
      <c r="H92" s="55"/>
    </row>
    <row r="93" spans="4:8" ht="13.5">
      <c r="D93" s="150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5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1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4" spans="2:16" ht="15.75">
      <c r="B4" s="116" t="s">
        <v>166</v>
      </c>
      <c r="C4" s="116"/>
      <c r="D4" s="144"/>
      <c r="E4" s="144"/>
      <c r="F4" s="145"/>
      <c r="G4" s="118"/>
    </row>
    <row r="5" spans="2:16" ht="15.75">
      <c r="B5" s="116" t="s">
        <v>161</v>
      </c>
      <c r="C5" s="116"/>
      <c r="D5" s="179"/>
      <c r="E5" s="179"/>
      <c r="F5" s="180"/>
      <c r="G5" s="118"/>
      <c r="H5" s="134" t="s">
        <v>141</v>
      </c>
    </row>
    <row r="6" spans="2:16">
      <c r="B6" s="119"/>
      <c r="C6" s="119"/>
      <c r="D6" s="146"/>
      <c r="E6" s="147"/>
      <c r="F6" s="147"/>
    </row>
    <row r="7" spans="2:16" s="96" customFormat="1">
      <c r="B7" s="1260" t="s">
        <v>75</v>
      </c>
      <c r="C7" s="1258" t="s">
        <v>120</v>
      </c>
      <c r="D7" s="1264" t="s">
        <v>167</v>
      </c>
      <c r="E7" s="1264"/>
      <c r="F7" s="1264"/>
      <c r="G7" s="182"/>
      <c r="H7" s="1265" t="s">
        <v>76</v>
      </c>
      <c r="I7" s="1256" t="s">
        <v>121</v>
      </c>
    </row>
    <row r="8" spans="2:16" s="96" customFormat="1">
      <c r="B8" s="1267"/>
      <c r="C8" s="1269"/>
      <c r="D8" s="177" t="s">
        <v>155</v>
      </c>
      <c r="E8" s="178" t="s">
        <v>156</v>
      </c>
      <c r="F8" s="178" t="s">
        <v>170</v>
      </c>
      <c r="G8" s="183" t="s">
        <v>158</v>
      </c>
      <c r="H8" s="1275"/>
      <c r="I8" s="1274"/>
    </row>
    <row r="9" spans="2:16" s="96" customFormat="1">
      <c r="B9" s="1268"/>
      <c r="C9" s="1270"/>
      <c r="D9" s="175"/>
      <c r="E9" s="176"/>
      <c r="F9" s="219"/>
      <c r="G9" s="181"/>
      <c r="H9" s="1276"/>
      <c r="I9" s="1270"/>
    </row>
    <row r="10" spans="2:16" s="96" customFormat="1" hidden="1">
      <c r="B10" s="120">
        <v>2009</v>
      </c>
      <c r="C10" s="93" t="s">
        <v>33</v>
      </c>
      <c r="D10" s="157">
        <v>0</v>
      </c>
      <c r="E10" s="158">
        <v>0</v>
      </c>
      <c r="F10" s="158">
        <f t="shared" ref="F10:F15" si="0">(D10+E10)/2</f>
        <v>0</v>
      </c>
      <c r="G10" s="159"/>
      <c r="H10" s="156">
        <v>2009</v>
      </c>
      <c r="I10" s="93" t="s">
        <v>33</v>
      </c>
      <c r="M10" s="163"/>
      <c r="P10" s="163"/>
    </row>
    <row r="11" spans="2:16" s="96" customFormat="1" hidden="1">
      <c r="B11" s="120"/>
      <c r="C11" s="93" t="s">
        <v>34</v>
      </c>
      <c r="D11" s="157">
        <v>0</v>
      </c>
      <c r="E11" s="158">
        <v>0</v>
      </c>
      <c r="F11" s="158">
        <f t="shared" si="0"/>
        <v>0</v>
      </c>
      <c r="G11" s="159"/>
      <c r="H11" s="68"/>
      <c r="I11" s="93" t="s">
        <v>77</v>
      </c>
      <c r="M11" s="163"/>
      <c r="P11" s="163"/>
    </row>
    <row r="12" spans="2:16" s="96" customFormat="1" hidden="1">
      <c r="B12" s="120"/>
      <c r="C12" s="93" t="s">
        <v>29</v>
      </c>
      <c r="D12" s="157">
        <v>0</v>
      </c>
      <c r="E12" s="158">
        <v>0</v>
      </c>
      <c r="F12" s="158">
        <f t="shared" si="0"/>
        <v>0</v>
      </c>
      <c r="G12" s="159"/>
      <c r="H12" s="68"/>
      <c r="I12" s="93" t="s">
        <v>29</v>
      </c>
      <c r="M12" s="163"/>
      <c r="P12" s="163"/>
    </row>
    <row r="13" spans="2:16" s="96" customFormat="1" hidden="1">
      <c r="B13" s="120"/>
      <c r="C13" s="93" t="s">
        <v>35</v>
      </c>
      <c r="D13" s="157">
        <v>0</v>
      </c>
      <c r="E13" s="158">
        <v>0</v>
      </c>
      <c r="F13" s="158">
        <f t="shared" si="0"/>
        <v>0</v>
      </c>
      <c r="G13" s="159"/>
      <c r="H13" s="68"/>
      <c r="I13" s="93" t="s">
        <v>78</v>
      </c>
      <c r="M13" s="163"/>
      <c r="P13" s="163"/>
    </row>
    <row r="14" spans="2:16" s="96" customFormat="1" hidden="1">
      <c r="B14" s="120"/>
      <c r="C14" s="93" t="s">
        <v>4</v>
      </c>
      <c r="D14" s="157">
        <v>0</v>
      </c>
      <c r="E14" s="158">
        <v>0</v>
      </c>
      <c r="F14" s="158">
        <f t="shared" si="0"/>
        <v>0</v>
      </c>
      <c r="G14" s="159"/>
      <c r="H14" s="68"/>
      <c r="I14" s="93" t="s">
        <v>79</v>
      </c>
      <c r="M14" s="163"/>
      <c r="P14" s="163"/>
    </row>
    <row r="15" spans="2:16" s="96" customFormat="1" hidden="1">
      <c r="B15" s="120"/>
      <c r="C15" s="93" t="s">
        <v>30</v>
      </c>
      <c r="D15" s="157" t="e">
        <f>#REF!</f>
        <v>#REF!</v>
      </c>
      <c r="E15" s="157" t="e">
        <f>#REF!</f>
        <v>#REF!</v>
      </c>
      <c r="F15" s="158" t="e">
        <f t="shared" si="0"/>
        <v>#REF!</v>
      </c>
      <c r="G15" s="164" t="e">
        <f>REPT("|",F15)</f>
        <v>#REF!</v>
      </c>
      <c r="H15" s="68">
        <v>2009</v>
      </c>
      <c r="I15" s="93" t="s">
        <v>80</v>
      </c>
      <c r="M15" s="163"/>
      <c r="P15" s="163"/>
    </row>
    <row r="16" spans="2:16" s="96" customFormat="1" hidden="1">
      <c r="B16" s="120"/>
      <c r="C16" s="93" t="s">
        <v>36</v>
      </c>
      <c r="D16" s="157" t="e">
        <f>#REF!</f>
        <v>#REF!</v>
      </c>
      <c r="E16" s="157" t="e">
        <f>#REF!</f>
        <v>#REF!</v>
      </c>
      <c r="F16" s="158" t="e">
        <f t="shared" ref="F16:F56" si="1">(D16+E16)/2</f>
        <v>#REF!</v>
      </c>
      <c r="G16" s="164" t="e">
        <f t="shared" ref="G16:G54" si="2">REPT("|",F16)</f>
        <v>#REF!</v>
      </c>
      <c r="H16" s="68"/>
      <c r="I16" s="93" t="s">
        <v>81</v>
      </c>
      <c r="M16" s="163"/>
      <c r="P16" s="163"/>
    </row>
    <row r="17" spans="2:16" s="96" customFormat="1" hidden="1">
      <c r="B17" s="120"/>
      <c r="C17" s="93" t="s">
        <v>37</v>
      </c>
      <c r="D17" s="157" t="e">
        <f>#REF!</f>
        <v>#REF!</v>
      </c>
      <c r="E17" s="157" t="e">
        <f>#REF!</f>
        <v>#REF!</v>
      </c>
      <c r="F17" s="158" t="e">
        <f t="shared" si="1"/>
        <v>#REF!</v>
      </c>
      <c r="G17" s="164" t="e">
        <f t="shared" si="2"/>
        <v>#REF!</v>
      </c>
      <c r="H17" s="68"/>
      <c r="I17" s="93" t="s">
        <v>82</v>
      </c>
      <c r="M17" s="163"/>
      <c r="P17" s="163"/>
    </row>
    <row r="18" spans="2:16" s="96" customFormat="1" hidden="1">
      <c r="B18" s="120"/>
      <c r="C18" s="93" t="s">
        <v>31</v>
      </c>
      <c r="D18" s="157" t="e">
        <f>#REF!</f>
        <v>#REF!</v>
      </c>
      <c r="E18" s="157" t="e">
        <f>#REF!</f>
        <v>#REF!</v>
      </c>
      <c r="F18" s="158" t="e">
        <f t="shared" si="1"/>
        <v>#REF!</v>
      </c>
      <c r="G18" s="164" t="e">
        <f t="shared" si="2"/>
        <v>#REF!</v>
      </c>
      <c r="H18" s="68"/>
      <c r="I18" s="93" t="s">
        <v>31</v>
      </c>
      <c r="M18" s="163"/>
      <c r="P18" s="163"/>
    </row>
    <row r="19" spans="2:16" s="96" customFormat="1">
      <c r="B19" s="120">
        <v>2009</v>
      </c>
      <c r="C19" s="93" t="s">
        <v>38</v>
      </c>
      <c r="D19" s="157">
        <v>10</v>
      </c>
      <c r="E19" s="157">
        <v>8.5</v>
      </c>
      <c r="F19" s="158">
        <f t="shared" si="1"/>
        <v>9.25</v>
      </c>
      <c r="G19" s="164" t="str">
        <f t="shared" si="2"/>
        <v>|||||||||</v>
      </c>
      <c r="H19" s="68">
        <v>2009</v>
      </c>
      <c r="I19" s="93" t="s">
        <v>49</v>
      </c>
      <c r="M19" s="163"/>
      <c r="P19" s="163"/>
    </row>
    <row r="20" spans="2:16" s="96" customFormat="1" hidden="1">
      <c r="B20" s="120"/>
      <c r="C20" s="93" t="s">
        <v>39</v>
      </c>
      <c r="D20" s="157" t="e">
        <f>#REF!</f>
        <v>#REF!</v>
      </c>
      <c r="E20" s="157" t="e">
        <f>#REF!</f>
        <v>#REF!</v>
      </c>
      <c r="F20" s="158" t="e">
        <f t="shared" si="1"/>
        <v>#REF!</v>
      </c>
      <c r="G20" s="164" t="e">
        <f t="shared" si="2"/>
        <v>#REF!</v>
      </c>
      <c r="H20" s="68"/>
      <c r="I20" s="93" t="s">
        <v>39</v>
      </c>
      <c r="M20" s="163"/>
      <c r="P20" s="163"/>
    </row>
    <row r="21" spans="2:16" s="96" customFormat="1" hidden="1">
      <c r="B21" s="120"/>
      <c r="C21" s="93" t="s">
        <v>32</v>
      </c>
      <c r="D21" s="157" t="e">
        <f>#REF!</f>
        <v>#REF!</v>
      </c>
      <c r="E21" s="157" t="e">
        <f>#REF!</f>
        <v>#REF!</v>
      </c>
      <c r="F21" s="158" t="e">
        <f t="shared" si="1"/>
        <v>#REF!</v>
      </c>
      <c r="G21" s="164" t="e">
        <f t="shared" si="2"/>
        <v>#REF!</v>
      </c>
      <c r="H21" s="68"/>
      <c r="I21" s="93" t="s">
        <v>32</v>
      </c>
      <c r="M21" s="163"/>
      <c r="P21" s="163"/>
    </row>
    <row r="22" spans="2:16" s="96" customFormat="1" hidden="1">
      <c r="B22" s="120">
        <v>2010</v>
      </c>
      <c r="C22" s="93" t="s">
        <v>33</v>
      </c>
      <c r="D22" s="157" t="e">
        <f>#REF!</f>
        <v>#REF!</v>
      </c>
      <c r="E22" s="157" t="e">
        <f>#REF!</f>
        <v>#REF!</v>
      </c>
      <c r="F22" s="158" t="e">
        <f t="shared" si="1"/>
        <v>#REF!</v>
      </c>
      <c r="G22" s="164" t="e">
        <f t="shared" si="2"/>
        <v>#REF!</v>
      </c>
      <c r="H22" s="68">
        <v>2010</v>
      </c>
      <c r="I22" s="93" t="s">
        <v>33</v>
      </c>
      <c r="M22" s="163"/>
      <c r="P22" s="163"/>
    </row>
    <row r="23" spans="2:16" s="96" customFormat="1" hidden="1">
      <c r="B23" s="120"/>
      <c r="C23" s="93" t="s">
        <v>34</v>
      </c>
      <c r="D23" s="157" t="e">
        <f>#REF!</f>
        <v>#REF!</v>
      </c>
      <c r="E23" s="157" t="e">
        <f>#REF!</f>
        <v>#REF!</v>
      </c>
      <c r="F23" s="158" t="e">
        <f t="shared" si="1"/>
        <v>#REF!</v>
      </c>
      <c r="G23" s="164" t="e">
        <f t="shared" si="2"/>
        <v>#REF!</v>
      </c>
      <c r="H23" s="68"/>
      <c r="I23" s="93" t="s">
        <v>77</v>
      </c>
      <c r="M23" s="163"/>
      <c r="P23" s="163"/>
    </row>
    <row r="24" spans="2:16" s="96" customFormat="1" hidden="1">
      <c r="B24" s="120"/>
      <c r="C24" s="93" t="s">
        <v>29</v>
      </c>
      <c r="D24" s="157" t="e">
        <f>#REF!</f>
        <v>#REF!</v>
      </c>
      <c r="E24" s="157" t="e">
        <f>#REF!</f>
        <v>#REF!</v>
      </c>
      <c r="F24" s="158" t="e">
        <f t="shared" si="1"/>
        <v>#REF!</v>
      </c>
      <c r="G24" s="164" t="e">
        <f t="shared" si="2"/>
        <v>#REF!</v>
      </c>
      <c r="H24" s="68"/>
      <c r="I24" s="93" t="s">
        <v>29</v>
      </c>
      <c r="M24" s="163"/>
      <c r="P24" s="163"/>
    </row>
    <row r="25" spans="2:16" s="96" customFormat="1" hidden="1">
      <c r="B25" s="120"/>
      <c r="C25" s="93" t="s">
        <v>35</v>
      </c>
      <c r="D25" s="157" t="e">
        <f>#REF!</f>
        <v>#REF!</v>
      </c>
      <c r="E25" s="157" t="e">
        <f>#REF!</f>
        <v>#REF!</v>
      </c>
      <c r="F25" s="158" t="e">
        <f t="shared" si="1"/>
        <v>#REF!</v>
      </c>
      <c r="G25" s="164" t="e">
        <f t="shared" si="2"/>
        <v>#REF!</v>
      </c>
      <c r="H25" s="68"/>
      <c r="I25" s="93" t="s">
        <v>78</v>
      </c>
      <c r="M25" s="163"/>
      <c r="P25" s="163"/>
    </row>
    <row r="26" spans="2:16" s="96" customFormat="1" hidden="1">
      <c r="B26" s="120"/>
      <c r="C26" s="93" t="s">
        <v>4</v>
      </c>
      <c r="D26" s="157" t="e">
        <f>#REF!</f>
        <v>#REF!</v>
      </c>
      <c r="E26" s="157" t="e">
        <f>#REF!</f>
        <v>#REF!</v>
      </c>
      <c r="F26" s="158" t="e">
        <f t="shared" si="1"/>
        <v>#REF!</v>
      </c>
      <c r="G26" s="164" t="e">
        <f t="shared" si="2"/>
        <v>#REF!</v>
      </c>
      <c r="H26" s="68"/>
      <c r="I26" s="93" t="s">
        <v>79</v>
      </c>
      <c r="M26" s="163"/>
      <c r="P26" s="163"/>
    </row>
    <row r="27" spans="2:16" s="96" customFormat="1" hidden="1">
      <c r="B27" s="120"/>
      <c r="C27" s="93" t="s">
        <v>30</v>
      </c>
      <c r="D27" s="157" t="e">
        <f>#REF!</f>
        <v>#REF!</v>
      </c>
      <c r="E27" s="157" t="e">
        <f>#REF!</f>
        <v>#REF!</v>
      </c>
      <c r="F27" s="158" t="e">
        <f t="shared" si="1"/>
        <v>#REF!</v>
      </c>
      <c r="G27" s="164" t="e">
        <f t="shared" si="2"/>
        <v>#REF!</v>
      </c>
      <c r="H27" s="68">
        <v>2010</v>
      </c>
      <c r="I27" s="93" t="s">
        <v>80</v>
      </c>
      <c r="M27" s="163"/>
      <c r="P27" s="163"/>
    </row>
    <row r="28" spans="2:16" s="96" customFormat="1" hidden="1">
      <c r="B28" s="120"/>
      <c r="C28" s="93" t="s">
        <v>36</v>
      </c>
      <c r="D28" s="157" t="e">
        <f>#REF!</f>
        <v>#REF!</v>
      </c>
      <c r="E28" s="157" t="e">
        <f>#REF!</f>
        <v>#REF!</v>
      </c>
      <c r="F28" s="158" t="e">
        <f t="shared" si="1"/>
        <v>#REF!</v>
      </c>
      <c r="G28" s="164" t="e">
        <f t="shared" si="2"/>
        <v>#REF!</v>
      </c>
      <c r="H28" s="68"/>
      <c r="I28" s="93" t="s">
        <v>81</v>
      </c>
      <c r="M28" s="163"/>
      <c r="P28" s="163"/>
    </row>
    <row r="29" spans="2:16" s="96" customFormat="1" hidden="1">
      <c r="B29" s="120"/>
      <c r="C29" s="93" t="s">
        <v>37</v>
      </c>
      <c r="D29" s="157" t="e">
        <f>#REF!</f>
        <v>#REF!</v>
      </c>
      <c r="E29" s="157" t="e">
        <f>#REF!</f>
        <v>#REF!</v>
      </c>
      <c r="F29" s="158" t="e">
        <f t="shared" si="1"/>
        <v>#REF!</v>
      </c>
      <c r="G29" s="164" t="e">
        <f t="shared" si="2"/>
        <v>#REF!</v>
      </c>
      <c r="H29" s="68"/>
      <c r="I29" s="93" t="s">
        <v>82</v>
      </c>
      <c r="K29" s="165"/>
      <c r="L29" s="166"/>
      <c r="M29" s="163"/>
      <c r="P29" s="163"/>
    </row>
    <row r="30" spans="2:16" s="96" customFormat="1" hidden="1">
      <c r="B30" s="120"/>
      <c r="C30" s="93" t="s">
        <v>31</v>
      </c>
      <c r="D30" s="157" t="e">
        <f>#REF!</f>
        <v>#REF!</v>
      </c>
      <c r="E30" s="157" t="e">
        <f>#REF!</f>
        <v>#REF!</v>
      </c>
      <c r="F30" s="158" t="e">
        <f t="shared" si="1"/>
        <v>#REF!</v>
      </c>
      <c r="G30" s="164" t="e">
        <f t="shared" si="2"/>
        <v>#REF!</v>
      </c>
      <c r="H30" s="68"/>
      <c r="I30" s="93" t="s">
        <v>31</v>
      </c>
      <c r="K30" s="167"/>
      <c r="M30" s="163"/>
      <c r="P30" s="163"/>
    </row>
    <row r="31" spans="2:16" s="96" customFormat="1">
      <c r="B31" s="120">
        <v>2010</v>
      </c>
      <c r="C31" s="93" t="s">
        <v>38</v>
      </c>
      <c r="D31" s="157">
        <v>11</v>
      </c>
      <c r="E31" s="157">
        <v>10</v>
      </c>
      <c r="F31" s="158">
        <f t="shared" si="1"/>
        <v>10.5</v>
      </c>
      <c r="G31" s="164" t="str">
        <f t="shared" si="2"/>
        <v>||||||||||</v>
      </c>
      <c r="H31" s="68">
        <v>2010</v>
      </c>
      <c r="I31" s="93" t="s">
        <v>49</v>
      </c>
      <c r="K31" s="165"/>
      <c r="M31" s="163"/>
      <c r="P31" s="163"/>
    </row>
    <row r="32" spans="2:16" s="96" customFormat="1" hidden="1">
      <c r="B32" s="168"/>
      <c r="C32" s="93" t="s">
        <v>39</v>
      </c>
      <c r="D32" s="157" t="e">
        <f>#REF!</f>
        <v>#REF!</v>
      </c>
      <c r="E32" s="157" t="e">
        <f>#REF!</f>
        <v>#REF!</v>
      </c>
      <c r="F32" s="158" t="e">
        <f t="shared" si="1"/>
        <v>#REF!</v>
      </c>
      <c r="G32" s="164" t="e">
        <f t="shared" si="2"/>
        <v>#REF!</v>
      </c>
      <c r="H32" s="68"/>
      <c r="I32" s="93" t="s">
        <v>39</v>
      </c>
      <c r="K32" s="165"/>
      <c r="M32" s="163"/>
      <c r="P32" s="163"/>
    </row>
    <row r="33" spans="2:16" s="96" customFormat="1" hidden="1">
      <c r="B33" s="120"/>
      <c r="C33" s="93" t="s">
        <v>32</v>
      </c>
      <c r="D33" s="157" t="e">
        <f>#REF!</f>
        <v>#REF!</v>
      </c>
      <c r="E33" s="157" t="e">
        <f>#REF!</f>
        <v>#REF!</v>
      </c>
      <c r="F33" s="158" t="e">
        <f t="shared" si="1"/>
        <v>#REF!</v>
      </c>
      <c r="G33" s="164" t="e">
        <f t="shared" si="2"/>
        <v>#REF!</v>
      </c>
      <c r="H33" s="68"/>
      <c r="I33" s="93" t="s">
        <v>32</v>
      </c>
      <c r="K33" s="165"/>
      <c r="M33" s="163"/>
      <c r="P33" s="163"/>
    </row>
    <row r="34" spans="2:16" s="96" customFormat="1">
      <c r="B34" s="120">
        <v>2011</v>
      </c>
      <c r="C34" s="93" t="s">
        <v>33</v>
      </c>
      <c r="D34" s="157">
        <v>8.6</v>
      </c>
      <c r="E34" s="157">
        <v>9.4</v>
      </c>
      <c r="F34" s="158">
        <f t="shared" si="1"/>
        <v>9</v>
      </c>
      <c r="G34" s="164" t="str">
        <f t="shared" si="2"/>
        <v>|||||||||</v>
      </c>
      <c r="H34" s="68">
        <v>2011</v>
      </c>
      <c r="I34" s="93" t="s">
        <v>33</v>
      </c>
      <c r="K34" s="165"/>
      <c r="L34" s="169"/>
      <c r="M34" s="163"/>
      <c r="P34" s="163"/>
    </row>
    <row r="35" spans="2:16" s="96" customFormat="1">
      <c r="B35" s="120"/>
      <c r="C35" s="93" t="s">
        <v>34</v>
      </c>
      <c r="D35" s="157">
        <v>35.361950649729771</v>
      </c>
      <c r="E35" s="157">
        <v>43.471264367816097</v>
      </c>
      <c r="F35" s="158">
        <f t="shared" si="1"/>
        <v>39.416607508772934</v>
      </c>
      <c r="G35" s="164" t="str">
        <f t="shared" si="2"/>
        <v>|||||||||||||||||||||||||||||||||||||||</v>
      </c>
      <c r="H35" s="68"/>
      <c r="I35" s="128" t="s">
        <v>77</v>
      </c>
      <c r="K35" s="165"/>
      <c r="M35" s="163"/>
      <c r="P35" s="163"/>
    </row>
    <row r="36" spans="2:16" s="96" customFormat="1">
      <c r="B36" s="120"/>
      <c r="C36" s="93" t="s">
        <v>29</v>
      </c>
      <c r="D36" s="157">
        <v>41.044335907920683</v>
      </c>
      <c r="E36" s="157">
        <v>45.301971330000001</v>
      </c>
      <c r="F36" s="158">
        <f t="shared" si="1"/>
        <v>43.173153618960342</v>
      </c>
      <c r="G36" s="164" t="str">
        <f t="shared" si="2"/>
        <v>|||||||||||||||||||||||||||||||||||||||||||</v>
      </c>
      <c r="H36" s="68"/>
      <c r="I36" s="93" t="s">
        <v>29</v>
      </c>
      <c r="M36" s="163"/>
      <c r="P36" s="163"/>
    </row>
    <row r="37" spans="2:16" s="96" customFormat="1">
      <c r="B37" s="120"/>
      <c r="C37" s="93" t="s">
        <v>35</v>
      </c>
      <c r="D37" s="157">
        <v>37.029868535105358</v>
      </c>
      <c r="E37" s="157">
        <v>21.873234462999999</v>
      </c>
      <c r="F37" s="158">
        <f t="shared" si="1"/>
        <v>29.451551499052677</v>
      </c>
      <c r="G37" s="164" t="str">
        <f t="shared" si="2"/>
        <v>|||||||||||||||||||||||||||||</v>
      </c>
      <c r="H37" s="68"/>
      <c r="I37" s="93" t="s">
        <v>35</v>
      </c>
    </row>
    <row r="38" spans="2:16" s="96" customFormat="1">
      <c r="B38" s="120"/>
      <c r="C38" s="93" t="s">
        <v>4</v>
      </c>
      <c r="D38" s="157">
        <v>40.932354196681018</v>
      </c>
      <c r="E38" s="157">
        <v>47.169627749577025</v>
      </c>
      <c r="F38" s="158">
        <f t="shared" si="1"/>
        <v>44.050990973129018</v>
      </c>
      <c r="G38" s="164" t="str">
        <f t="shared" si="2"/>
        <v>||||||||||||||||||||||||||||||||||||||||||||</v>
      </c>
      <c r="H38" s="68"/>
      <c r="I38" s="93" t="s">
        <v>79</v>
      </c>
    </row>
    <row r="39" spans="2:16" s="96" customFormat="1">
      <c r="B39" s="168"/>
      <c r="C39" s="93" t="s">
        <v>30</v>
      </c>
      <c r="D39" s="157">
        <v>39.819292058516268</v>
      </c>
      <c r="E39" s="157">
        <v>39.38805031446541</v>
      </c>
      <c r="F39" s="158">
        <f t="shared" si="1"/>
        <v>39.603671186490843</v>
      </c>
      <c r="G39" s="164" t="str">
        <f t="shared" si="2"/>
        <v>|||||||||||||||||||||||||||||||||||||||</v>
      </c>
      <c r="H39" s="68"/>
      <c r="I39" s="93" t="s">
        <v>80</v>
      </c>
    </row>
    <row r="40" spans="2:16" s="96" customFormat="1">
      <c r="B40" s="168"/>
      <c r="C40" s="93" t="s">
        <v>36</v>
      </c>
      <c r="D40" s="157">
        <v>38.320328246472741</v>
      </c>
      <c r="E40" s="157">
        <v>41.545967741935499</v>
      </c>
      <c r="F40" s="158">
        <f t="shared" si="1"/>
        <v>39.93314799420412</v>
      </c>
      <c r="G40" s="164" t="str">
        <f t="shared" si="2"/>
        <v>|||||||||||||||||||||||||||||||||||||||</v>
      </c>
      <c r="H40" s="68"/>
      <c r="I40" s="93" t="s">
        <v>81</v>
      </c>
    </row>
    <row r="41" spans="2:16" s="96" customFormat="1">
      <c r="B41" s="168"/>
      <c r="C41" s="93" t="s">
        <v>37</v>
      </c>
      <c r="D41" s="157">
        <v>41.350063028993262</v>
      </c>
      <c r="E41" s="157">
        <v>36.702316076294302</v>
      </c>
      <c r="F41" s="158">
        <f t="shared" si="1"/>
        <v>39.026189552643785</v>
      </c>
      <c r="G41" s="164" t="str">
        <f t="shared" si="2"/>
        <v>|||||||||||||||||||||||||||||||||||||||</v>
      </c>
      <c r="H41" s="68"/>
      <c r="I41" s="93" t="s">
        <v>82</v>
      </c>
    </row>
    <row r="42" spans="2:16" s="96" customFormat="1">
      <c r="B42" s="168"/>
      <c r="C42" s="93" t="s">
        <v>31</v>
      </c>
      <c r="D42" s="157">
        <v>38.641747256329452</v>
      </c>
      <c r="E42" s="157">
        <v>43.148445092322625</v>
      </c>
      <c r="F42" s="158">
        <f t="shared" si="1"/>
        <v>40.895096174326042</v>
      </c>
      <c r="G42" s="164" t="str">
        <f t="shared" si="2"/>
        <v>||||||||||||||||||||||||||||||||||||||||</v>
      </c>
      <c r="H42" s="68"/>
      <c r="I42" s="93" t="s">
        <v>31</v>
      </c>
    </row>
    <row r="43" spans="2:16" s="96" customFormat="1">
      <c r="B43" s="168"/>
      <c r="C43" s="93" t="s">
        <v>38</v>
      </c>
      <c r="D43" s="157">
        <v>39.162786290000753</v>
      </c>
      <c r="E43" s="157">
        <v>40.704946996466418</v>
      </c>
      <c r="F43" s="158">
        <f t="shared" si="1"/>
        <v>39.933866643233586</v>
      </c>
      <c r="G43" s="164" t="str">
        <f t="shared" si="2"/>
        <v>|||||||||||||||||||||||||||||||||||||||</v>
      </c>
      <c r="H43" s="68"/>
      <c r="I43" s="93" t="s">
        <v>49</v>
      </c>
    </row>
    <row r="44" spans="2:16" s="96" customFormat="1">
      <c r="B44" s="168"/>
      <c r="C44" s="93" t="s">
        <v>39</v>
      </c>
      <c r="D44" s="157">
        <v>38.705675687927716</v>
      </c>
      <c r="E44" s="157">
        <v>36.783499450000001</v>
      </c>
      <c r="F44" s="158">
        <f t="shared" si="1"/>
        <v>37.744587568963858</v>
      </c>
      <c r="G44" s="164" t="str">
        <f t="shared" si="2"/>
        <v>|||||||||||||||||||||||||||||||||||||</v>
      </c>
      <c r="H44" s="68"/>
      <c r="I44" s="93" t="s">
        <v>39</v>
      </c>
      <c r="N44" s="170"/>
    </row>
    <row r="45" spans="2:16" s="96" customFormat="1">
      <c r="B45" s="168"/>
      <c r="C45" s="93" t="s">
        <v>32</v>
      </c>
      <c r="D45" s="157">
        <v>44.759191180000002</v>
      </c>
      <c r="E45" s="157">
        <v>36.954372620000001</v>
      </c>
      <c r="F45" s="158">
        <f t="shared" si="1"/>
        <v>40.856781900000001</v>
      </c>
      <c r="G45" s="164" t="str">
        <f t="shared" si="2"/>
        <v>||||||||||||||||||||||||||||||||||||||||</v>
      </c>
      <c r="H45" s="68"/>
      <c r="I45" s="93" t="s">
        <v>83</v>
      </c>
    </row>
    <row r="46" spans="2:16" s="96" customFormat="1">
      <c r="B46" s="120">
        <v>2012</v>
      </c>
      <c r="C46" s="71" t="s">
        <v>33</v>
      </c>
      <c r="D46" s="157">
        <v>33.99899543379005</v>
      </c>
      <c r="E46" s="157">
        <v>36.500508130081307</v>
      </c>
      <c r="F46" s="158">
        <f t="shared" si="1"/>
        <v>35.249751781935679</v>
      </c>
      <c r="G46" s="164" t="str">
        <f t="shared" si="2"/>
        <v>|||||||||||||||||||||||||||||||||||</v>
      </c>
      <c r="H46" s="68">
        <v>2012</v>
      </c>
      <c r="I46" s="93" t="s">
        <v>33</v>
      </c>
    </row>
    <row r="47" spans="2:16" s="96" customFormat="1">
      <c r="B47" s="120"/>
      <c r="C47" s="71" t="s">
        <v>34</v>
      </c>
      <c r="D47" s="157">
        <v>38.742467149977415</v>
      </c>
      <c r="E47" s="157">
        <v>45.933908045977006</v>
      </c>
      <c r="F47" s="158">
        <f t="shared" si="1"/>
        <v>42.33818759797721</v>
      </c>
      <c r="G47" s="164" t="str">
        <f t="shared" si="2"/>
        <v>||||||||||||||||||||||||||||||||||||||||||</v>
      </c>
      <c r="H47" s="68"/>
      <c r="I47" s="128" t="s">
        <v>77</v>
      </c>
    </row>
    <row r="48" spans="2:16" s="96" customFormat="1">
      <c r="B48" s="120"/>
      <c r="C48" s="71" t="s">
        <v>29</v>
      </c>
      <c r="D48" s="157">
        <v>38.041463414634229</v>
      </c>
      <c r="E48" s="157">
        <v>42.915794066317595</v>
      </c>
      <c r="F48" s="158">
        <f t="shared" si="1"/>
        <v>40.478628740475912</v>
      </c>
      <c r="G48" s="164" t="str">
        <f t="shared" si="2"/>
        <v>||||||||||||||||||||||||||||||||||||||||</v>
      </c>
      <c r="H48" s="68"/>
      <c r="I48" s="128" t="s">
        <v>29</v>
      </c>
    </row>
    <row r="49" spans="2:13" s="96" customFormat="1">
      <c r="B49" s="120"/>
      <c r="C49" s="71" t="s">
        <v>35</v>
      </c>
      <c r="D49" s="157">
        <v>38.041463414634229</v>
      </c>
      <c r="E49" s="157">
        <v>42.915794066317595</v>
      </c>
      <c r="F49" s="158">
        <f t="shared" si="1"/>
        <v>40.478628740475912</v>
      </c>
      <c r="G49" s="164" t="str">
        <f t="shared" si="2"/>
        <v>||||||||||||||||||||||||||||||||||||||||</v>
      </c>
      <c r="H49" s="68"/>
      <c r="I49" s="128" t="s">
        <v>78</v>
      </c>
      <c r="M49" s="170"/>
    </row>
    <row r="50" spans="2:13" s="96" customFormat="1">
      <c r="B50" s="120"/>
      <c r="C50" s="71" t="s">
        <v>4</v>
      </c>
      <c r="D50" s="157">
        <v>39.728626126126258</v>
      </c>
      <c r="E50" s="157">
        <v>53.269406392694059</v>
      </c>
      <c r="F50" s="158">
        <f t="shared" si="1"/>
        <v>46.499016259410155</v>
      </c>
      <c r="G50" s="164" t="str">
        <f t="shared" si="2"/>
        <v>||||||||||||||||||||||||||||||||||||||||||||||</v>
      </c>
      <c r="H50" s="68"/>
      <c r="I50" s="93" t="s">
        <v>79</v>
      </c>
      <c r="M50" s="169"/>
    </row>
    <row r="51" spans="2:13" s="96" customFormat="1">
      <c r="B51" s="120"/>
      <c r="C51" s="71" t="s">
        <v>30</v>
      </c>
      <c r="D51" s="160">
        <v>37.873919185729989</v>
      </c>
      <c r="E51" s="157">
        <v>29.739583333333339</v>
      </c>
      <c r="F51" s="158">
        <f t="shared" si="1"/>
        <v>33.806751259531666</v>
      </c>
      <c r="G51" s="164" t="str">
        <f t="shared" si="2"/>
        <v>|||||||||||||||||||||||||||||||||</v>
      </c>
      <c r="H51" s="68"/>
      <c r="I51" s="93" t="s">
        <v>80</v>
      </c>
    </row>
    <row r="52" spans="2:13" s="96" customFormat="1">
      <c r="B52" s="120"/>
      <c r="C52" s="71" t="s">
        <v>36</v>
      </c>
      <c r="D52" s="160">
        <v>38.410779103870915</v>
      </c>
      <c r="E52" s="157">
        <v>40.977176220806776</v>
      </c>
      <c r="F52" s="158">
        <f t="shared" si="1"/>
        <v>39.693977662338845</v>
      </c>
      <c r="G52" s="164" t="str">
        <f t="shared" si="2"/>
        <v>|||||||||||||||||||||||||||||||||||||||</v>
      </c>
      <c r="H52" s="68"/>
      <c r="I52" s="93" t="s">
        <v>81</v>
      </c>
    </row>
    <row r="53" spans="2:13" s="96" customFormat="1">
      <c r="B53" s="120"/>
      <c r="C53" s="12" t="s">
        <v>37</v>
      </c>
      <c r="D53" s="160">
        <v>41.545426188600025</v>
      </c>
      <c r="E53" s="157">
        <v>46.486719787516584</v>
      </c>
      <c r="F53" s="158">
        <f t="shared" si="1"/>
        <v>44.016072988058305</v>
      </c>
      <c r="G53" s="164" t="str">
        <f t="shared" si="2"/>
        <v>||||||||||||||||||||||||||||||||||||||||||||</v>
      </c>
      <c r="H53" s="68"/>
      <c r="I53" s="93" t="s">
        <v>37</v>
      </c>
      <c r="L53" s="163"/>
    </row>
    <row r="54" spans="2:13" s="96" customFormat="1">
      <c r="B54" s="120"/>
      <c r="C54" s="12" t="s">
        <v>31</v>
      </c>
      <c r="D54" s="160">
        <v>36.486604709864245</v>
      </c>
      <c r="E54" s="157">
        <v>38.279096045197754</v>
      </c>
      <c r="F54" s="158">
        <f t="shared" si="1"/>
        <v>37.382850377531</v>
      </c>
      <c r="G54" s="164" t="str">
        <f t="shared" si="2"/>
        <v>|||||||||||||||||||||||||||||||||||||</v>
      </c>
      <c r="H54" s="68"/>
      <c r="I54" s="93" t="s">
        <v>31</v>
      </c>
      <c r="L54" s="163"/>
    </row>
    <row r="55" spans="2:13" s="96" customFormat="1">
      <c r="B55" s="120"/>
      <c r="C55" s="12" t="s">
        <v>38</v>
      </c>
      <c r="D55" s="160">
        <v>41.545426188600025</v>
      </c>
      <c r="E55" s="157">
        <v>46.486719787516584</v>
      </c>
      <c r="F55" s="158">
        <f t="shared" si="1"/>
        <v>44.016072988058305</v>
      </c>
      <c r="G55" s="164" t="str">
        <f>REPT("|",F55)</f>
        <v>||||||||||||||||||||||||||||||||||||||||||||</v>
      </c>
      <c r="H55" s="68"/>
      <c r="I55" s="93" t="s">
        <v>38</v>
      </c>
      <c r="L55" s="163"/>
    </row>
    <row r="56" spans="2:13" s="96" customFormat="1">
      <c r="B56" s="120"/>
      <c r="C56" s="12" t="s">
        <v>39</v>
      </c>
      <c r="D56" s="160">
        <v>36.646867134124321</v>
      </c>
      <c r="E56" s="157">
        <v>41.564197530864206</v>
      </c>
      <c r="F56" s="158">
        <f t="shared" si="1"/>
        <v>39.105532332494263</v>
      </c>
      <c r="G56" s="164" t="str">
        <f>REPT("|",F56)</f>
        <v>|||||||||||||||||||||||||||||||||||||||</v>
      </c>
      <c r="H56" s="68"/>
      <c r="I56" s="93" t="s">
        <v>39</v>
      </c>
      <c r="L56" s="163"/>
    </row>
    <row r="57" spans="2:13" s="96" customFormat="1" ht="15">
      <c r="B57" s="171"/>
      <c r="C57" s="172"/>
      <c r="D57" s="161"/>
      <c r="E57" s="162"/>
      <c r="F57" s="162"/>
      <c r="G57" s="173"/>
      <c r="H57" s="104"/>
      <c r="I57" s="174"/>
    </row>
    <row r="58" spans="2:13">
      <c r="B58" s="122" t="s">
        <v>84</v>
      </c>
      <c r="C58" s="123" t="s">
        <v>134</v>
      </c>
      <c r="D58" s="148"/>
      <c r="E58" s="148"/>
      <c r="L58" s="141"/>
      <c r="M58" s="142"/>
    </row>
    <row r="73" spans="4:8">
      <c r="E73" s="149"/>
      <c r="H73" s="55"/>
    </row>
    <row r="75" spans="4:8">
      <c r="H75" s="55"/>
    </row>
    <row r="77" spans="4:8" ht="13.5">
      <c r="D77" s="150"/>
      <c r="H77" s="55"/>
    </row>
    <row r="78" spans="4:8" ht="13.5">
      <c r="D78" s="150"/>
      <c r="H78" s="55"/>
    </row>
    <row r="79" spans="4:8" ht="13.5">
      <c r="D79" s="150"/>
      <c r="H79" s="55"/>
    </row>
    <row r="80" spans="4:8" ht="13.5">
      <c r="D80" s="150"/>
      <c r="H80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8" spans="4:8" ht="13.5">
      <c r="D88" s="150"/>
      <c r="H88" s="55"/>
    </row>
    <row r="89" spans="4:8" ht="13.5">
      <c r="D89" s="150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4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40625" defaultRowHeight="12.75"/>
  <cols>
    <col min="1" max="1" width="4.140625" style="55" customWidth="1"/>
    <col min="2" max="2" width="11.85546875" style="55" customWidth="1"/>
    <col min="3" max="3" width="7.42578125" style="55" customWidth="1"/>
    <col min="4" max="4" width="20.140625" style="84" customWidth="1"/>
    <col min="5" max="5" width="2.7109375" style="84" bestFit="1" customWidth="1"/>
    <col min="6" max="6" width="20.140625" style="84" customWidth="1"/>
    <col min="7" max="7" width="2.7109375" style="84" bestFit="1" customWidth="1"/>
    <col min="8" max="8" width="20.140625" style="84" customWidth="1"/>
    <col min="9" max="9" width="5.28515625" style="84" customWidth="1"/>
    <col min="10" max="10" width="1.42578125" style="55" customWidth="1"/>
    <col min="11" max="11" width="8.140625" style="134" customWidth="1"/>
    <col min="12" max="12" width="0.140625" style="134" hidden="1" customWidth="1"/>
    <col min="13" max="13" width="9.140625" style="55" bestFit="1" customWidth="1"/>
    <col min="14" max="16384" width="9.140625" style="55"/>
  </cols>
  <sheetData>
    <row r="2" spans="2:13" ht="15.75">
      <c r="B2" s="116" t="s">
        <v>220</v>
      </c>
      <c r="C2" s="116"/>
      <c r="D2" s="144"/>
      <c r="E2" s="144"/>
      <c r="F2" s="144"/>
      <c r="G2" s="144"/>
      <c r="H2" s="145"/>
      <c r="I2" s="145"/>
      <c r="J2" s="118"/>
    </row>
    <row r="3" spans="2:13" ht="15.75">
      <c r="B3" s="116" t="s">
        <v>181</v>
      </c>
      <c r="C3" s="116"/>
      <c r="D3" s="144"/>
      <c r="E3" s="144"/>
      <c r="F3" s="144"/>
      <c r="G3" s="144"/>
      <c r="H3" s="145"/>
      <c r="I3" s="145"/>
      <c r="J3" s="118"/>
      <c r="K3" s="134" t="s">
        <v>141</v>
      </c>
    </row>
    <row r="4" spans="2:13">
      <c r="B4" s="119"/>
      <c r="C4" s="119"/>
      <c r="D4" s="147"/>
      <c r="E4" s="147"/>
      <c r="F4" s="147"/>
      <c r="G4" s="147"/>
      <c r="H4" s="147"/>
      <c r="I4" s="147"/>
    </row>
    <row r="5" spans="2:13" s="96" customFormat="1" ht="37.5" customHeight="1">
      <c r="B5" s="1260" t="s">
        <v>75</v>
      </c>
      <c r="C5" s="1279" t="s">
        <v>120</v>
      </c>
      <c r="D5" s="1281" t="s">
        <v>188</v>
      </c>
      <c r="E5" s="1277"/>
      <c r="F5" s="1277"/>
      <c r="G5" s="1277"/>
      <c r="H5" s="1277"/>
      <c r="I5" s="595"/>
      <c r="J5" s="1277"/>
      <c r="K5" s="1279" t="s">
        <v>76</v>
      </c>
      <c r="L5" s="749"/>
      <c r="M5" s="1256" t="s">
        <v>121</v>
      </c>
    </row>
    <row r="6" spans="2:13" s="96" customFormat="1" ht="19.5" customHeight="1">
      <c r="B6" s="1261"/>
      <c r="C6" s="1280"/>
      <c r="D6" s="242" t="s">
        <v>155</v>
      </c>
      <c r="E6" s="243"/>
      <c r="F6" s="243" t="s">
        <v>156</v>
      </c>
      <c r="G6" s="243"/>
      <c r="H6" s="243" t="s">
        <v>170</v>
      </c>
      <c r="I6" s="275"/>
      <c r="J6" s="1278"/>
      <c r="K6" s="1282"/>
      <c r="L6" s="751"/>
      <c r="M6" s="1257"/>
    </row>
    <row r="7" spans="2:13" s="96" customFormat="1" hidden="1">
      <c r="B7" s="120">
        <v>2009</v>
      </c>
      <c r="C7" s="749"/>
      <c r="D7" s="615">
        <f>AVERAGE(D19:D30)</f>
        <v>5.5305877117875957</v>
      </c>
      <c r="E7" s="279"/>
      <c r="F7" s="282">
        <f>AVERAGE(F19:F30)</f>
        <v>5.4667440801457197</v>
      </c>
      <c r="G7" s="279"/>
      <c r="H7" s="282">
        <f t="shared" ref="H7:H14" si="0">AVERAGE(D7:F7)</f>
        <v>5.4986658959666581</v>
      </c>
      <c r="I7" s="280"/>
      <c r="J7" s="281"/>
      <c r="K7" s="120">
        <v>2009</v>
      </c>
      <c r="L7" s="532"/>
      <c r="M7" s="748"/>
    </row>
    <row r="8" spans="2:13" s="96" customFormat="1" hidden="1">
      <c r="B8" s="120">
        <v>2010</v>
      </c>
      <c r="C8" s="747"/>
      <c r="D8" s="615">
        <f>AVERAGE(D31:D42)</f>
        <v>9.5168338804688926</v>
      </c>
      <c r="E8" s="279"/>
      <c r="F8" s="282">
        <f>AVERAGE(F31:F42)</f>
        <v>10.869158639472607</v>
      </c>
      <c r="G8" s="279"/>
      <c r="H8" s="282">
        <f t="shared" si="0"/>
        <v>10.19299625997075</v>
      </c>
      <c r="I8" s="280"/>
      <c r="J8" s="281"/>
      <c r="K8" s="120">
        <v>2010</v>
      </c>
      <c r="L8" s="532"/>
      <c r="M8" s="748"/>
    </row>
    <row r="9" spans="2:13" s="96" customFormat="1" hidden="1">
      <c r="B9" s="120">
        <v>2011</v>
      </c>
      <c r="C9" s="747"/>
      <c r="D9" s="615">
        <f>AVERAGE(D43:D54)</f>
        <v>8.8828463396819792</v>
      </c>
      <c r="E9" s="279"/>
      <c r="F9" s="282">
        <f>AVERAGE(F43:F54)</f>
        <v>10.866038926344972</v>
      </c>
      <c r="G9" s="279"/>
      <c r="H9" s="282">
        <f t="shared" si="0"/>
        <v>9.8744426330134765</v>
      </c>
      <c r="I9" s="280"/>
      <c r="J9" s="281"/>
      <c r="K9" s="120">
        <v>2011</v>
      </c>
      <c r="L9" s="532"/>
      <c r="M9" s="748"/>
    </row>
    <row r="10" spans="2:13" s="96" customFormat="1" hidden="1">
      <c r="B10" s="120">
        <v>2012</v>
      </c>
      <c r="C10" s="747"/>
      <c r="D10" s="615">
        <f>AVERAGE(D55:D66)</f>
        <v>9.8286884036761055</v>
      </c>
      <c r="E10" s="279"/>
      <c r="F10" s="282">
        <f>AVERAGE(F55:F66)</f>
        <v>11.107752796834228</v>
      </c>
      <c r="G10" s="279"/>
      <c r="H10" s="282">
        <f t="shared" si="0"/>
        <v>10.468220600255167</v>
      </c>
      <c r="I10" s="280"/>
      <c r="J10" s="281"/>
      <c r="K10" s="120">
        <v>2012</v>
      </c>
      <c r="L10" s="532"/>
      <c r="M10" s="748"/>
    </row>
    <row r="11" spans="2:13" s="96" customFormat="1" hidden="1">
      <c r="B11" s="120">
        <v>2013</v>
      </c>
      <c r="C11" s="747"/>
      <c r="D11" s="615">
        <f>AVERAGE(D67:D78)</f>
        <v>10.831738601175141</v>
      </c>
      <c r="E11" s="279"/>
      <c r="F11" s="282">
        <f>AVERAGE(F67:F103)</f>
        <v>11.600488626507167</v>
      </c>
      <c r="G11" s="279"/>
      <c r="H11" s="282">
        <f t="shared" si="0"/>
        <v>11.216113613841154</v>
      </c>
      <c r="I11" s="280"/>
      <c r="J11" s="281"/>
      <c r="K11" s="120">
        <v>2013</v>
      </c>
      <c r="L11" s="532"/>
      <c r="M11" s="748"/>
    </row>
    <row r="12" spans="2:13" s="96" customFormat="1" hidden="1">
      <c r="B12" s="120">
        <v>2014</v>
      </c>
      <c r="C12" s="747"/>
      <c r="D12" s="615">
        <f>AVERAGE(D79:D90)</f>
        <v>9.5099705421195893</v>
      </c>
      <c r="E12" s="282"/>
      <c r="F12" s="282">
        <f>AVERAGE(F79:F90)</f>
        <v>11.542342607571925</v>
      </c>
      <c r="G12" s="282"/>
      <c r="H12" s="282">
        <f t="shared" si="0"/>
        <v>10.526156574845757</v>
      </c>
      <c r="I12" s="280"/>
      <c r="J12" s="281"/>
      <c r="K12" s="120">
        <v>2014</v>
      </c>
      <c r="L12" s="532"/>
      <c r="M12" s="748"/>
    </row>
    <row r="13" spans="2:13" s="96" customFormat="1" hidden="1">
      <c r="B13" s="120">
        <v>2015</v>
      </c>
      <c r="C13" s="747"/>
      <c r="D13" s="615">
        <f>AVERAGE(D91:D102)</f>
        <v>10.514445261333849</v>
      </c>
      <c r="E13" s="282"/>
      <c r="F13" s="282">
        <f>AVERAGE(F91:F102)</f>
        <v>11.678483874160143</v>
      </c>
      <c r="G13" s="282"/>
      <c r="H13" s="282">
        <f t="shared" si="0"/>
        <v>11.096464567746995</v>
      </c>
      <c r="I13" s="280"/>
      <c r="J13" s="281"/>
      <c r="K13" s="121">
        <v>2015</v>
      </c>
      <c r="L13" s="532"/>
      <c r="M13" s="748"/>
    </row>
    <row r="14" spans="2:13" s="96" customFormat="1">
      <c r="B14" s="120">
        <v>2016</v>
      </c>
      <c r="C14" s="747"/>
      <c r="D14" s="615">
        <f>AVERAGE(D103:D114)</f>
        <v>10.243508251805192</v>
      </c>
      <c r="E14" s="282"/>
      <c r="F14" s="282">
        <f>AVERAGE(F103:F114)</f>
        <v>11.613256356113117</v>
      </c>
      <c r="G14" s="282"/>
      <c r="H14" s="282">
        <f t="shared" si="0"/>
        <v>10.928382303959154</v>
      </c>
      <c r="I14" s="280"/>
      <c r="J14" s="281"/>
      <c r="K14" s="121">
        <v>2016</v>
      </c>
      <c r="L14" s="532"/>
      <c r="M14" s="748"/>
    </row>
    <row r="15" spans="2:13" s="96" customFormat="1">
      <c r="B15" s="120">
        <v>2017</v>
      </c>
      <c r="C15" s="747"/>
      <c r="D15" s="615">
        <f>AVERAGE(D115:D126)</f>
        <v>10.432829689460046</v>
      </c>
      <c r="E15" s="282"/>
      <c r="F15" s="282">
        <f>AVERAGE(F115:F126)</f>
        <v>12.26803025503669</v>
      </c>
      <c r="G15" s="282"/>
      <c r="H15" s="282">
        <f>AVERAGE(H115:H126)</f>
        <v>11.448797966572782</v>
      </c>
      <c r="I15" s="280"/>
      <c r="J15" s="281"/>
      <c r="K15" s="121">
        <v>2017</v>
      </c>
      <c r="L15" s="532"/>
      <c r="M15" s="748"/>
    </row>
    <row r="16" spans="2:13" s="96" customFormat="1">
      <c r="B16" s="120">
        <v>2018</v>
      </c>
      <c r="C16" s="747"/>
      <c r="D16" s="615">
        <f>AVERAGE(D127:D138)</f>
        <v>9.9000474818717503</v>
      </c>
      <c r="E16" s="282"/>
      <c r="F16" s="282">
        <f>AVERAGE(F127:F138)</f>
        <v>11.945375566402388</v>
      </c>
      <c r="G16" s="282"/>
      <c r="H16" s="282">
        <f>AVERAGE(H127:H138)</f>
        <v>10.922711524137069</v>
      </c>
      <c r="I16" s="280"/>
      <c r="J16" s="281"/>
      <c r="K16" s="121">
        <v>2018</v>
      </c>
      <c r="L16" s="532"/>
      <c r="M16" s="748"/>
    </row>
    <row r="17" spans="2:13" s="96" customFormat="1">
      <c r="B17" s="120">
        <v>2019</v>
      </c>
      <c r="C17" s="652" t="s">
        <v>337</v>
      </c>
      <c r="D17" s="615">
        <f>AVERAGE(D139:D150)</f>
        <v>10.350410776915165</v>
      </c>
      <c r="E17" s="282"/>
      <c r="F17" s="282">
        <f>AVERAGE(F139:F150)</f>
        <v>13.441752661205086</v>
      </c>
      <c r="G17" s="282"/>
      <c r="H17" s="282">
        <f>AVERAGE(H139:H150)</f>
        <v>11.896081719060122</v>
      </c>
      <c r="I17" s="280"/>
      <c r="J17" s="281"/>
      <c r="K17" s="121">
        <v>2019</v>
      </c>
      <c r="L17" s="532"/>
      <c r="M17" s="748" t="s">
        <v>337</v>
      </c>
    </row>
    <row r="18" spans="2:13" s="96" customFormat="1">
      <c r="B18" s="120">
        <v>2020</v>
      </c>
      <c r="C18" s="652" t="s">
        <v>337</v>
      </c>
      <c r="D18" s="615">
        <f>AVERAGE(D151:D162)</f>
        <v>2.8441596106008475</v>
      </c>
      <c r="E18" s="282"/>
      <c r="F18" s="282">
        <f>AVERAGE(F151:F162)</f>
        <v>1.4568221070811747</v>
      </c>
      <c r="G18" s="282"/>
      <c r="H18" s="282">
        <f>AVERAGE(H151:H162)</f>
        <v>3.0806151085858793</v>
      </c>
      <c r="I18" s="280"/>
      <c r="J18" s="281"/>
      <c r="K18" s="121">
        <v>2020</v>
      </c>
      <c r="L18" s="532"/>
      <c r="M18" s="748" t="s">
        <v>337</v>
      </c>
    </row>
    <row r="19" spans="2:13" s="184" customFormat="1" hidden="1">
      <c r="B19" s="195">
        <v>2009</v>
      </c>
      <c r="C19" s="96" t="s">
        <v>33</v>
      </c>
      <c r="D19" s="616">
        <v>0</v>
      </c>
      <c r="E19" s="187"/>
      <c r="F19" s="188">
        <v>0</v>
      </c>
      <c r="G19" s="188"/>
      <c r="H19" s="188">
        <f t="shared" ref="H19:H28" si="1">(D19+F19)/2</f>
        <v>0</v>
      </c>
      <c r="I19" s="272"/>
      <c r="J19" s="192"/>
      <c r="K19" s="195">
        <v>2009</v>
      </c>
      <c r="L19" s="260"/>
      <c r="M19" s="93" t="s">
        <v>33</v>
      </c>
    </row>
    <row r="20" spans="2:13" s="184" customFormat="1" hidden="1">
      <c r="B20" s="195"/>
      <c r="C20" s="96" t="s">
        <v>34</v>
      </c>
      <c r="D20" s="616">
        <v>0</v>
      </c>
      <c r="E20" s="187"/>
      <c r="F20" s="188">
        <v>0</v>
      </c>
      <c r="G20" s="188"/>
      <c r="H20" s="188">
        <f t="shared" si="1"/>
        <v>0</v>
      </c>
      <c r="I20" s="272"/>
      <c r="J20" s="192"/>
      <c r="K20" s="193"/>
      <c r="L20" s="260"/>
      <c r="M20" s="93" t="s">
        <v>77</v>
      </c>
    </row>
    <row r="21" spans="2:13" s="184" customFormat="1" hidden="1">
      <c r="B21" s="195"/>
      <c r="C21" s="96" t="s">
        <v>29</v>
      </c>
      <c r="D21" s="616">
        <v>0</v>
      </c>
      <c r="E21" s="187"/>
      <c r="F21" s="188">
        <v>0</v>
      </c>
      <c r="G21" s="188"/>
      <c r="H21" s="188">
        <f t="shared" si="1"/>
        <v>0</v>
      </c>
      <c r="I21" s="272"/>
      <c r="J21" s="192"/>
      <c r="K21" s="193"/>
      <c r="L21" s="260"/>
      <c r="M21" s="93" t="s">
        <v>29</v>
      </c>
    </row>
    <row r="22" spans="2:13" s="184" customFormat="1" hidden="1">
      <c r="B22" s="195"/>
      <c r="C22" s="96" t="s">
        <v>35</v>
      </c>
      <c r="D22" s="616">
        <v>0</v>
      </c>
      <c r="E22" s="187"/>
      <c r="F22" s="188">
        <v>0</v>
      </c>
      <c r="G22" s="188"/>
      <c r="H22" s="188">
        <f t="shared" si="1"/>
        <v>0</v>
      </c>
      <c r="I22" s="272"/>
      <c r="J22" s="192"/>
      <c r="K22" s="193"/>
      <c r="L22" s="260"/>
      <c r="M22" s="93" t="s">
        <v>78</v>
      </c>
    </row>
    <row r="23" spans="2:13" s="184" customFormat="1" hidden="1">
      <c r="B23" s="195"/>
      <c r="C23" s="96" t="s">
        <v>4</v>
      </c>
      <c r="D23" s="616">
        <v>0</v>
      </c>
      <c r="E23" s="187"/>
      <c r="F23" s="188">
        <v>0</v>
      </c>
      <c r="G23" s="188"/>
      <c r="H23" s="188">
        <f t="shared" si="1"/>
        <v>0</v>
      </c>
      <c r="I23" s="272"/>
      <c r="J23" s="192"/>
      <c r="K23" s="193"/>
      <c r="L23" s="260"/>
      <c r="M23" s="93" t="s">
        <v>79</v>
      </c>
    </row>
    <row r="24" spans="2:13" s="184" customFormat="1" hidden="1">
      <c r="B24" s="195"/>
      <c r="C24" s="96" t="s">
        <v>30</v>
      </c>
      <c r="D24" s="209">
        <v>9.4</v>
      </c>
      <c r="E24" s="197"/>
      <c r="F24" s="197">
        <v>0</v>
      </c>
      <c r="G24" s="197"/>
      <c r="H24" s="197">
        <f t="shared" si="1"/>
        <v>4.7</v>
      </c>
      <c r="I24" s="272"/>
      <c r="J24" s="270" t="str">
        <f t="shared" ref="J24:J29" si="2">REPT("|",H24)</f>
        <v>||||</v>
      </c>
      <c r="K24" s="193"/>
      <c r="L24" s="260"/>
      <c r="M24" s="93" t="s">
        <v>80</v>
      </c>
    </row>
    <row r="25" spans="2:13" s="184" customFormat="1" hidden="1">
      <c r="B25" s="195"/>
      <c r="C25" s="96" t="s">
        <v>36</v>
      </c>
      <c r="D25" s="209">
        <v>10.5</v>
      </c>
      <c r="E25" s="197"/>
      <c r="F25" s="197">
        <v>11.83</v>
      </c>
      <c r="G25" s="197"/>
      <c r="H25" s="197">
        <f t="shared" si="1"/>
        <v>11.164999999999999</v>
      </c>
      <c r="I25" s="272"/>
      <c r="J25" s="270" t="str">
        <f t="shared" si="2"/>
        <v>|||||||||||</v>
      </c>
      <c r="K25" s="193"/>
      <c r="L25" s="260"/>
      <c r="M25" s="93" t="s">
        <v>81</v>
      </c>
    </row>
    <row r="26" spans="2:13" s="184" customFormat="1" hidden="1">
      <c r="B26" s="195"/>
      <c r="C26" s="96" t="s">
        <v>37</v>
      </c>
      <c r="D26" s="209">
        <v>10.3</v>
      </c>
      <c r="E26" s="197"/>
      <c r="F26" s="197">
        <v>11.44</v>
      </c>
      <c r="G26" s="197"/>
      <c r="H26" s="197">
        <f t="shared" si="1"/>
        <v>10.870000000000001</v>
      </c>
      <c r="I26" s="272"/>
      <c r="J26" s="270" t="str">
        <f t="shared" si="2"/>
        <v>||||||||||</v>
      </c>
      <c r="K26" s="68">
        <v>2009</v>
      </c>
      <c r="L26" s="260"/>
      <c r="M26" s="93" t="s">
        <v>82</v>
      </c>
    </row>
    <row r="27" spans="2:13" s="184" customFormat="1" hidden="1">
      <c r="B27" s="195"/>
      <c r="C27" s="96" t="s">
        <v>31</v>
      </c>
      <c r="D27" s="209">
        <v>8.7268670038678966</v>
      </c>
      <c r="E27" s="197"/>
      <c r="F27" s="197">
        <v>11.010928961748634</v>
      </c>
      <c r="G27" s="197"/>
      <c r="H27" s="197">
        <f t="shared" si="1"/>
        <v>9.8688979828082655</v>
      </c>
      <c r="I27" s="272"/>
      <c r="J27" s="270" t="str">
        <f t="shared" si="2"/>
        <v>|||||||||</v>
      </c>
      <c r="K27" s="68">
        <v>2009</v>
      </c>
      <c r="L27" s="260"/>
      <c r="M27" s="93" t="s">
        <v>31</v>
      </c>
    </row>
    <row r="28" spans="2:13" s="200" customFormat="1" hidden="1">
      <c r="B28" s="195"/>
      <c r="C28" s="96" t="s">
        <v>38</v>
      </c>
      <c r="D28" s="209">
        <v>8.51</v>
      </c>
      <c r="E28" s="197"/>
      <c r="F28" s="197">
        <v>10</v>
      </c>
      <c r="G28" s="197"/>
      <c r="H28" s="198">
        <f t="shared" si="1"/>
        <v>9.254999999999999</v>
      </c>
      <c r="I28" s="273"/>
      <c r="J28" s="271" t="str">
        <f t="shared" si="2"/>
        <v>|||||||||</v>
      </c>
      <c r="K28" s="199">
        <v>2009</v>
      </c>
      <c r="L28" s="218"/>
      <c r="M28" s="93" t="s">
        <v>49</v>
      </c>
    </row>
    <row r="29" spans="2:13" s="200" customFormat="1" hidden="1">
      <c r="B29" s="195"/>
      <c r="C29" s="96" t="s">
        <v>39</v>
      </c>
      <c r="D29" s="209">
        <v>8.5</v>
      </c>
      <c r="E29" s="197"/>
      <c r="F29" s="197">
        <v>9.42</v>
      </c>
      <c r="G29" s="197"/>
      <c r="H29" s="198">
        <f t="shared" ref="H29:H63" si="3">(D29+F29)/2</f>
        <v>8.9600000000000009</v>
      </c>
      <c r="I29" s="273"/>
      <c r="J29" s="263" t="str">
        <f t="shared" si="2"/>
        <v>||||||||</v>
      </c>
      <c r="K29" s="199">
        <v>2009</v>
      </c>
      <c r="L29" s="218"/>
      <c r="M29" s="93" t="s">
        <v>39</v>
      </c>
    </row>
    <row r="30" spans="2:13" s="200" customFormat="1" hidden="1">
      <c r="B30" s="195"/>
      <c r="C30" s="96" t="s">
        <v>32</v>
      </c>
      <c r="D30" s="209">
        <v>10.430185537583254</v>
      </c>
      <c r="E30" s="197"/>
      <c r="F30" s="197">
        <v>11.9</v>
      </c>
      <c r="G30" s="197"/>
      <c r="H30" s="198">
        <f t="shared" si="3"/>
        <v>11.165092768791627</v>
      </c>
      <c r="I30" s="273"/>
      <c r="J30" s="263" t="str">
        <f t="shared" ref="J30:J64" si="4">REPT("|",H30)</f>
        <v>|||||||||||</v>
      </c>
      <c r="K30" s="195">
        <v>2009</v>
      </c>
      <c r="L30" s="218"/>
      <c r="M30" s="93" t="s">
        <v>32</v>
      </c>
    </row>
    <row r="31" spans="2:13" s="200" customFormat="1" hidden="1">
      <c r="B31" s="120">
        <v>2010</v>
      </c>
      <c r="C31" s="96" t="s">
        <v>33</v>
      </c>
      <c r="D31" s="160">
        <v>9.31</v>
      </c>
      <c r="E31" s="157"/>
      <c r="F31" s="157">
        <v>11.4</v>
      </c>
      <c r="G31" s="157"/>
      <c r="H31" s="158">
        <f t="shared" si="3"/>
        <v>10.355</v>
      </c>
      <c r="I31" s="274"/>
      <c r="J31" s="263" t="str">
        <f t="shared" si="4"/>
        <v>||||||||||</v>
      </c>
      <c r="K31" s="120">
        <v>2010</v>
      </c>
      <c r="L31" s="76"/>
      <c r="M31" s="93" t="s">
        <v>33</v>
      </c>
    </row>
    <row r="32" spans="2:13" s="200" customFormat="1" hidden="1">
      <c r="B32" s="120"/>
      <c r="C32" s="96" t="s">
        <v>34</v>
      </c>
      <c r="D32" s="160">
        <v>11.951534733441035</v>
      </c>
      <c r="E32" s="157"/>
      <c r="F32" s="157">
        <v>11.447674418604651</v>
      </c>
      <c r="G32" s="157"/>
      <c r="H32" s="158">
        <f t="shared" si="3"/>
        <v>11.699604576022843</v>
      </c>
      <c r="I32" s="274"/>
      <c r="J32" s="263" t="str">
        <f t="shared" si="4"/>
        <v>|||||||||||</v>
      </c>
      <c r="K32" s="120"/>
      <c r="L32" s="76"/>
      <c r="M32" s="93" t="s">
        <v>77</v>
      </c>
    </row>
    <row r="33" spans="2:13" s="200" customFormat="1" hidden="1">
      <c r="B33" s="120"/>
      <c r="C33" s="96" t="s">
        <v>29</v>
      </c>
      <c r="D33" s="160">
        <v>9.6127982650000003</v>
      </c>
      <c r="E33" s="157"/>
      <c r="F33" s="157">
        <v>8.8333329999999997</v>
      </c>
      <c r="G33" s="157"/>
      <c r="H33" s="158">
        <f t="shared" si="3"/>
        <v>9.2230656324999991</v>
      </c>
      <c r="I33" s="274"/>
      <c r="J33" s="263" t="str">
        <f t="shared" si="4"/>
        <v>|||||||||</v>
      </c>
      <c r="K33" s="120">
        <v>2010</v>
      </c>
      <c r="L33" s="76"/>
      <c r="M33" s="93" t="s">
        <v>29</v>
      </c>
    </row>
    <row r="34" spans="2:13" s="200" customFormat="1" hidden="1">
      <c r="B34" s="120"/>
      <c r="C34" s="96" t="s">
        <v>35</v>
      </c>
      <c r="D34" s="160">
        <v>9.882734145965129</v>
      </c>
      <c r="E34" s="157"/>
      <c r="F34" s="157">
        <v>8.8333329999999997</v>
      </c>
      <c r="G34" s="157"/>
      <c r="H34" s="158">
        <f t="shared" si="3"/>
        <v>9.3580335729825634</v>
      </c>
      <c r="I34" s="274"/>
      <c r="J34" s="263" t="str">
        <f t="shared" si="4"/>
        <v>|||||||||</v>
      </c>
      <c r="K34" s="120">
        <v>2010</v>
      </c>
      <c r="L34" s="76"/>
      <c r="M34" s="93" t="s">
        <v>78</v>
      </c>
    </row>
    <row r="35" spans="2:13" s="200" customFormat="1" hidden="1">
      <c r="B35" s="120"/>
      <c r="C35" s="96" t="s">
        <v>4</v>
      </c>
      <c r="D35" s="160">
        <v>9.0723498888065226</v>
      </c>
      <c r="E35" s="157"/>
      <c r="F35" s="157">
        <v>12.55</v>
      </c>
      <c r="G35" s="157"/>
      <c r="H35" s="158">
        <f t="shared" si="3"/>
        <v>10.811174944403263</v>
      </c>
      <c r="I35" s="274"/>
      <c r="J35" s="263" t="str">
        <f t="shared" si="4"/>
        <v>||||||||||</v>
      </c>
      <c r="K35" s="120">
        <v>2010</v>
      </c>
      <c r="L35" s="76"/>
      <c r="M35" s="93" t="s">
        <v>79</v>
      </c>
    </row>
    <row r="36" spans="2:13" s="200" customFormat="1" hidden="1">
      <c r="B36" s="120"/>
      <c r="C36" s="96" t="s">
        <v>30</v>
      </c>
      <c r="D36" s="160">
        <v>9.249548387096775</v>
      </c>
      <c r="E36" s="157"/>
      <c r="F36" s="157">
        <v>15.15789</v>
      </c>
      <c r="G36" s="157"/>
      <c r="H36" s="158">
        <f t="shared" si="3"/>
        <v>12.203719193548388</v>
      </c>
      <c r="I36" s="274"/>
      <c r="J36" s="263" t="str">
        <f t="shared" si="4"/>
        <v>||||||||||||</v>
      </c>
      <c r="K36" s="120">
        <v>2010</v>
      </c>
      <c r="L36" s="76"/>
      <c r="M36" s="93" t="s">
        <v>80</v>
      </c>
    </row>
    <row r="37" spans="2:13" s="200" customFormat="1" hidden="1">
      <c r="B37" s="120"/>
      <c r="C37" s="96" t="s">
        <v>36</v>
      </c>
      <c r="D37" s="160">
        <v>9.1481030859418198</v>
      </c>
      <c r="E37" s="157"/>
      <c r="F37" s="157">
        <v>11.44772</v>
      </c>
      <c r="G37" s="157"/>
      <c r="H37" s="158">
        <f t="shared" si="3"/>
        <v>10.29791154297091</v>
      </c>
      <c r="I37" s="274"/>
      <c r="J37" s="263" t="str">
        <f t="shared" si="4"/>
        <v>||||||||||</v>
      </c>
      <c r="K37" s="120">
        <v>2010</v>
      </c>
      <c r="L37" s="76"/>
      <c r="M37" s="93" t="s">
        <v>81</v>
      </c>
    </row>
    <row r="38" spans="2:13" s="200" customFormat="1" hidden="1">
      <c r="B38" s="120"/>
      <c r="C38" s="96" t="s">
        <v>37</v>
      </c>
      <c r="D38" s="160">
        <v>8.4186246110932306</v>
      </c>
      <c r="E38" s="157"/>
      <c r="F38" s="157">
        <v>8.9558167202572303</v>
      </c>
      <c r="G38" s="157"/>
      <c r="H38" s="158">
        <f t="shared" si="3"/>
        <v>8.6872206656752304</v>
      </c>
      <c r="I38" s="274"/>
      <c r="J38" s="263" t="str">
        <f t="shared" si="4"/>
        <v>||||||||</v>
      </c>
      <c r="K38" s="120">
        <v>2010</v>
      </c>
      <c r="L38" s="76"/>
      <c r="M38" s="93" t="s">
        <v>82</v>
      </c>
    </row>
    <row r="39" spans="2:13" s="200" customFormat="1" hidden="1">
      <c r="B39" s="120"/>
      <c r="C39" s="96" t="s">
        <v>31</v>
      </c>
      <c r="D39" s="160">
        <v>8.2608357412758391</v>
      </c>
      <c r="E39" s="157"/>
      <c r="F39" s="157">
        <v>11.6920415224913</v>
      </c>
      <c r="G39" s="157"/>
      <c r="H39" s="158">
        <f t="shared" si="3"/>
        <v>9.9764386318835694</v>
      </c>
      <c r="I39" s="274"/>
      <c r="J39" s="263" t="str">
        <f t="shared" si="4"/>
        <v>|||||||||</v>
      </c>
      <c r="K39" s="120">
        <v>2010</v>
      </c>
      <c r="L39" s="76"/>
      <c r="M39" s="93" t="s">
        <v>31</v>
      </c>
    </row>
    <row r="40" spans="2:13" s="200" customFormat="1" hidden="1">
      <c r="B40" s="120"/>
      <c r="C40" s="96" t="s">
        <v>38</v>
      </c>
      <c r="D40" s="160">
        <v>10</v>
      </c>
      <c r="E40" s="157"/>
      <c r="F40" s="157">
        <v>11</v>
      </c>
      <c r="G40" s="157"/>
      <c r="H40" s="158">
        <f t="shared" si="3"/>
        <v>10.5</v>
      </c>
      <c r="I40" s="274"/>
      <c r="J40" s="263" t="str">
        <f t="shared" si="4"/>
        <v>||||||||||</v>
      </c>
      <c r="K40" s="120">
        <v>2010</v>
      </c>
      <c r="L40" s="76"/>
      <c r="M40" s="93" t="s">
        <v>49</v>
      </c>
    </row>
    <row r="41" spans="2:13" s="200" customFormat="1" hidden="1">
      <c r="B41" s="120"/>
      <c r="C41" s="96" t="s">
        <v>39</v>
      </c>
      <c r="D41" s="160">
        <v>9.42</v>
      </c>
      <c r="E41" s="157"/>
      <c r="F41" s="157">
        <v>7.8069306930693072</v>
      </c>
      <c r="G41" s="157"/>
      <c r="H41" s="158">
        <f t="shared" si="3"/>
        <v>8.6134653465346531</v>
      </c>
      <c r="I41" s="274"/>
      <c r="J41" s="263" t="str">
        <f t="shared" si="4"/>
        <v>||||||||</v>
      </c>
      <c r="K41" s="120">
        <v>2010</v>
      </c>
      <c r="L41" s="76"/>
      <c r="M41" s="93" t="s">
        <v>39</v>
      </c>
    </row>
    <row r="42" spans="2:13" s="200" customFormat="1" hidden="1">
      <c r="B42" s="120"/>
      <c r="C42" s="96" t="s">
        <v>32</v>
      </c>
      <c r="D42" s="160">
        <v>9.87547770700637</v>
      </c>
      <c r="E42" s="157"/>
      <c r="F42" s="157">
        <v>11.305164319248799</v>
      </c>
      <c r="G42" s="157"/>
      <c r="H42" s="158">
        <f t="shared" si="3"/>
        <v>10.590321013127586</v>
      </c>
      <c r="I42" s="274"/>
      <c r="J42" s="263" t="str">
        <f t="shared" si="4"/>
        <v>||||||||||</v>
      </c>
      <c r="K42" s="120">
        <v>2010</v>
      </c>
      <c r="L42" s="76"/>
      <c r="M42" s="93" t="s">
        <v>32</v>
      </c>
    </row>
    <row r="43" spans="2:13" s="200" customFormat="1" hidden="1">
      <c r="B43" s="120">
        <v>2011</v>
      </c>
      <c r="C43" s="96" t="s">
        <v>33</v>
      </c>
      <c r="D43" s="160">
        <v>8.638004896</v>
      </c>
      <c r="E43" s="157"/>
      <c r="F43" s="157">
        <v>9.3602941176470598</v>
      </c>
      <c r="G43" s="157"/>
      <c r="H43" s="158">
        <f t="shared" si="3"/>
        <v>8.9991495068235299</v>
      </c>
      <c r="I43" s="274"/>
      <c r="J43" s="263" t="str">
        <f t="shared" si="4"/>
        <v>||||||||</v>
      </c>
      <c r="K43" s="120">
        <v>2011</v>
      </c>
      <c r="L43" s="76"/>
      <c r="M43" s="93" t="s">
        <v>33</v>
      </c>
    </row>
    <row r="44" spans="2:13" s="200" customFormat="1" hidden="1">
      <c r="B44" s="120"/>
      <c r="C44" s="96" t="s">
        <v>34</v>
      </c>
      <c r="D44" s="160">
        <v>8.3964082347788001</v>
      </c>
      <c r="E44" s="157"/>
      <c r="F44" s="157">
        <v>11.448275862068966</v>
      </c>
      <c r="G44" s="157"/>
      <c r="H44" s="158">
        <f t="shared" si="3"/>
        <v>9.9223420484238822</v>
      </c>
      <c r="I44" s="274"/>
      <c r="J44" s="263" t="str">
        <f t="shared" si="4"/>
        <v>|||||||||</v>
      </c>
      <c r="K44" s="120">
        <v>2011</v>
      </c>
      <c r="L44" s="76"/>
      <c r="M44" s="93" t="s">
        <v>77</v>
      </c>
    </row>
    <row r="45" spans="2:13" s="200" customFormat="1" hidden="1">
      <c r="B45" s="120"/>
      <c r="C45" s="96" t="s">
        <v>29</v>
      </c>
      <c r="D45" s="160">
        <v>8.797364834166288</v>
      </c>
      <c r="E45" s="157"/>
      <c r="F45" s="157">
        <v>8.3440860220000008</v>
      </c>
      <c r="G45" s="157"/>
      <c r="H45" s="158">
        <f t="shared" si="3"/>
        <v>8.5707254280831435</v>
      </c>
      <c r="I45" s="274"/>
      <c r="J45" s="263" t="str">
        <f t="shared" si="4"/>
        <v>||||||||</v>
      </c>
      <c r="K45" s="120">
        <v>2011</v>
      </c>
      <c r="L45" s="76"/>
      <c r="M45" s="93" t="s">
        <v>29</v>
      </c>
    </row>
    <row r="46" spans="2:13" s="200" customFormat="1" hidden="1">
      <c r="B46" s="120"/>
      <c r="C46" s="96" t="s">
        <v>35</v>
      </c>
      <c r="D46" s="160">
        <v>8.2138628158844771</v>
      </c>
      <c r="E46" s="157"/>
      <c r="F46" s="157">
        <v>13.838983050847499</v>
      </c>
      <c r="G46" s="157"/>
      <c r="H46" s="158">
        <f t="shared" si="3"/>
        <v>11.026422933365989</v>
      </c>
      <c r="I46" s="274"/>
      <c r="J46" s="263" t="str">
        <f t="shared" si="4"/>
        <v>|||||||||||</v>
      </c>
      <c r="K46" s="120">
        <v>2011</v>
      </c>
      <c r="L46" s="76"/>
      <c r="M46" s="93" t="s">
        <v>78</v>
      </c>
    </row>
    <row r="47" spans="2:13" s="200" customFormat="1" hidden="1">
      <c r="B47" s="120"/>
      <c r="C47" s="96" t="s">
        <v>4</v>
      </c>
      <c r="D47" s="160">
        <v>9.1427655824387113</v>
      </c>
      <c r="E47" s="157"/>
      <c r="F47" s="157">
        <v>10.446700507614214</v>
      </c>
      <c r="G47" s="157"/>
      <c r="H47" s="158">
        <f t="shared" si="3"/>
        <v>9.7947330450264616</v>
      </c>
      <c r="I47" s="274"/>
      <c r="J47" s="263" t="str">
        <f t="shared" si="4"/>
        <v>|||||||||</v>
      </c>
      <c r="K47" s="120">
        <v>2011</v>
      </c>
      <c r="L47" s="76"/>
      <c r="M47" s="93" t="s">
        <v>79</v>
      </c>
    </row>
    <row r="48" spans="2:13" s="200" customFormat="1" hidden="1">
      <c r="B48" s="120"/>
      <c r="C48" s="96" t="s">
        <v>30</v>
      </c>
      <c r="D48" s="160">
        <v>8.589365037888685</v>
      </c>
      <c r="E48" s="157"/>
      <c r="F48" s="157">
        <v>12.584905660377359</v>
      </c>
      <c r="G48" s="157"/>
      <c r="H48" s="158">
        <f t="shared" si="3"/>
        <v>10.587135349133021</v>
      </c>
      <c r="I48" s="274"/>
      <c r="J48" s="263" t="str">
        <f t="shared" si="4"/>
        <v>||||||||||</v>
      </c>
      <c r="K48" s="120">
        <v>2011</v>
      </c>
      <c r="L48" s="76"/>
      <c r="M48" s="93" t="s">
        <v>80</v>
      </c>
    </row>
    <row r="49" spans="2:13" s="200" customFormat="1" hidden="1">
      <c r="B49" s="120"/>
      <c r="C49" s="96" t="s">
        <v>36</v>
      </c>
      <c r="D49" s="160">
        <v>8.9597811480130538</v>
      </c>
      <c r="E49" s="157"/>
      <c r="F49" s="157">
        <v>10.425806451612903</v>
      </c>
      <c r="G49" s="157"/>
      <c r="H49" s="158">
        <f t="shared" si="3"/>
        <v>9.6927937998129785</v>
      </c>
      <c r="I49" s="274"/>
      <c r="J49" s="263" t="str">
        <f t="shared" si="4"/>
        <v>|||||||||</v>
      </c>
      <c r="K49" s="68">
        <v>2011</v>
      </c>
      <c r="L49" s="76"/>
      <c r="M49" s="93" t="s">
        <v>81</v>
      </c>
    </row>
    <row r="50" spans="2:13" s="200" customFormat="1" hidden="1">
      <c r="B50" s="120"/>
      <c r="C50" s="96" t="s">
        <v>37</v>
      </c>
      <c r="D50" s="160">
        <v>8.9640038914711919</v>
      </c>
      <c r="E50" s="157"/>
      <c r="F50" s="157">
        <v>10.8283378746594</v>
      </c>
      <c r="G50" s="157"/>
      <c r="H50" s="158">
        <f t="shared" si="3"/>
        <v>9.8961708830652952</v>
      </c>
      <c r="I50" s="274"/>
      <c r="J50" s="263" t="str">
        <f t="shared" si="4"/>
        <v>|||||||||</v>
      </c>
      <c r="K50" s="120">
        <v>2011</v>
      </c>
      <c r="L50" s="76"/>
      <c r="M50" s="93" t="s">
        <v>82</v>
      </c>
    </row>
    <row r="51" spans="2:13" s="200" customFormat="1" hidden="1">
      <c r="B51" s="120"/>
      <c r="C51" s="96" t="s">
        <v>31</v>
      </c>
      <c r="D51" s="160">
        <v>8.7441051830924703</v>
      </c>
      <c r="E51" s="157"/>
      <c r="F51" s="157">
        <v>9.5801749271137027</v>
      </c>
      <c r="G51" s="157"/>
      <c r="H51" s="158">
        <f t="shared" si="3"/>
        <v>9.1621400551030874</v>
      </c>
      <c r="I51" s="274"/>
      <c r="J51" s="263" t="str">
        <f t="shared" si="4"/>
        <v>|||||||||</v>
      </c>
      <c r="K51" s="120">
        <v>2011</v>
      </c>
      <c r="L51" s="76"/>
      <c r="M51" s="93" t="s">
        <v>31</v>
      </c>
    </row>
    <row r="52" spans="2:13" s="200" customFormat="1" hidden="1">
      <c r="B52" s="120"/>
      <c r="C52" s="96" t="s">
        <v>38</v>
      </c>
      <c r="D52" s="160">
        <v>8.0182057731464802</v>
      </c>
      <c r="E52" s="157"/>
      <c r="F52" s="157">
        <v>9.039007092198581</v>
      </c>
      <c r="G52" s="157"/>
      <c r="H52" s="158">
        <f t="shared" si="3"/>
        <v>8.5286064326725306</v>
      </c>
      <c r="I52" s="274"/>
      <c r="J52" s="263" t="str">
        <f t="shared" si="4"/>
        <v>||||||||</v>
      </c>
      <c r="K52" s="120">
        <v>2011</v>
      </c>
      <c r="L52" s="76"/>
      <c r="M52" s="93" t="s">
        <v>49</v>
      </c>
    </row>
    <row r="53" spans="2:13" s="200" customFormat="1" hidden="1">
      <c r="B53" s="120"/>
      <c r="C53" s="96" t="s">
        <v>39</v>
      </c>
      <c r="D53" s="160">
        <v>8.1449945593035906</v>
      </c>
      <c r="E53" s="157"/>
      <c r="F53" s="157">
        <v>10.963576160000001</v>
      </c>
      <c r="G53" s="157"/>
      <c r="H53" s="158">
        <f t="shared" si="3"/>
        <v>9.5542853596517965</v>
      </c>
      <c r="I53" s="274"/>
      <c r="J53" s="263" t="str">
        <f t="shared" si="4"/>
        <v>|||||||||</v>
      </c>
      <c r="K53" s="120">
        <v>2011</v>
      </c>
      <c r="L53" s="76"/>
      <c r="M53" s="93" t="s">
        <v>39</v>
      </c>
    </row>
    <row r="54" spans="2:13" s="200" customFormat="1" hidden="1">
      <c r="B54" s="120"/>
      <c r="C54" s="96" t="s">
        <v>32</v>
      </c>
      <c r="D54" s="160">
        <v>11.985294120000001</v>
      </c>
      <c r="E54" s="157"/>
      <c r="F54" s="157">
        <v>13.53231939</v>
      </c>
      <c r="G54" s="157"/>
      <c r="H54" s="158">
        <f t="shared" si="3"/>
        <v>12.758806755</v>
      </c>
      <c r="I54" s="274"/>
      <c r="J54" s="263" t="str">
        <f t="shared" si="4"/>
        <v>||||||||||||</v>
      </c>
      <c r="K54" s="120">
        <v>2011</v>
      </c>
      <c r="L54" s="76"/>
      <c r="M54" s="93" t="s">
        <v>32</v>
      </c>
    </row>
    <row r="55" spans="2:13" s="200" customFormat="1" hidden="1">
      <c r="B55" s="120">
        <v>2012</v>
      </c>
      <c r="C55" s="96" t="s">
        <v>33</v>
      </c>
      <c r="D55" s="160">
        <v>10.287258792938278</v>
      </c>
      <c r="E55" s="157"/>
      <c r="F55" s="157">
        <v>11.109756097560975</v>
      </c>
      <c r="G55" s="157"/>
      <c r="H55" s="158">
        <f t="shared" si="3"/>
        <v>10.698507445249627</v>
      </c>
      <c r="I55" s="274"/>
      <c r="J55" s="263" t="str">
        <f t="shared" si="4"/>
        <v>||||||||||</v>
      </c>
      <c r="K55" s="68">
        <v>2012</v>
      </c>
      <c r="L55" s="76"/>
      <c r="M55" s="93" t="s">
        <v>33</v>
      </c>
    </row>
    <row r="56" spans="2:13" s="200" customFormat="1" hidden="1">
      <c r="B56" s="120">
        <v>2012</v>
      </c>
      <c r="C56" s="96" t="s">
        <v>34</v>
      </c>
      <c r="D56" s="160">
        <v>9.2880630630630634</v>
      </c>
      <c r="E56" s="157"/>
      <c r="F56" s="157">
        <v>10.655172413793103</v>
      </c>
      <c r="G56" s="157"/>
      <c r="H56" s="158">
        <f t="shared" si="3"/>
        <v>9.9716177384280833</v>
      </c>
      <c r="I56" s="274"/>
      <c r="J56" s="263" t="str">
        <f t="shared" si="4"/>
        <v>|||||||||</v>
      </c>
      <c r="K56" s="68">
        <v>2012</v>
      </c>
      <c r="L56" s="76"/>
      <c r="M56" s="93" t="s">
        <v>77</v>
      </c>
    </row>
    <row r="57" spans="2:13" s="200" customFormat="1" hidden="1">
      <c r="B57" s="120">
        <v>2012</v>
      </c>
      <c r="C57" s="12" t="s">
        <v>29</v>
      </c>
      <c r="D57" s="160">
        <v>9.7463827019996749</v>
      </c>
      <c r="E57" s="157"/>
      <c r="F57" s="157">
        <v>11.178010471204189</v>
      </c>
      <c r="G57" s="157"/>
      <c r="H57" s="282">
        <f>AVERAGE(D57:F57)</f>
        <v>10.462196586601932</v>
      </c>
      <c r="I57" s="274"/>
      <c r="J57" s="263" t="str">
        <f t="shared" si="4"/>
        <v>||||||||||</v>
      </c>
      <c r="K57" s="68">
        <v>2012</v>
      </c>
      <c r="L57" s="76"/>
      <c r="M57" s="93" t="s">
        <v>29</v>
      </c>
    </row>
    <row r="58" spans="2:13" s="200" customFormat="1" hidden="1">
      <c r="B58" s="120">
        <v>2012</v>
      </c>
      <c r="C58" s="12" t="s">
        <v>35</v>
      </c>
      <c r="D58" s="160">
        <v>9.6733892090099527</v>
      </c>
      <c r="E58" s="157"/>
      <c r="F58" s="157">
        <v>10.79372197309417</v>
      </c>
      <c r="G58" s="157"/>
      <c r="H58" s="158">
        <f t="shared" si="3"/>
        <v>10.233555591052061</v>
      </c>
      <c r="I58" s="274"/>
      <c r="J58" s="263" t="str">
        <f t="shared" si="4"/>
        <v>||||||||||</v>
      </c>
      <c r="K58" s="68">
        <v>2012</v>
      </c>
      <c r="L58" s="76"/>
      <c r="M58" s="93" t="s">
        <v>78</v>
      </c>
    </row>
    <row r="59" spans="2:13" s="200" customFormat="1" hidden="1">
      <c r="B59" s="120"/>
      <c r="C59" s="12" t="s">
        <v>4</v>
      </c>
      <c r="D59" s="160">
        <v>9.8192021636240696</v>
      </c>
      <c r="E59" s="157"/>
      <c r="F59" s="157">
        <v>12.575342465753424</v>
      </c>
      <c r="G59" s="157"/>
      <c r="H59" s="158">
        <f t="shared" si="3"/>
        <v>11.197272314688746</v>
      </c>
      <c r="I59" s="274"/>
      <c r="J59" s="263" t="str">
        <f t="shared" si="4"/>
        <v>|||||||||||</v>
      </c>
      <c r="K59" s="68">
        <v>2012</v>
      </c>
      <c r="L59" s="76"/>
      <c r="M59" s="93" t="s">
        <v>79</v>
      </c>
    </row>
    <row r="60" spans="2:13" s="200" customFormat="1" hidden="1">
      <c r="B60" s="120"/>
      <c r="C60" s="12" t="s">
        <v>30</v>
      </c>
      <c r="D60" s="160">
        <v>9.5336464821811493</v>
      </c>
      <c r="E60" s="157"/>
      <c r="F60" s="157">
        <v>11.744047619047619</v>
      </c>
      <c r="G60" s="157"/>
      <c r="H60" s="158">
        <f t="shared" si="3"/>
        <v>10.638847050614384</v>
      </c>
      <c r="I60" s="274"/>
      <c r="J60" s="263" t="str">
        <f t="shared" si="4"/>
        <v>||||||||||</v>
      </c>
      <c r="K60" s="68">
        <v>2012</v>
      </c>
      <c r="L60" s="76"/>
      <c r="M60" s="93" t="s">
        <v>80</v>
      </c>
    </row>
    <row r="61" spans="2:13" s="200" customFormat="1" hidden="1">
      <c r="B61" s="120"/>
      <c r="C61" s="12" t="s">
        <v>36</v>
      </c>
      <c r="D61" s="160">
        <v>11.368008363826451</v>
      </c>
      <c r="E61" s="157"/>
      <c r="F61" s="157">
        <v>11.535031847133759</v>
      </c>
      <c r="G61" s="157"/>
      <c r="H61" s="158">
        <f t="shared" si="3"/>
        <v>11.451520105480105</v>
      </c>
      <c r="I61" s="274"/>
      <c r="J61" s="263" t="str">
        <f t="shared" si="4"/>
        <v>|||||||||||</v>
      </c>
      <c r="K61" s="68">
        <v>2012</v>
      </c>
      <c r="L61" s="76"/>
      <c r="M61" s="93" t="s">
        <v>81</v>
      </c>
    </row>
    <row r="62" spans="2:13" s="200" customFormat="1" hidden="1">
      <c r="B62" s="120"/>
      <c r="C62" s="12" t="s">
        <v>37</v>
      </c>
      <c r="D62" s="160">
        <v>10.445090121146459</v>
      </c>
      <c r="E62" s="157"/>
      <c r="F62" s="157">
        <v>10.50199203187251</v>
      </c>
      <c r="G62" s="157"/>
      <c r="H62" s="158">
        <f t="shared" si="3"/>
        <v>10.473541076509484</v>
      </c>
      <c r="I62" s="274"/>
      <c r="J62" s="263" t="str">
        <f t="shared" si="4"/>
        <v>||||||||||</v>
      </c>
      <c r="K62" s="68">
        <v>2012</v>
      </c>
      <c r="L62" s="76"/>
      <c r="M62" s="93" t="s">
        <v>82</v>
      </c>
    </row>
    <row r="63" spans="2:13" s="200" customFormat="1" hidden="1">
      <c r="B63" s="120"/>
      <c r="C63" s="12" t="s">
        <v>31</v>
      </c>
      <c r="D63" s="160">
        <v>9.5212454842594187</v>
      </c>
      <c r="E63" s="157"/>
      <c r="F63" s="157">
        <v>11.020338983050847</v>
      </c>
      <c r="G63" s="157"/>
      <c r="H63" s="158">
        <f t="shared" si="3"/>
        <v>10.270792233655133</v>
      </c>
      <c r="I63" s="274"/>
      <c r="J63" s="263" t="str">
        <f t="shared" si="4"/>
        <v>||||||||||</v>
      </c>
      <c r="K63" s="68">
        <v>2012</v>
      </c>
      <c r="L63" s="76"/>
      <c r="M63" s="93" t="s">
        <v>31</v>
      </c>
    </row>
    <row r="64" spans="2:13" s="200" customFormat="1" hidden="1">
      <c r="B64" s="120">
        <v>2012</v>
      </c>
      <c r="C64" s="12" t="s">
        <v>38</v>
      </c>
      <c r="D64" s="160">
        <v>10.445090121146459</v>
      </c>
      <c r="E64" s="157"/>
      <c r="F64" s="157">
        <v>10.50199203187251</v>
      </c>
      <c r="G64" s="157"/>
      <c r="H64" s="158">
        <f>(D64+F64)/2</f>
        <v>10.473541076509484</v>
      </c>
      <c r="I64" s="274"/>
      <c r="J64" s="263" t="str">
        <f t="shared" si="4"/>
        <v>||||||||||</v>
      </c>
      <c r="K64" s="68">
        <v>2012</v>
      </c>
      <c r="L64" s="76"/>
      <c r="M64" s="93" t="s">
        <v>49</v>
      </c>
    </row>
    <row r="65" spans="2:13" s="200" customFormat="1" hidden="1">
      <c r="B65" s="120">
        <v>2012</v>
      </c>
      <c r="C65" s="12" t="s">
        <v>39</v>
      </c>
      <c r="D65" s="160">
        <v>8.9084421704591357</v>
      </c>
      <c r="E65" s="157"/>
      <c r="F65" s="157">
        <v>9.0222222222222221</v>
      </c>
      <c r="G65" s="157"/>
      <c r="H65" s="158">
        <f>(D65+F65)/2</f>
        <v>8.9653321963406789</v>
      </c>
      <c r="I65" s="274"/>
      <c r="J65" s="263" t="str">
        <f>REPT("|",H65)</f>
        <v>||||||||</v>
      </c>
      <c r="K65" s="68">
        <v>2012</v>
      </c>
      <c r="L65" s="76"/>
      <c r="M65" s="93" t="s">
        <v>39</v>
      </c>
    </row>
    <row r="66" spans="2:13" s="200" customFormat="1" hidden="1">
      <c r="B66" s="120">
        <v>2012</v>
      </c>
      <c r="C66" s="12" t="s">
        <v>32</v>
      </c>
      <c r="D66" s="160">
        <v>8.9084421704591357</v>
      </c>
      <c r="E66" s="157"/>
      <c r="F66" s="157">
        <v>12.655405405405405</v>
      </c>
      <c r="G66" s="157"/>
      <c r="H66" s="158">
        <f>(D66+F66)/2</f>
        <v>10.781923787932271</v>
      </c>
      <c r="I66" s="274"/>
      <c r="J66" s="263"/>
      <c r="K66" s="68">
        <v>2012</v>
      </c>
      <c r="L66" s="76"/>
      <c r="M66" s="93" t="s">
        <v>32</v>
      </c>
    </row>
    <row r="67" spans="2:13" s="200" customFormat="1" hidden="1">
      <c r="B67" s="120">
        <v>2013</v>
      </c>
      <c r="C67" s="12" t="s">
        <v>33</v>
      </c>
      <c r="D67" s="160">
        <v>11.640572276960453</v>
      </c>
      <c r="E67" s="157"/>
      <c r="F67" s="157">
        <v>11.17258883248731</v>
      </c>
      <c r="G67" s="157"/>
      <c r="H67" s="157">
        <f t="shared" ref="H67:H74" si="5">SUM(D67:F67)/2</f>
        <v>11.406580554723881</v>
      </c>
      <c r="I67" s="261"/>
      <c r="J67" s="256"/>
      <c r="K67" s="76">
        <v>2013</v>
      </c>
      <c r="L67" s="76"/>
      <c r="M67" s="93" t="s">
        <v>33</v>
      </c>
    </row>
    <row r="68" spans="2:13" s="200" customFormat="1" hidden="1">
      <c r="B68" s="120">
        <v>2013</v>
      </c>
      <c r="C68" s="12" t="s">
        <v>34</v>
      </c>
      <c r="D68" s="160">
        <v>15.593008739076154</v>
      </c>
      <c r="E68" s="276"/>
      <c r="F68" s="157">
        <v>9.3524590163934427</v>
      </c>
      <c r="G68" s="276"/>
      <c r="H68" s="157">
        <f t="shared" si="5"/>
        <v>12.472733877734798</v>
      </c>
      <c r="I68" s="533"/>
      <c r="J68" s="256"/>
      <c r="K68" s="76">
        <v>2013</v>
      </c>
      <c r="L68" s="76"/>
      <c r="M68" s="93" t="s">
        <v>77</v>
      </c>
    </row>
    <row r="69" spans="2:13" s="200" customFormat="1" hidden="1">
      <c r="B69" s="120">
        <v>2013</v>
      </c>
      <c r="C69" s="12" t="s">
        <v>29</v>
      </c>
      <c r="D69" s="160">
        <v>10.053048065650644</v>
      </c>
      <c r="E69" s="157"/>
      <c r="F69" s="157">
        <v>11.153333333333334</v>
      </c>
      <c r="G69" s="157"/>
      <c r="H69" s="282">
        <f>AVERAGE(D69:F69)</f>
        <v>10.603190699491989</v>
      </c>
      <c r="I69" s="261"/>
      <c r="J69" s="256"/>
      <c r="K69" s="76">
        <v>2013</v>
      </c>
      <c r="L69" s="76"/>
      <c r="M69" s="93" t="s">
        <v>29</v>
      </c>
    </row>
    <row r="70" spans="2:13" s="200" customFormat="1" hidden="1">
      <c r="B70" s="120">
        <v>2013</v>
      </c>
      <c r="C70" s="12" t="s">
        <v>35</v>
      </c>
      <c r="D70" s="160">
        <v>10.743887530562347</v>
      </c>
      <c r="E70" s="157"/>
      <c r="F70" s="157">
        <v>10.818371607515658</v>
      </c>
      <c r="G70" s="157"/>
      <c r="H70" s="157">
        <f t="shared" si="5"/>
        <v>10.781129569039003</v>
      </c>
      <c r="I70" s="261"/>
      <c r="J70" s="256"/>
      <c r="K70" s="76">
        <v>2013</v>
      </c>
      <c r="L70" s="76"/>
      <c r="M70" s="93" t="s">
        <v>78</v>
      </c>
    </row>
    <row r="71" spans="2:13" s="200" customFormat="1" hidden="1">
      <c r="B71" s="120">
        <v>2013</v>
      </c>
      <c r="C71" s="12" t="s">
        <v>4</v>
      </c>
      <c r="D71" s="160">
        <v>9.4632914847161569</v>
      </c>
      <c r="E71" s="157"/>
      <c r="F71" s="157">
        <v>12.58600583090379</v>
      </c>
      <c r="G71" s="157"/>
      <c r="H71" s="157">
        <f t="shared" si="5"/>
        <v>11.024648657809973</v>
      </c>
      <c r="I71" s="261"/>
      <c r="J71" s="256"/>
      <c r="K71" s="76">
        <v>2013</v>
      </c>
      <c r="L71" s="76"/>
      <c r="M71" s="93" t="s">
        <v>79</v>
      </c>
    </row>
    <row r="72" spans="2:13" s="200" customFormat="1" hidden="1">
      <c r="B72" s="120">
        <v>2013</v>
      </c>
      <c r="C72" s="12" t="s">
        <v>30</v>
      </c>
      <c r="D72" s="160">
        <v>9.1576268048870784</v>
      </c>
      <c r="E72" s="157"/>
      <c r="F72" s="157">
        <v>11.6525</v>
      </c>
      <c r="G72" s="157"/>
      <c r="H72" s="157">
        <f t="shared" si="5"/>
        <v>10.405063402443538</v>
      </c>
      <c r="I72" s="261"/>
      <c r="J72" s="256"/>
      <c r="K72" s="76">
        <v>2013</v>
      </c>
      <c r="L72" s="76"/>
      <c r="M72" s="93" t="s">
        <v>80</v>
      </c>
    </row>
    <row r="73" spans="2:13" s="200" customFormat="1" hidden="1">
      <c r="B73" s="120">
        <v>2013</v>
      </c>
      <c r="C73" s="12" t="s">
        <v>36</v>
      </c>
      <c r="D73" s="160">
        <v>9.9892888498683057</v>
      </c>
      <c r="E73" s="157"/>
      <c r="F73" s="157">
        <v>12</v>
      </c>
      <c r="G73" s="157"/>
      <c r="H73" s="157">
        <f t="shared" si="5"/>
        <v>10.994644424934153</v>
      </c>
      <c r="I73" s="261"/>
      <c r="J73" s="256"/>
      <c r="K73" s="76">
        <v>2013</v>
      </c>
      <c r="L73" s="76"/>
      <c r="M73" s="93" t="s">
        <v>81</v>
      </c>
    </row>
    <row r="74" spans="2:13" s="200" customFormat="1" hidden="1">
      <c r="B74" s="120">
        <v>2013</v>
      </c>
      <c r="C74" s="12" t="s">
        <v>37</v>
      </c>
      <c r="D74" s="160">
        <v>9.5376837374777637</v>
      </c>
      <c r="E74" s="157"/>
      <c r="F74" s="157">
        <v>13.150442477876107</v>
      </c>
      <c r="G74" s="157"/>
      <c r="H74" s="157">
        <f t="shared" si="5"/>
        <v>11.344063107676934</v>
      </c>
      <c r="I74" s="261"/>
      <c r="J74" s="256"/>
      <c r="K74" s="76">
        <v>2013</v>
      </c>
      <c r="L74" s="76"/>
      <c r="M74" s="93" t="s">
        <v>82</v>
      </c>
    </row>
    <row r="75" spans="2:13" s="200" customFormat="1" hidden="1">
      <c r="B75" s="120">
        <v>2013</v>
      </c>
      <c r="C75" s="12" t="s">
        <v>31</v>
      </c>
      <c r="D75" s="160">
        <v>9.0102292768959433</v>
      </c>
      <c r="E75" s="157"/>
      <c r="F75" s="157">
        <v>12.83203125</v>
      </c>
      <c r="G75" s="157"/>
      <c r="H75" s="157">
        <f t="shared" ref="H75:H80" si="6">SUM(D75:F75)/2</f>
        <v>10.921130263447971</v>
      </c>
      <c r="I75" s="261"/>
      <c r="J75" s="256"/>
      <c r="K75" s="76">
        <v>2013</v>
      </c>
      <c r="L75" s="76"/>
      <c r="M75" s="93" t="s">
        <v>31</v>
      </c>
    </row>
    <row r="76" spans="2:13" s="200" customFormat="1" hidden="1">
      <c r="B76" s="120">
        <v>2013</v>
      </c>
      <c r="C76" s="12" t="s">
        <v>38</v>
      </c>
      <c r="D76" s="160">
        <v>15.689827735540371</v>
      </c>
      <c r="E76" s="157"/>
      <c r="F76" s="157">
        <v>10.581986143187066</v>
      </c>
      <c r="G76" s="157"/>
      <c r="H76" s="157">
        <f t="shared" si="6"/>
        <v>13.135906939363718</v>
      </c>
      <c r="I76" s="261"/>
      <c r="J76" s="256"/>
      <c r="K76" s="76">
        <v>2013</v>
      </c>
      <c r="L76" s="76"/>
      <c r="M76" s="93" t="s">
        <v>49</v>
      </c>
    </row>
    <row r="77" spans="2:13" s="200" customFormat="1" hidden="1">
      <c r="B77" s="120">
        <v>2013</v>
      </c>
      <c r="C77" s="12" t="s">
        <v>39</v>
      </c>
      <c r="D77" s="160">
        <v>8.0364217252396166</v>
      </c>
      <c r="E77" s="157"/>
      <c r="F77" s="157">
        <v>11.838926174496644</v>
      </c>
      <c r="G77" s="157"/>
      <c r="H77" s="157">
        <f t="shared" si="6"/>
        <v>9.937673949868131</v>
      </c>
      <c r="I77" s="261"/>
      <c r="J77" s="256"/>
      <c r="K77" s="76">
        <v>2013</v>
      </c>
      <c r="L77" s="76"/>
      <c r="M77" s="93" t="s">
        <v>39</v>
      </c>
    </row>
    <row r="78" spans="2:13" s="200" customFormat="1" hidden="1">
      <c r="B78" s="120">
        <v>2013</v>
      </c>
      <c r="C78" s="12" t="s">
        <v>32</v>
      </c>
      <c r="D78" s="160">
        <v>11.065976987226856</v>
      </c>
      <c r="E78" s="157"/>
      <c r="F78" s="157">
        <v>12.213157894736842</v>
      </c>
      <c r="G78" s="157"/>
      <c r="H78" s="157">
        <f t="shared" si="6"/>
        <v>11.63956744098185</v>
      </c>
      <c r="I78" s="261"/>
      <c r="J78" s="256"/>
      <c r="K78" s="76">
        <v>2013</v>
      </c>
      <c r="L78" s="76"/>
      <c r="M78" s="93" t="s">
        <v>32</v>
      </c>
    </row>
    <row r="79" spans="2:13" s="200" customFormat="1" ht="15" hidden="1" customHeight="1">
      <c r="B79" s="434">
        <v>2014</v>
      </c>
      <c r="C79" s="614" t="s">
        <v>33</v>
      </c>
      <c r="D79" s="617">
        <v>10.439913127413128</v>
      </c>
      <c r="E79" s="436"/>
      <c r="F79" s="436">
        <v>13.622641509433961</v>
      </c>
      <c r="G79" s="436"/>
      <c r="H79" s="436">
        <f t="shared" si="6"/>
        <v>12.031277318423545</v>
      </c>
      <c r="I79" s="437"/>
      <c r="J79" s="429"/>
      <c r="K79" s="430">
        <v>2014</v>
      </c>
      <c r="L79" s="430"/>
      <c r="M79" s="435" t="s">
        <v>33</v>
      </c>
    </row>
    <row r="80" spans="2:13" s="200" customFormat="1" ht="15" hidden="1" customHeight="1">
      <c r="B80" s="120">
        <v>2014</v>
      </c>
      <c r="C80" s="12" t="s">
        <v>34</v>
      </c>
      <c r="D80" s="160">
        <v>13.092660926609266</v>
      </c>
      <c r="E80" s="157"/>
      <c r="F80" s="157">
        <v>16.717557251908396</v>
      </c>
      <c r="G80" s="157"/>
      <c r="H80" s="157">
        <f t="shared" si="6"/>
        <v>14.905109089258831</v>
      </c>
      <c r="I80" s="261"/>
      <c r="J80" s="256"/>
      <c r="K80" s="120">
        <v>2014</v>
      </c>
      <c r="L80" s="76"/>
      <c r="M80" s="93" t="s">
        <v>77</v>
      </c>
    </row>
    <row r="81" spans="2:13" s="200" customFormat="1" ht="15" hidden="1" customHeight="1">
      <c r="B81" s="120">
        <v>2014</v>
      </c>
      <c r="C81" s="12" t="s">
        <v>29</v>
      </c>
      <c r="D81" s="160">
        <v>9.8732371535094821</v>
      </c>
      <c r="E81" s="157"/>
      <c r="F81" s="157">
        <v>9.0289855072463769</v>
      </c>
      <c r="G81" s="157"/>
      <c r="H81" s="282">
        <f>AVERAGE(D81:F81)</f>
        <v>9.4511113303779304</v>
      </c>
      <c r="I81" s="261"/>
      <c r="J81" s="256"/>
      <c r="K81" s="120">
        <v>2014</v>
      </c>
      <c r="L81" s="76"/>
      <c r="M81" s="93" t="s">
        <v>29</v>
      </c>
    </row>
    <row r="82" spans="2:13" s="200" customFormat="1" ht="15" hidden="1" customHeight="1">
      <c r="B82" s="120">
        <v>2014</v>
      </c>
      <c r="C82" s="12" t="s">
        <v>35</v>
      </c>
      <c r="D82" s="160">
        <v>9.0246259351620939</v>
      </c>
      <c r="E82" s="157"/>
      <c r="F82" s="157">
        <v>10.845945945945946</v>
      </c>
      <c r="G82" s="157"/>
      <c r="H82" s="157">
        <f>SUM(D82:F82)/2</f>
        <v>9.9352859405540208</v>
      </c>
      <c r="I82" s="261"/>
      <c r="J82" s="256"/>
      <c r="K82" s="76">
        <v>2014</v>
      </c>
      <c r="L82" s="76"/>
      <c r="M82" s="93" t="s">
        <v>78</v>
      </c>
    </row>
    <row r="83" spans="2:13" s="200" customFormat="1" ht="15" hidden="1" customHeight="1">
      <c r="B83" s="120">
        <v>2014</v>
      </c>
      <c r="C83" s="12" t="s">
        <v>4</v>
      </c>
      <c r="D83" s="160">
        <v>8.7859249329758722</v>
      </c>
      <c r="E83" s="157"/>
      <c r="F83" s="157">
        <v>13.127450980392156</v>
      </c>
      <c r="G83" s="157"/>
      <c r="H83" s="157">
        <f>SUM(D83:F83)/2</f>
        <v>10.956687956684014</v>
      </c>
      <c r="I83" s="261"/>
      <c r="J83" s="256"/>
      <c r="K83" s="76">
        <v>2014</v>
      </c>
      <c r="L83" s="76"/>
      <c r="M83" s="93" t="s">
        <v>79</v>
      </c>
    </row>
    <row r="84" spans="2:13" s="200" customFormat="1" ht="15" hidden="1" customHeight="1">
      <c r="B84" s="120">
        <v>2014</v>
      </c>
      <c r="C84" s="12" t="s">
        <v>30</v>
      </c>
      <c r="D84" s="160">
        <v>9.1513875598086116</v>
      </c>
      <c r="E84" s="157"/>
      <c r="F84" s="157">
        <v>10.945945945945946</v>
      </c>
      <c r="G84" s="157"/>
      <c r="H84" s="157">
        <f>SUM(D84:F84)/2</f>
        <v>10.048666752877278</v>
      </c>
      <c r="I84" s="261"/>
      <c r="J84" s="256"/>
      <c r="K84" s="76">
        <v>2014</v>
      </c>
      <c r="L84" s="76"/>
      <c r="M84" s="93" t="s">
        <v>80</v>
      </c>
    </row>
    <row r="85" spans="2:13" s="200" customFormat="1" ht="15" hidden="1" customHeight="1">
      <c r="B85" s="120">
        <v>2014</v>
      </c>
      <c r="C85" s="12" t="s">
        <v>36</v>
      </c>
      <c r="D85" s="160">
        <v>9.8682678983833725</v>
      </c>
      <c r="E85" s="157"/>
      <c r="F85" s="157">
        <v>13.127572016460906</v>
      </c>
      <c r="G85" s="157"/>
      <c r="H85" s="157">
        <v>11.497919957422139</v>
      </c>
      <c r="I85" s="261"/>
      <c r="J85" s="256"/>
      <c r="K85" s="76">
        <v>2014</v>
      </c>
      <c r="L85" s="76"/>
      <c r="M85" s="93" t="s">
        <v>81</v>
      </c>
    </row>
    <row r="86" spans="2:13" s="200" customFormat="1" ht="15" hidden="1" customHeight="1">
      <c r="B86" s="120">
        <v>2014</v>
      </c>
      <c r="C86" s="12" t="s">
        <v>37</v>
      </c>
      <c r="D86" s="160">
        <v>8.78482356062616</v>
      </c>
      <c r="E86" s="157"/>
      <c r="F86" s="157">
        <v>10.151419558359622</v>
      </c>
      <c r="G86" s="157"/>
      <c r="H86" s="157">
        <v>9.4681215594928911</v>
      </c>
      <c r="I86" s="261"/>
      <c r="J86" s="256"/>
      <c r="K86" s="76">
        <v>2014</v>
      </c>
      <c r="L86" s="76"/>
      <c r="M86" s="93" t="s">
        <v>82</v>
      </c>
    </row>
    <row r="87" spans="2:13" s="200" customFormat="1" ht="15" hidden="1" customHeight="1">
      <c r="B87" s="120">
        <v>2014</v>
      </c>
      <c r="C87" s="12" t="s">
        <v>31</v>
      </c>
      <c r="D87" s="160">
        <v>8.9768889727384202</v>
      </c>
      <c r="E87" s="157"/>
      <c r="F87" s="157">
        <v>9.6666666666666661</v>
      </c>
      <c r="G87" s="157"/>
      <c r="H87" s="157">
        <v>9.3217778197025432</v>
      </c>
      <c r="I87" s="261"/>
      <c r="J87" s="256"/>
      <c r="K87" s="76">
        <v>2014</v>
      </c>
      <c r="L87" s="76"/>
      <c r="M87" s="93" t="s">
        <v>31</v>
      </c>
    </row>
    <row r="88" spans="2:13" s="200" customFormat="1" ht="15" hidden="1" customHeight="1">
      <c r="B88" s="120">
        <v>2014</v>
      </c>
      <c r="C88" s="12" t="s">
        <v>38</v>
      </c>
      <c r="D88" s="160">
        <v>8.0742914979757092</v>
      </c>
      <c r="E88" s="157"/>
      <c r="F88" s="157">
        <v>8.5990099009900991</v>
      </c>
      <c r="G88" s="157"/>
      <c r="H88" s="157">
        <v>9.3217778197025432</v>
      </c>
      <c r="I88" s="261"/>
      <c r="J88" s="256"/>
      <c r="K88" s="76">
        <v>2014</v>
      </c>
      <c r="L88" s="76"/>
      <c r="M88" s="93" t="s">
        <v>49</v>
      </c>
    </row>
    <row r="89" spans="2:13" s="200" customFormat="1" ht="3.75" hidden="1" customHeight="1">
      <c r="B89" s="120">
        <v>2014</v>
      </c>
      <c r="C89" s="12" t="s">
        <v>39</v>
      </c>
      <c r="D89" s="160">
        <v>8.3169384180029642</v>
      </c>
      <c r="E89" s="157"/>
      <c r="F89" s="157">
        <v>9.6067961165048548</v>
      </c>
      <c r="G89" s="157"/>
      <c r="H89" s="157">
        <v>8.9618672672539095</v>
      </c>
      <c r="I89" s="261"/>
      <c r="J89" s="256"/>
      <c r="K89" s="76">
        <v>2014</v>
      </c>
      <c r="L89" s="76"/>
      <c r="M89" s="93" t="s">
        <v>39</v>
      </c>
    </row>
    <row r="90" spans="2:13" s="200" customFormat="1" ht="15" hidden="1" customHeight="1">
      <c r="B90" s="120">
        <v>2014</v>
      </c>
      <c r="C90" s="12" t="s">
        <v>32</v>
      </c>
      <c r="D90" s="160">
        <v>9.7306865222299876</v>
      </c>
      <c r="E90" s="157"/>
      <c r="F90" s="157">
        <v>13.068119891008175</v>
      </c>
      <c r="G90" s="157"/>
      <c r="H90" s="157">
        <v>11.39940320661908</v>
      </c>
      <c r="I90" s="261"/>
      <c r="J90" s="256"/>
      <c r="K90" s="76">
        <v>2014</v>
      </c>
      <c r="L90" s="76"/>
      <c r="M90" s="93" t="s">
        <v>32</v>
      </c>
    </row>
    <row r="91" spans="2:13" s="200" customFormat="1" ht="15" hidden="1" customHeight="1">
      <c r="B91" s="120">
        <v>2015</v>
      </c>
      <c r="C91" s="12" t="s">
        <v>33</v>
      </c>
      <c r="D91" s="160">
        <v>8.8859510174241496</v>
      </c>
      <c r="E91" s="157"/>
      <c r="F91" s="157">
        <v>9.1672473867595823</v>
      </c>
      <c r="G91" s="157"/>
      <c r="H91" s="157">
        <v>9.0265992020918659</v>
      </c>
      <c r="I91" s="261"/>
      <c r="J91" s="256"/>
      <c r="K91" s="76">
        <v>2015</v>
      </c>
      <c r="L91" s="76"/>
      <c r="M91" s="93" t="s">
        <v>33</v>
      </c>
    </row>
    <row r="92" spans="2:13" s="200" customFormat="1" ht="13.9" hidden="1" customHeight="1">
      <c r="B92" s="120">
        <v>2015</v>
      </c>
      <c r="C92" s="12" t="s">
        <v>34</v>
      </c>
      <c r="D92" s="160">
        <v>12.501260422726391</v>
      </c>
      <c r="E92" s="157"/>
      <c r="F92" s="157">
        <v>10.798994974874372</v>
      </c>
      <c r="G92" s="157"/>
      <c r="H92" s="157">
        <v>11.650127698800382</v>
      </c>
      <c r="I92" s="261"/>
      <c r="J92" s="256"/>
      <c r="K92" s="76">
        <v>2015</v>
      </c>
      <c r="L92" s="76"/>
      <c r="M92" s="93" t="s">
        <v>77</v>
      </c>
    </row>
    <row r="93" spans="2:13" s="200" customFormat="1" ht="15" hidden="1" customHeight="1">
      <c r="B93" s="120">
        <v>2015</v>
      </c>
      <c r="C93" s="12" t="s">
        <v>29</v>
      </c>
      <c r="D93" s="160">
        <v>11.488834844130002</v>
      </c>
      <c r="E93" s="157"/>
      <c r="F93" s="157">
        <v>15.472527472527473</v>
      </c>
      <c r="G93" s="157"/>
      <c r="H93" s="282">
        <f>AVERAGE(D93:F93)</f>
        <v>13.480681158328737</v>
      </c>
      <c r="I93" s="261"/>
      <c r="J93" s="256"/>
      <c r="K93" s="76">
        <v>2015</v>
      </c>
      <c r="L93" s="76"/>
      <c r="M93" s="93" t="s">
        <v>29</v>
      </c>
    </row>
    <row r="94" spans="2:13" s="200" customFormat="1" ht="15" hidden="1" customHeight="1">
      <c r="B94" s="120">
        <v>2015</v>
      </c>
      <c r="C94" s="12" t="s">
        <v>35</v>
      </c>
      <c r="D94" s="160">
        <v>11.13325499412456</v>
      </c>
      <c r="E94" s="157"/>
      <c r="F94" s="157">
        <v>10.441077441077441</v>
      </c>
      <c r="G94" s="157"/>
      <c r="H94" s="157">
        <v>10.787166217601001</v>
      </c>
      <c r="I94" s="261"/>
      <c r="J94" s="256"/>
      <c r="K94" s="76">
        <v>2015</v>
      </c>
      <c r="L94" s="76"/>
      <c r="M94" s="93" t="s">
        <v>78</v>
      </c>
    </row>
    <row r="95" spans="2:13" s="200" customFormat="1" ht="15" hidden="1" customHeight="1">
      <c r="B95" s="120">
        <v>2015</v>
      </c>
      <c r="C95" s="12" t="s">
        <v>4</v>
      </c>
      <c r="D95" s="160">
        <v>10.35619955979457</v>
      </c>
      <c r="E95" s="157"/>
      <c r="F95" s="157">
        <v>14.262295081967213</v>
      </c>
      <c r="G95" s="157"/>
      <c r="H95" s="157">
        <v>12.309247320880893</v>
      </c>
      <c r="I95" s="261"/>
      <c r="J95" s="256"/>
      <c r="K95" s="76">
        <v>2015</v>
      </c>
      <c r="L95" s="76"/>
      <c r="M95" s="93" t="s">
        <v>79</v>
      </c>
    </row>
    <row r="96" spans="2:13" s="200" customFormat="1" ht="14.45" hidden="1" customHeight="1">
      <c r="B96" s="120">
        <v>2015</v>
      </c>
      <c r="C96" s="12" t="s">
        <v>30</v>
      </c>
      <c r="D96" s="160">
        <v>11.62728332685581</v>
      </c>
      <c r="E96" s="157"/>
      <c r="F96" s="157">
        <v>11.431818181818182</v>
      </c>
      <c r="G96" s="157"/>
      <c r="H96" s="157">
        <v>11.529550754336995</v>
      </c>
      <c r="I96" s="261"/>
      <c r="J96" s="256"/>
      <c r="K96" s="76">
        <v>2015</v>
      </c>
      <c r="L96" s="76"/>
      <c r="M96" s="93" t="s">
        <v>80</v>
      </c>
    </row>
    <row r="97" spans="2:13" s="200" customFormat="1" ht="15" hidden="1" customHeight="1">
      <c r="B97" s="120">
        <v>2015</v>
      </c>
      <c r="C97" s="12" t="s">
        <v>36</v>
      </c>
      <c r="D97" s="160">
        <v>11.693738375697459</v>
      </c>
      <c r="E97" s="157"/>
      <c r="F97" s="157">
        <v>12.496710526315789</v>
      </c>
      <c r="G97" s="157"/>
      <c r="H97" s="157">
        <v>12.095224451006624</v>
      </c>
      <c r="I97" s="261"/>
      <c r="J97" s="256"/>
      <c r="K97" s="76">
        <v>2015</v>
      </c>
      <c r="L97" s="76"/>
      <c r="M97" s="93" t="s">
        <v>81</v>
      </c>
    </row>
    <row r="98" spans="2:13" s="200" customFormat="1" ht="15" hidden="1" customHeight="1">
      <c r="B98" s="120">
        <v>2015</v>
      </c>
      <c r="C98" s="12" t="s">
        <v>37</v>
      </c>
      <c r="D98" s="160">
        <v>10.463753599599348</v>
      </c>
      <c r="E98" s="157"/>
      <c r="F98" s="157">
        <v>10.911242603550296</v>
      </c>
      <c r="G98" s="157"/>
      <c r="H98" s="157">
        <v>10.687498101574821</v>
      </c>
      <c r="I98" s="261"/>
      <c r="J98" s="256"/>
      <c r="K98" s="76">
        <v>2015</v>
      </c>
      <c r="L98" s="76"/>
      <c r="M98" s="93" t="s">
        <v>82</v>
      </c>
    </row>
    <row r="99" spans="2:13" s="200" customFormat="1" ht="15" hidden="1" customHeight="1">
      <c r="B99" s="120">
        <v>2015</v>
      </c>
      <c r="C99" s="12" t="s">
        <v>31</v>
      </c>
      <c r="D99" s="160">
        <v>9.4832000000000001</v>
      </c>
      <c r="E99" s="157"/>
      <c r="F99" s="157">
        <v>10.843500000000001</v>
      </c>
      <c r="G99" s="157"/>
      <c r="H99" s="157">
        <v>10.163350000000001</v>
      </c>
      <c r="I99" s="261"/>
      <c r="J99" s="256"/>
      <c r="K99" s="76">
        <v>2015</v>
      </c>
      <c r="L99" s="76"/>
      <c r="M99" s="93" t="s">
        <v>31</v>
      </c>
    </row>
    <row r="100" spans="2:13" s="200" customFormat="1" ht="15" hidden="1" customHeight="1">
      <c r="B100" s="120">
        <v>2015</v>
      </c>
      <c r="C100" s="12" t="s">
        <v>38</v>
      </c>
      <c r="D100" s="160">
        <v>9.4672110863647614</v>
      </c>
      <c r="E100" s="157"/>
      <c r="F100" s="157">
        <v>11.573369565217391</v>
      </c>
      <c r="G100" s="157"/>
      <c r="H100" s="157">
        <v>10.520290325791077</v>
      </c>
      <c r="I100" s="261"/>
      <c r="J100" s="256"/>
      <c r="K100" s="76">
        <v>2015</v>
      </c>
      <c r="L100" s="76"/>
      <c r="M100" s="93" t="s">
        <v>49</v>
      </c>
    </row>
    <row r="101" spans="2:13" s="200" customFormat="1" ht="15" hidden="1" customHeight="1">
      <c r="B101" s="120">
        <v>2015</v>
      </c>
      <c r="C101" s="12" t="s">
        <v>39</v>
      </c>
      <c r="D101" s="160">
        <v>8.8726559092891417</v>
      </c>
      <c r="E101" s="157"/>
      <c r="F101" s="157">
        <v>10.343023255813954</v>
      </c>
      <c r="G101" s="157"/>
      <c r="H101" s="157">
        <v>9.6078395825515486</v>
      </c>
      <c r="I101" s="261"/>
      <c r="J101" s="256"/>
      <c r="K101" s="76">
        <v>2015</v>
      </c>
      <c r="L101" s="76"/>
      <c r="M101" s="93" t="s">
        <v>39</v>
      </c>
    </row>
    <row r="102" spans="2:13" s="200" customFormat="1" ht="15" hidden="1" customHeight="1">
      <c r="B102" s="120">
        <v>2015</v>
      </c>
      <c r="C102" s="12" t="s">
        <v>32</v>
      </c>
      <c r="D102" s="160">
        <v>10.199999999999999</v>
      </c>
      <c r="E102" s="157"/>
      <c r="F102" s="157">
        <v>12.4</v>
      </c>
      <c r="G102" s="157"/>
      <c r="H102" s="157">
        <v>11.3</v>
      </c>
      <c r="I102" s="261"/>
      <c r="J102" s="256"/>
      <c r="K102" s="76">
        <v>2015</v>
      </c>
      <c r="L102" s="76"/>
      <c r="M102" s="93" t="s">
        <v>32</v>
      </c>
    </row>
    <row r="103" spans="2:13" s="200" customFormat="1" ht="15" customHeight="1">
      <c r="B103" s="120">
        <v>2016</v>
      </c>
      <c r="C103" s="12" t="s">
        <v>33</v>
      </c>
      <c r="D103" s="160">
        <v>10.309381980640357</v>
      </c>
      <c r="E103" s="157"/>
      <c r="F103" s="157">
        <v>11.216358839050132</v>
      </c>
      <c r="G103" s="157"/>
      <c r="H103" s="157">
        <v>10.762870409845245</v>
      </c>
      <c r="I103" s="261"/>
      <c r="J103" s="256"/>
      <c r="K103" s="76">
        <v>2016</v>
      </c>
      <c r="L103" s="76"/>
      <c r="M103" s="93" t="s">
        <v>33</v>
      </c>
    </row>
    <row r="104" spans="2:13" s="200" customFormat="1" ht="13.9" hidden="1" customHeight="1">
      <c r="B104" s="120">
        <v>2016</v>
      </c>
      <c r="C104" s="12" t="s">
        <v>34</v>
      </c>
      <c r="D104" s="160">
        <v>11.361083249749248</v>
      </c>
      <c r="E104" s="157"/>
      <c r="F104" s="157">
        <v>10.718894009216591</v>
      </c>
      <c r="G104" s="157"/>
      <c r="H104" s="157">
        <v>11.03998862948292</v>
      </c>
      <c r="I104" s="261"/>
      <c r="J104" s="256"/>
      <c r="K104" s="76">
        <v>2016</v>
      </c>
      <c r="L104" s="76"/>
      <c r="M104" s="93" t="s">
        <v>77</v>
      </c>
    </row>
    <row r="105" spans="2:13" s="200" customFormat="1" ht="12.75" hidden="1" customHeight="1">
      <c r="B105" s="120">
        <v>2016</v>
      </c>
      <c r="C105" s="12" t="s">
        <v>29</v>
      </c>
      <c r="D105" s="160">
        <v>8.5134788189987169</v>
      </c>
      <c r="E105" s="157"/>
      <c r="F105" s="157">
        <v>13.718253968253968</v>
      </c>
      <c r="G105" s="157"/>
      <c r="H105" s="282">
        <f t="shared" ref="H105:H117" si="7">AVERAGE(D105:F105)</f>
        <v>11.115866393626343</v>
      </c>
      <c r="I105" s="261"/>
      <c r="J105" s="256"/>
      <c r="K105" s="76">
        <v>2016</v>
      </c>
      <c r="L105" s="76"/>
      <c r="M105" s="93" t="s">
        <v>29</v>
      </c>
    </row>
    <row r="106" spans="2:13" s="200" customFormat="1" ht="14.25" hidden="1" customHeight="1">
      <c r="B106" s="120">
        <v>2016</v>
      </c>
      <c r="C106" s="12" t="s">
        <v>35</v>
      </c>
      <c r="D106" s="160">
        <v>11.236080178173719</v>
      </c>
      <c r="E106" s="157"/>
      <c r="F106" s="157">
        <v>11.236080178173719</v>
      </c>
      <c r="G106" s="157"/>
      <c r="H106" s="282">
        <f t="shared" si="7"/>
        <v>11.236080178173719</v>
      </c>
      <c r="I106" s="261"/>
      <c r="J106" s="256"/>
      <c r="K106" s="76">
        <v>2016</v>
      </c>
      <c r="L106" s="76"/>
      <c r="M106" s="93" t="s">
        <v>78</v>
      </c>
    </row>
    <row r="107" spans="2:13" s="200" customFormat="1" ht="14.25" hidden="1" customHeight="1">
      <c r="B107" s="120">
        <v>2016</v>
      </c>
      <c r="C107" s="12" t="s">
        <v>4</v>
      </c>
      <c r="D107" s="160">
        <v>9.2996247654784234</v>
      </c>
      <c r="E107" s="157"/>
      <c r="F107" s="157">
        <v>13.265753424657534</v>
      </c>
      <c r="G107" s="157"/>
      <c r="H107" s="282">
        <f t="shared" si="7"/>
        <v>11.28268909506798</v>
      </c>
      <c r="I107" s="261"/>
      <c r="J107" s="256"/>
      <c r="K107" s="76">
        <v>2016</v>
      </c>
      <c r="L107" s="76"/>
      <c r="M107" s="93" t="s">
        <v>79</v>
      </c>
    </row>
    <row r="108" spans="2:13" s="200" customFormat="1" ht="14.25" hidden="1" customHeight="1">
      <c r="B108" s="120">
        <v>2016</v>
      </c>
      <c r="C108" s="12" t="s">
        <v>30</v>
      </c>
      <c r="D108" s="160">
        <v>9.8374476013041452</v>
      </c>
      <c r="E108" s="157"/>
      <c r="F108" s="157">
        <v>12.55193482688391</v>
      </c>
      <c r="G108" s="157"/>
      <c r="H108" s="282">
        <f t="shared" si="7"/>
        <v>11.194691214094028</v>
      </c>
      <c r="I108" s="261"/>
      <c r="J108" s="256"/>
      <c r="K108" s="76">
        <v>2016</v>
      </c>
      <c r="L108" s="76"/>
      <c r="M108" s="93" t="s">
        <v>80</v>
      </c>
    </row>
    <row r="109" spans="2:13" s="200" customFormat="1" ht="13.5" hidden="1" customHeight="1">
      <c r="B109" s="120">
        <v>2016</v>
      </c>
      <c r="C109" s="12" t="s">
        <v>36</v>
      </c>
      <c r="D109" s="160">
        <v>10.544832306639288</v>
      </c>
      <c r="E109" s="157"/>
      <c r="F109" s="157">
        <v>10.936802973977695</v>
      </c>
      <c r="G109" s="157"/>
      <c r="H109" s="282">
        <f t="shared" si="7"/>
        <v>10.740817640308492</v>
      </c>
      <c r="I109" s="261"/>
      <c r="J109" s="256"/>
      <c r="K109" s="76">
        <v>2016</v>
      </c>
      <c r="L109" s="76"/>
      <c r="M109" s="93" t="s">
        <v>81</v>
      </c>
    </row>
    <row r="110" spans="2:13" s="200" customFormat="1" ht="13.5" hidden="1" customHeight="1">
      <c r="B110" s="120">
        <v>2016</v>
      </c>
      <c r="C110" s="12" t="s">
        <v>37</v>
      </c>
      <c r="D110" s="160">
        <v>10.631193693693694</v>
      </c>
      <c r="E110" s="157"/>
      <c r="F110" s="157">
        <v>12.633251833740831</v>
      </c>
      <c r="G110" s="157"/>
      <c r="H110" s="282">
        <f t="shared" si="7"/>
        <v>11.632222763717262</v>
      </c>
      <c r="I110" s="261"/>
      <c r="J110" s="135"/>
      <c r="K110" s="76">
        <v>2016</v>
      </c>
      <c r="L110" s="76"/>
      <c r="M110" s="93" t="str">
        <f>M98</f>
        <v>Aoû</v>
      </c>
    </row>
    <row r="111" spans="2:13" s="200" customFormat="1" ht="13.5" hidden="1" customHeight="1">
      <c r="B111" s="120">
        <v>2016</v>
      </c>
      <c r="C111" s="12" t="s">
        <v>31</v>
      </c>
      <c r="D111" s="160">
        <v>10.750248646259255</v>
      </c>
      <c r="E111" s="157"/>
      <c r="F111" s="157">
        <v>11.003558718861211</v>
      </c>
      <c r="G111" s="157"/>
      <c r="H111" s="282">
        <f t="shared" si="7"/>
        <v>10.876903682560233</v>
      </c>
      <c r="I111" s="261"/>
      <c r="J111" s="612"/>
      <c r="K111" s="76">
        <v>2016</v>
      </c>
      <c r="L111" s="76"/>
      <c r="M111" s="93" t="str">
        <f>M99</f>
        <v>Sep</v>
      </c>
    </row>
    <row r="112" spans="2:13" s="200" customFormat="1" ht="15" hidden="1" customHeight="1">
      <c r="B112" s="120">
        <v>2016</v>
      </c>
      <c r="C112" s="12" t="s">
        <v>38</v>
      </c>
      <c r="D112" s="160">
        <v>10.8745571302037</v>
      </c>
      <c r="E112" s="157"/>
      <c r="F112" s="157">
        <v>11.015384615384599</v>
      </c>
      <c r="G112" s="157"/>
      <c r="H112" s="282">
        <f t="shared" si="7"/>
        <v>10.944970872794149</v>
      </c>
      <c r="I112" s="261"/>
      <c r="J112" s="256"/>
      <c r="K112" s="76">
        <v>2016</v>
      </c>
      <c r="L112" s="76"/>
      <c r="M112" s="93" t="s">
        <v>49</v>
      </c>
    </row>
    <row r="113" spans="2:13" s="200" customFormat="1" ht="13.5" hidden="1" customHeight="1">
      <c r="B113" s="120">
        <v>2016</v>
      </c>
      <c r="C113" s="12" t="s">
        <v>39</v>
      </c>
      <c r="D113" s="160">
        <v>9.8129383140117366</v>
      </c>
      <c r="E113" s="157"/>
      <c r="F113" s="157">
        <v>11.76017130620985</v>
      </c>
      <c r="G113" s="157"/>
      <c r="H113" s="282">
        <f t="shared" si="7"/>
        <v>10.786554810110793</v>
      </c>
      <c r="I113" s="261"/>
      <c r="J113" s="256"/>
      <c r="K113" s="76">
        <v>2016</v>
      </c>
      <c r="L113" s="76"/>
      <c r="M113" s="93" t="s">
        <v>39</v>
      </c>
    </row>
    <row r="114" spans="2:13" s="200" customFormat="1" ht="13.5" hidden="1" customHeight="1">
      <c r="B114" s="120">
        <v>2016</v>
      </c>
      <c r="C114" s="12" t="s">
        <v>32</v>
      </c>
      <c r="D114" s="160">
        <v>9.7512323365100233</v>
      </c>
      <c r="E114" s="157"/>
      <c r="F114" s="157">
        <v>9.3026315789473681</v>
      </c>
      <c r="G114" s="157"/>
      <c r="H114" s="282">
        <f t="shared" si="7"/>
        <v>9.5269319577286957</v>
      </c>
      <c r="I114" s="261"/>
      <c r="J114" s="256"/>
      <c r="K114" s="76">
        <v>2016</v>
      </c>
      <c r="L114" s="76"/>
      <c r="M114" s="93" t="s">
        <v>32</v>
      </c>
    </row>
    <row r="115" spans="2:13" s="200" customFormat="1" ht="13.5" customHeight="1">
      <c r="B115" s="120">
        <v>2017</v>
      </c>
      <c r="C115" s="12" t="s">
        <v>33</v>
      </c>
      <c r="D115" s="160">
        <v>11.504861275788475</v>
      </c>
      <c r="E115" s="157"/>
      <c r="F115" s="157">
        <v>12.058411214953271</v>
      </c>
      <c r="G115" s="157"/>
      <c r="H115" s="282">
        <f t="shared" si="7"/>
        <v>11.781636245370873</v>
      </c>
      <c r="I115" s="261"/>
      <c r="J115" s="256"/>
      <c r="K115" s="76">
        <v>2017</v>
      </c>
      <c r="L115" s="76"/>
      <c r="M115" s="93" t="s">
        <v>33</v>
      </c>
    </row>
    <row r="116" spans="2:13" s="200" customFormat="1" ht="13.9" hidden="1" customHeight="1">
      <c r="B116" s="120">
        <v>2017</v>
      </c>
      <c r="C116" s="12" t="s">
        <v>34</v>
      </c>
      <c r="D116" s="160">
        <v>14.537076068212301</v>
      </c>
      <c r="E116" s="157"/>
      <c r="F116" s="157">
        <v>12.68041237113402</v>
      </c>
      <c r="G116" s="157"/>
      <c r="H116" s="282">
        <f t="shared" si="7"/>
        <v>13.608744219673159</v>
      </c>
      <c r="I116" s="261"/>
      <c r="J116" s="256"/>
      <c r="K116" s="76">
        <v>2017</v>
      </c>
      <c r="L116" s="76"/>
      <c r="M116" s="93" t="s">
        <v>77</v>
      </c>
    </row>
    <row r="117" spans="2:13" s="200" customFormat="1" ht="13.5" hidden="1" customHeight="1">
      <c r="B117" s="120">
        <v>2017</v>
      </c>
      <c r="C117" s="12" t="s">
        <v>29</v>
      </c>
      <c r="D117" s="160">
        <v>10.131470150487845</v>
      </c>
      <c r="E117" s="157"/>
      <c r="F117" s="157">
        <v>13.275720164609053</v>
      </c>
      <c r="G117" s="157"/>
      <c r="H117" s="282">
        <f t="shared" si="7"/>
        <v>11.703595157548449</v>
      </c>
      <c r="I117" s="261"/>
      <c r="J117" s="256"/>
      <c r="K117" s="76">
        <v>2017</v>
      </c>
      <c r="L117" s="76"/>
      <c r="M117" s="93" t="s">
        <v>65</v>
      </c>
    </row>
    <row r="118" spans="2:13" s="200" customFormat="1" ht="13.5" hidden="1" customHeight="1">
      <c r="B118" s="120">
        <v>2017</v>
      </c>
      <c r="C118" s="12" t="s">
        <v>35</v>
      </c>
      <c r="D118" s="160">
        <v>10.093757417517208</v>
      </c>
      <c r="E118" s="157"/>
      <c r="F118" s="157">
        <v>11.253012048192771</v>
      </c>
      <c r="G118" s="157"/>
      <c r="H118" s="282">
        <f>AVERAGE(D118:F118)</f>
        <v>10.67338473285499</v>
      </c>
      <c r="I118" s="261"/>
      <c r="J118" s="256"/>
      <c r="K118" s="76">
        <v>2017</v>
      </c>
      <c r="L118" s="76"/>
      <c r="M118" s="93" t="s">
        <v>78</v>
      </c>
    </row>
    <row r="119" spans="2:13" s="200" customFormat="1" ht="13.5" hidden="1" customHeight="1">
      <c r="B119" s="120">
        <v>2017</v>
      </c>
      <c r="C119" s="12" t="s">
        <v>4</v>
      </c>
      <c r="D119" s="160">
        <v>10.362197670946552</v>
      </c>
      <c r="E119" s="157"/>
      <c r="F119" s="157">
        <v>17.1796875</v>
      </c>
      <c r="G119" s="157"/>
      <c r="H119" s="282">
        <f>AVERAGE(D119:F119)</f>
        <v>13.770942585473275</v>
      </c>
      <c r="I119" s="261"/>
      <c r="J119" s="256"/>
      <c r="K119" s="76">
        <v>2017</v>
      </c>
      <c r="L119" s="76"/>
      <c r="M119" s="93" t="s">
        <v>79</v>
      </c>
    </row>
    <row r="120" spans="2:13" s="200" customFormat="1" hidden="1">
      <c r="B120" s="120">
        <v>2017</v>
      </c>
      <c r="C120" s="12" t="s">
        <v>30</v>
      </c>
      <c r="D120" s="160">
        <v>11.221164613661815</v>
      </c>
      <c r="E120" s="157"/>
      <c r="F120" s="157">
        <v>12.210633946830265</v>
      </c>
      <c r="G120" s="157"/>
      <c r="H120" s="282">
        <f>AVERAGE(D120:F120)</f>
        <v>11.71589928024604</v>
      </c>
      <c r="I120" s="261"/>
      <c r="J120" s="256"/>
      <c r="K120" s="76">
        <v>2017</v>
      </c>
      <c r="L120" s="76"/>
      <c r="M120" s="93" t="s">
        <v>80</v>
      </c>
    </row>
    <row r="121" spans="2:13" s="200" customFormat="1" hidden="1">
      <c r="B121" s="120">
        <v>2017</v>
      </c>
      <c r="C121" s="12" t="s">
        <v>36</v>
      </c>
      <c r="D121" s="160">
        <v>10.818503080826387</v>
      </c>
      <c r="E121" s="157"/>
      <c r="F121" s="157">
        <v>11.763358778625955</v>
      </c>
      <c r="G121" s="157"/>
      <c r="H121" s="282">
        <f>AVERAGE(D121:F121)</f>
        <v>11.290930929726171</v>
      </c>
      <c r="I121" s="261"/>
      <c r="J121" s="256"/>
      <c r="K121" s="76">
        <v>2017</v>
      </c>
      <c r="L121" s="76"/>
      <c r="M121" s="93" t="s">
        <v>81</v>
      </c>
    </row>
    <row r="122" spans="2:13" s="200" customFormat="1" hidden="1">
      <c r="B122" s="120">
        <v>2017</v>
      </c>
      <c r="C122" s="12" t="s">
        <v>37</v>
      </c>
      <c r="D122" s="160">
        <v>9.6095372388155358</v>
      </c>
      <c r="E122" s="157"/>
      <c r="F122" s="157">
        <v>11.77995642701525</v>
      </c>
      <c r="G122" s="157"/>
      <c r="H122" s="282">
        <v>10.694746832915392</v>
      </c>
      <c r="I122" s="261"/>
      <c r="J122" s="256"/>
      <c r="K122" s="76">
        <v>2017</v>
      </c>
      <c r="L122" s="76"/>
      <c r="M122" s="93" t="s">
        <v>82</v>
      </c>
    </row>
    <row r="123" spans="2:13" s="200" customFormat="1" hidden="1">
      <c r="B123" s="120">
        <v>2017</v>
      </c>
      <c r="C123" s="12" t="s">
        <v>31</v>
      </c>
      <c r="D123" s="160">
        <v>9.4800664451827235</v>
      </c>
      <c r="E123" s="157"/>
      <c r="F123" s="157">
        <v>10.919678714859439</v>
      </c>
      <c r="G123" s="157"/>
      <c r="H123" s="282">
        <v>10.199872580021081</v>
      </c>
      <c r="I123" s="261"/>
      <c r="J123" s="256"/>
      <c r="K123" s="76">
        <v>2017</v>
      </c>
      <c r="L123" s="76"/>
      <c r="M123" s="93" t="s">
        <v>31</v>
      </c>
    </row>
    <row r="124" spans="2:13" s="200" customFormat="1" ht="15" hidden="1" customHeight="1">
      <c r="B124" s="120">
        <v>2017</v>
      </c>
      <c r="C124" s="12" t="s">
        <v>38</v>
      </c>
      <c r="D124" s="160">
        <v>9.8189406737553409</v>
      </c>
      <c r="E124" s="157"/>
      <c r="F124" s="157">
        <v>10.339583333333334</v>
      </c>
      <c r="G124" s="157"/>
      <c r="H124" s="282">
        <v>10.079262003544336</v>
      </c>
      <c r="I124" s="261"/>
      <c r="J124" s="256"/>
      <c r="K124" s="76">
        <v>2017</v>
      </c>
      <c r="L124" s="76"/>
      <c r="M124" s="93" t="s">
        <v>49</v>
      </c>
    </row>
    <row r="125" spans="2:13" s="200" customFormat="1" hidden="1">
      <c r="B125" s="120">
        <v>2017</v>
      </c>
      <c r="C125" s="12" t="s">
        <v>39</v>
      </c>
      <c r="D125" s="160">
        <v>7.4092189605601471</v>
      </c>
      <c r="E125" s="157"/>
      <c r="F125" s="157">
        <v>11.003115264797508</v>
      </c>
      <c r="G125" s="157"/>
      <c r="H125" s="282">
        <v>10.386583044571804</v>
      </c>
      <c r="I125" s="261"/>
      <c r="J125" s="256"/>
      <c r="K125" s="76">
        <v>2017</v>
      </c>
      <c r="L125" s="76"/>
      <c r="M125" s="93" t="s">
        <v>39</v>
      </c>
    </row>
    <row r="126" spans="2:13" s="200" customFormat="1" ht="12.75" hidden="1" customHeight="1">
      <c r="B126" s="120">
        <v>2017</v>
      </c>
      <c r="C126" s="12" t="s">
        <v>32</v>
      </c>
      <c r="D126" s="160">
        <v>10.207162677766215</v>
      </c>
      <c r="E126" s="157"/>
      <c r="F126" s="157">
        <v>12.752793296089385</v>
      </c>
      <c r="G126" s="157"/>
      <c r="H126" s="282">
        <v>11.4799779869278</v>
      </c>
      <c r="I126" s="261"/>
      <c r="J126" s="256"/>
      <c r="K126" s="76">
        <v>2017</v>
      </c>
      <c r="L126" s="76"/>
      <c r="M126" s="93" t="s">
        <v>32</v>
      </c>
    </row>
    <row r="127" spans="2:13" s="200" customFormat="1" ht="12.75" customHeight="1">
      <c r="B127" s="120">
        <v>2018</v>
      </c>
      <c r="C127" s="12" t="s">
        <v>33</v>
      </c>
      <c r="D127" s="160">
        <v>10.687214137214138</v>
      </c>
      <c r="E127" s="157"/>
      <c r="F127" s="157">
        <v>12.85024154589372</v>
      </c>
      <c r="G127" s="157"/>
      <c r="H127" s="282">
        <v>11.768727841553929</v>
      </c>
      <c r="I127" s="261"/>
      <c r="J127" s="256"/>
      <c r="K127" s="76">
        <v>2018</v>
      </c>
      <c r="L127" s="76"/>
      <c r="M127" s="93" t="s">
        <v>33</v>
      </c>
    </row>
    <row r="128" spans="2:13" s="200" customFormat="1" ht="13.9" hidden="1" customHeight="1">
      <c r="B128" s="120">
        <v>2018</v>
      </c>
      <c r="C128" s="12" t="s">
        <v>34</v>
      </c>
      <c r="D128" s="160">
        <v>13.450431034482758</v>
      </c>
      <c r="E128" s="157"/>
      <c r="F128" s="157">
        <v>15.790960451977401</v>
      </c>
      <c r="G128" s="157"/>
      <c r="H128" s="282">
        <v>14.62069574323008</v>
      </c>
      <c r="I128" s="261"/>
      <c r="J128" s="256"/>
      <c r="K128" s="76">
        <v>2018</v>
      </c>
      <c r="L128" s="76"/>
      <c r="M128" s="93" t="s">
        <v>77</v>
      </c>
    </row>
    <row r="129" spans="2:13" s="200" customFormat="1" ht="12.75" hidden="1" customHeight="1">
      <c r="B129" s="120">
        <v>2018</v>
      </c>
      <c r="C129" s="12" t="s">
        <v>29</v>
      </c>
      <c r="D129" s="160">
        <v>9.2163905585691239</v>
      </c>
      <c r="E129" s="157"/>
      <c r="F129" s="157">
        <v>11.206349206349206</v>
      </c>
      <c r="G129" s="157"/>
      <c r="H129" s="282">
        <v>10.211369882459165</v>
      </c>
      <c r="I129" s="261"/>
      <c r="J129" s="256"/>
      <c r="K129" s="76">
        <v>2018</v>
      </c>
      <c r="L129" s="76"/>
      <c r="M129" s="93" t="s">
        <v>29</v>
      </c>
    </row>
    <row r="130" spans="2:13" s="200" customFormat="1" ht="12.75" hidden="1" customHeight="1">
      <c r="B130" s="120">
        <v>2018</v>
      </c>
      <c r="C130" s="12" t="s">
        <v>35</v>
      </c>
      <c r="D130" s="160">
        <v>11.441981987836423</v>
      </c>
      <c r="E130" s="157"/>
      <c r="F130" s="157">
        <v>10.248792270531402</v>
      </c>
      <c r="G130" s="157"/>
      <c r="H130" s="282">
        <f>AVERAGE(D130:F130)</f>
        <v>10.845387129183912</v>
      </c>
      <c r="I130" s="261"/>
      <c r="J130" s="256"/>
      <c r="K130" s="76">
        <v>2018</v>
      </c>
      <c r="L130" s="76"/>
      <c r="M130" s="93" t="s">
        <v>78</v>
      </c>
    </row>
    <row r="131" spans="2:13" s="200" customFormat="1" ht="12.75" hidden="1" customHeight="1">
      <c r="B131" s="120">
        <v>2018</v>
      </c>
      <c r="C131" s="12" t="s">
        <v>4</v>
      </c>
      <c r="D131" s="160">
        <v>9.0676637317573281</v>
      </c>
      <c r="E131" s="157"/>
      <c r="F131" s="157">
        <v>10.765100671140939</v>
      </c>
      <c r="G131" s="157"/>
      <c r="H131" s="282">
        <v>9.9163822014491334</v>
      </c>
      <c r="I131" s="261"/>
      <c r="J131" s="256"/>
      <c r="K131" s="76">
        <v>2018</v>
      </c>
      <c r="L131" s="76"/>
      <c r="M131" s="93" t="s">
        <v>79</v>
      </c>
    </row>
    <row r="132" spans="2:13" s="200" customFormat="1" ht="12.75" hidden="1" customHeight="1">
      <c r="B132" s="120">
        <v>2018</v>
      </c>
      <c r="C132" s="12" t="s">
        <v>30</v>
      </c>
      <c r="D132" s="160">
        <v>9.5561613958560532</v>
      </c>
      <c r="E132" s="157"/>
      <c r="F132" s="157">
        <v>11.450928381962864</v>
      </c>
      <c r="G132" s="157"/>
      <c r="H132" s="282">
        <v>10.50354488890946</v>
      </c>
      <c r="I132" s="261"/>
      <c r="J132" s="256"/>
      <c r="K132" s="76">
        <v>2018</v>
      </c>
      <c r="L132" s="76"/>
      <c r="M132" s="93" t="s">
        <v>80</v>
      </c>
    </row>
    <row r="133" spans="2:13" s="200" customFormat="1" ht="12.75" hidden="1" customHeight="1">
      <c r="B133" s="120">
        <v>2018</v>
      </c>
      <c r="C133" s="12" t="s">
        <v>36</v>
      </c>
      <c r="D133" s="160">
        <v>10.60012724669954</v>
      </c>
      <c r="E133" s="157"/>
      <c r="F133" s="157">
        <v>13.251295336787564</v>
      </c>
      <c r="G133" s="157"/>
      <c r="H133" s="282">
        <v>11.925711291743552</v>
      </c>
      <c r="I133" s="261"/>
      <c r="J133" s="256"/>
      <c r="K133" s="76">
        <v>2018</v>
      </c>
      <c r="L133" s="76"/>
      <c r="M133" s="93" t="s">
        <v>81</v>
      </c>
    </row>
    <row r="134" spans="2:13" s="200" customFormat="1" ht="14.25" hidden="1" customHeight="1">
      <c r="B134" s="120">
        <v>2018</v>
      </c>
      <c r="C134" s="12" t="s">
        <v>271</v>
      </c>
      <c r="D134" s="160">
        <v>8.8162041392285975</v>
      </c>
      <c r="E134" s="157"/>
      <c r="F134" s="157">
        <v>10.989276139410189</v>
      </c>
      <c r="G134" s="157"/>
      <c r="H134" s="282">
        <v>9.902740139319393</v>
      </c>
      <c r="I134" s="261"/>
      <c r="J134" s="256"/>
      <c r="K134" s="76">
        <v>2018</v>
      </c>
      <c r="L134" s="76"/>
      <c r="M134" s="93" t="str">
        <f>M122</f>
        <v>Aoû</v>
      </c>
    </row>
    <row r="135" spans="2:13" s="200" customFormat="1" ht="14.25" hidden="1" customHeight="1">
      <c r="B135" s="120">
        <v>2018</v>
      </c>
      <c r="C135" s="12" t="s">
        <v>31</v>
      </c>
      <c r="D135" s="160">
        <v>9.4528767123287665</v>
      </c>
      <c r="E135" s="157"/>
      <c r="F135" s="157">
        <v>10.913793103448301</v>
      </c>
      <c r="G135" s="157"/>
      <c r="H135" s="282">
        <v>10.183334907888533</v>
      </c>
      <c r="I135" s="261"/>
      <c r="J135" s="256"/>
      <c r="K135" s="76">
        <v>2018</v>
      </c>
      <c r="L135" s="76"/>
      <c r="M135" s="93" t="s">
        <v>31</v>
      </c>
    </row>
    <row r="136" spans="2:13" s="200" customFormat="1" ht="14.25" hidden="1" customHeight="1">
      <c r="B136" s="120">
        <v>2018</v>
      </c>
      <c r="C136" s="12" t="s">
        <v>38</v>
      </c>
      <c r="D136" s="160">
        <v>10.024757582009491</v>
      </c>
      <c r="E136" s="157"/>
      <c r="F136" s="157">
        <v>12.167307692307693</v>
      </c>
      <c r="G136" s="157"/>
      <c r="H136" s="282">
        <v>11.096032637158592</v>
      </c>
      <c r="I136" s="261"/>
      <c r="J136" s="256"/>
      <c r="K136" s="76">
        <v>2018</v>
      </c>
      <c r="L136" s="76"/>
      <c r="M136" s="93" t="s">
        <v>49</v>
      </c>
    </row>
    <row r="137" spans="2:13" s="200" customFormat="1" ht="14.25" hidden="1" customHeight="1">
      <c r="B137" s="120">
        <v>2018</v>
      </c>
      <c r="C137" s="12" t="s">
        <v>39</v>
      </c>
      <c r="D137" s="160">
        <v>8.8369415016121611</v>
      </c>
      <c r="E137" s="157"/>
      <c r="F137" s="157">
        <v>11.956363636363637</v>
      </c>
      <c r="G137" s="157"/>
      <c r="H137" s="282">
        <v>10.3966525689879</v>
      </c>
      <c r="I137" s="261"/>
      <c r="J137" s="256"/>
      <c r="K137" s="76">
        <v>2018</v>
      </c>
      <c r="L137" s="76"/>
      <c r="M137" s="93" t="s">
        <v>39</v>
      </c>
    </row>
    <row r="138" spans="2:13" s="200" customFormat="1" ht="14.25" hidden="1" customHeight="1">
      <c r="B138" s="120">
        <v>2018</v>
      </c>
      <c r="C138" s="12" t="s">
        <v>32</v>
      </c>
      <c r="D138" s="160">
        <v>7.649819754866618</v>
      </c>
      <c r="E138" s="157"/>
      <c r="F138" s="157">
        <v>11.754098360655737</v>
      </c>
      <c r="G138" s="157"/>
      <c r="H138" s="282">
        <v>9.7019590577611776</v>
      </c>
      <c r="I138" s="261"/>
      <c r="J138" s="256"/>
      <c r="K138" s="76">
        <v>2018</v>
      </c>
      <c r="L138" s="76"/>
      <c r="M138" s="93" t="s">
        <v>32</v>
      </c>
    </row>
    <row r="139" spans="2:13" s="200" customFormat="1" ht="14.25" customHeight="1">
      <c r="B139" s="120">
        <v>2019</v>
      </c>
      <c r="C139" s="605" t="s">
        <v>295</v>
      </c>
      <c r="D139" s="160">
        <v>12.366116682842662</v>
      </c>
      <c r="E139" s="157"/>
      <c r="F139" s="157">
        <v>12.020618556701031</v>
      </c>
      <c r="G139" s="157"/>
      <c r="H139" s="282">
        <v>12.193367619771847</v>
      </c>
      <c r="I139" s="261"/>
      <c r="J139" s="256"/>
      <c r="K139" s="76">
        <v>2019</v>
      </c>
      <c r="L139" s="76"/>
      <c r="M139" s="93" t="s">
        <v>295</v>
      </c>
    </row>
    <row r="140" spans="2:13" s="200" customFormat="1" ht="12" hidden="1" customHeight="1">
      <c r="B140" s="120">
        <v>2019</v>
      </c>
      <c r="C140" s="605" t="s">
        <v>296</v>
      </c>
      <c r="D140" s="160">
        <v>10.868322169580134</v>
      </c>
      <c r="E140" s="157"/>
      <c r="F140" s="157">
        <v>22.635593220338983</v>
      </c>
      <c r="G140" s="157"/>
      <c r="H140" s="282">
        <v>16.751957694959557</v>
      </c>
      <c r="I140" s="261"/>
      <c r="J140" s="256"/>
      <c r="K140" s="76">
        <v>2019</v>
      </c>
      <c r="L140" s="76"/>
      <c r="M140" s="93" t="s">
        <v>298</v>
      </c>
    </row>
    <row r="141" spans="2:13" s="200" customFormat="1" ht="12" hidden="1" customHeight="1">
      <c r="B141" s="120">
        <v>2019</v>
      </c>
      <c r="C141" s="605" t="s">
        <v>297</v>
      </c>
      <c r="D141" s="160">
        <v>8.7936204615610762</v>
      </c>
      <c r="E141" s="157"/>
      <c r="F141" s="157">
        <v>9.4018264840182653</v>
      </c>
      <c r="G141" s="157"/>
      <c r="H141" s="282">
        <f>AVERAGE(D141:F141)</f>
        <v>9.0977234727896708</v>
      </c>
      <c r="I141" s="261"/>
      <c r="J141" s="256"/>
      <c r="K141" s="76">
        <v>2019</v>
      </c>
      <c r="L141" s="76"/>
      <c r="M141" s="93" t="s">
        <v>297</v>
      </c>
    </row>
    <row r="142" spans="2:13" s="200" customFormat="1" ht="12" hidden="1" customHeight="1">
      <c r="B142" s="120">
        <v>2019</v>
      </c>
      <c r="C142" s="605" t="s">
        <v>300</v>
      </c>
      <c r="D142" s="160">
        <v>7.0641952983725131</v>
      </c>
      <c r="E142" s="157"/>
      <c r="F142" s="157">
        <v>12.51453488372093</v>
      </c>
      <c r="G142" s="157"/>
      <c r="H142" s="282">
        <v>9.7893650910467223</v>
      </c>
      <c r="I142" s="261"/>
      <c r="J142" s="256"/>
      <c r="K142" s="76">
        <v>2019</v>
      </c>
      <c r="L142" s="76"/>
      <c r="M142" s="93" t="s">
        <v>301</v>
      </c>
    </row>
    <row r="143" spans="2:13" s="200" customFormat="1" ht="12" hidden="1" customHeight="1">
      <c r="B143" s="120">
        <v>2019</v>
      </c>
      <c r="C143" s="605" t="s">
        <v>302</v>
      </c>
      <c r="D143" s="160">
        <v>11.674849094567405</v>
      </c>
      <c r="E143" s="157"/>
      <c r="F143" s="157">
        <v>19.238805970149254</v>
      </c>
      <c r="G143" s="157"/>
      <c r="H143" s="282">
        <v>15.456827532358329</v>
      </c>
      <c r="I143" s="261"/>
      <c r="J143" s="256"/>
      <c r="K143" s="76">
        <v>2019</v>
      </c>
      <c r="L143" s="76"/>
      <c r="M143" s="93" t="s">
        <v>303</v>
      </c>
    </row>
    <row r="144" spans="2:13" s="200" customFormat="1" ht="12" hidden="1" customHeight="1">
      <c r="B144" s="120">
        <v>2019</v>
      </c>
      <c r="C144" s="605" t="s">
        <v>310</v>
      </c>
      <c r="D144" s="160">
        <v>10.41850787674626</v>
      </c>
      <c r="E144" s="157"/>
      <c r="F144" s="157">
        <v>12.825925925925926</v>
      </c>
      <c r="G144" s="157"/>
      <c r="H144" s="282">
        <v>11.622216901336092</v>
      </c>
      <c r="I144" s="261"/>
      <c r="J144" s="256"/>
      <c r="K144" s="76">
        <v>2019</v>
      </c>
      <c r="L144" s="76"/>
      <c r="M144" s="93" t="s">
        <v>311</v>
      </c>
    </row>
    <row r="145" spans="2:13" s="200" customFormat="1" ht="12" hidden="1" customHeight="1">
      <c r="B145" s="120">
        <v>2019</v>
      </c>
      <c r="C145" s="605" t="s">
        <v>314</v>
      </c>
      <c r="D145" s="160">
        <v>9.1647017727709379</v>
      </c>
      <c r="E145" s="157"/>
      <c r="F145" s="157">
        <v>11.909756097560976</v>
      </c>
      <c r="G145" s="157"/>
      <c r="H145" s="282">
        <f>AVERAGE(D145:F145)</f>
        <v>10.537228935165956</v>
      </c>
      <c r="I145" s="261"/>
      <c r="J145" s="256"/>
      <c r="K145" s="76">
        <v>2019</v>
      </c>
      <c r="L145" s="76"/>
      <c r="M145" s="93" t="s">
        <v>315</v>
      </c>
    </row>
    <row r="146" spans="2:13" s="200" customFormat="1" ht="12" hidden="1" customHeight="1">
      <c r="B146" s="120">
        <v>2019</v>
      </c>
      <c r="C146" s="605" t="s">
        <v>317</v>
      </c>
      <c r="D146" s="160">
        <v>11.097550603844191</v>
      </c>
      <c r="E146" s="157"/>
      <c r="F146" s="157">
        <v>11.20353982300885</v>
      </c>
      <c r="G146" s="157"/>
      <c r="H146" s="282">
        <v>11.15054521342652</v>
      </c>
      <c r="I146" s="261"/>
      <c r="J146" s="256"/>
      <c r="K146" s="76"/>
      <c r="L146" s="76"/>
      <c r="M146" s="93" t="s">
        <v>318</v>
      </c>
    </row>
    <row r="147" spans="2:13" s="200" customFormat="1" ht="12" hidden="1" customHeight="1">
      <c r="B147" s="120">
        <v>2019</v>
      </c>
      <c r="C147" s="605" t="s">
        <v>326</v>
      </c>
      <c r="D147" s="160">
        <v>10.428455357948904</v>
      </c>
      <c r="E147" s="157"/>
      <c r="F147" s="157">
        <v>10.17578125</v>
      </c>
      <c r="G147" s="157"/>
      <c r="H147" s="282">
        <f>AVERAGE(D147:F147)</f>
        <v>10.302118303974453</v>
      </c>
      <c r="I147" s="261"/>
      <c r="J147" s="256"/>
      <c r="K147" s="76"/>
      <c r="L147" s="76"/>
      <c r="M147" s="93" t="s">
        <v>326</v>
      </c>
    </row>
    <row r="148" spans="2:13" s="200" customFormat="1" ht="12" hidden="1" customHeight="1">
      <c r="B148" s="120">
        <v>2019</v>
      </c>
      <c r="C148" s="605" t="s">
        <v>330</v>
      </c>
      <c r="D148" s="160">
        <v>9.8238987442694832</v>
      </c>
      <c r="E148" s="157"/>
      <c r="F148" s="157">
        <v>8.9120234604105573</v>
      </c>
      <c r="G148" s="157"/>
      <c r="H148" s="282">
        <f>AVERAGE(D148:F148)</f>
        <v>9.3679611023400202</v>
      </c>
      <c r="I148" s="261"/>
      <c r="J148" s="256"/>
      <c r="K148" s="76">
        <v>2019</v>
      </c>
      <c r="L148" s="76"/>
      <c r="M148" s="93" t="s">
        <v>330</v>
      </c>
    </row>
    <row r="149" spans="2:13" s="200" customFormat="1" ht="12" hidden="1" customHeight="1">
      <c r="B149" s="120">
        <v>2019</v>
      </c>
      <c r="C149" s="605" t="s">
        <v>331</v>
      </c>
      <c r="D149" s="160">
        <v>10.996463490742666</v>
      </c>
      <c r="E149" s="157"/>
      <c r="F149" s="157">
        <v>13.7</v>
      </c>
      <c r="G149" s="157"/>
      <c r="H149" s="282">
        <v>12.348231745371333</v>
      </c>
      <c r="I149" s="261"/>
      <c r="J149" s="256"/>
      <c r="K149" s="76">
        <v>2019</v>
      </c>
      <c r="L149" s="76"/>
      <c r="M149" s="93" t="s">
        <v>331</v>
      </c>
    </row>
    <row r="150" spans="2:13" s="200" customFormat="1" ht="12" hidden="1" customHeight="1">
      <c r="B150" s="120">
        <v>2019</v>
      </c>
      <c r="C150" s="605" t="s">
        <v>333</v>
      </c>
      <c r="D150" s="160">
        <v>11.508247769735735</v>
      </c>
      <c r="E150" s="157"/>
      <c r="F150" s="157">
        <v>16.762626262626263</v>
      </c>
      <c r="G150" s="157"/>
      <c r="H150" s="282">
        <v>14.135437016180999</v>
      </c>
      <c r="I150" s="261"/>
      <c r="J150" s="256"/>
      <c r="K150" s="76">
        <v>2019</v>
      </c>
      <c r="L150" s="76"/>
      <c r="M150" s="93" t="s">
        <v>333</v>
      </c>
    </row>
    <row r="151" spans="2:13" s="200" customFormat="1" ht="12" customHeight="1">
      <c r="B151" s="120">
        <v>2020</v>
      </c>
      <c r="C151" s="605" t="s">
        <v>295</v>
      </c>
      <c r="D151" s="160">
        <v>11.806933333333333</v>
      </c>
      <c r="E151" s="157"/>
      <c r="F151" s="157">
        <v>17.481865284974095</v>
      </c>
      <c r="G151" s="157"/>
      <c r="H151" s="282">
        <v>14.644399309153714</v>
      </c>
      <c r="I151" s="261"/>
      <c r="J151" s="256"/>
      <c r="K151" s="76">
        <v>2020</v>
      </c>
      <c r="L151" s="76"/>
      <c r="M151" s="93" t="s">
        <v>295</v>
      </c>
    </row>
    <row r="152" spans="2:13" s="200" customFormat="1" ht="12" customHeight="1">
      <c r="B152" s="120"/>
      <c r="C152" s="605" t="s">
        <v>296</v>
      </c>
      <c r="D152" s="160">
        <v>13.604260813428018</v>
      </c>
      <c r="E152" s="157"/>
      <c r="F152" s="157">
        <v>0</v>
      </c>
      <c r="G152" s="157"/>
      <c r="H152" s="282">
        <v>13.604260813428018</v>
      </c>
      <c r="I152" s="261"/>
      <c r="J152" s="256"/>
      <c r="K152" s="76"/>
      <c r="L152" s="76"/>
      <c r="M152" s="93" t="s">
        <v>298</v>
      </c>
    </row>
    <row r="153" spans="2:13" s="200" customFormat="1" ht="12" customHeight="1">
      <c r="B153" s="120"/>
      <c r="C153" s="605" t="s">
        <v>338</v>
      </c>
      <c r="D153" s="160">
        <v>8.7187211804488172</v>
      </c>
      <c r="E153" s="157"/>
      <c r="F153" s="157">
        <v>0</v>
      </c>
      <c r="G153" s="157"/>
      <c r="H153" s="282">
        <v>8.7187211804488172</v>
      </c>
      <c r="I153" s="261"/>
      <c r="J153" s="256"/>
      <c r="K153" s="76"/>
      <c r="L153" s="76"/>
      <c r="M153" s="93" t="s">
        <v>297</v>
      </c>
    </row>
    <row r="154" spans="2:13" s="200" customFormat="1" ht="12" customHeight="1">
      <c r="B154" s="120"/>
      <c r="C154" s="605" t="s">
        <v>300</v>
      </c>
      <c r="D154" s="160">
        <v>0</v>
      </c>
      <c r="E154" s="157"/>
      <c r="F154" s="157">
        <v>0</v>
      </c>
      <c r="G154" s="157"/>
      <c r="H154" s="282">
        <v>0</v>
      </c>
      <c r="I154" s="261"/>
      <c r="J154" s="256"/>
      <c r="K154" s="76"/>
      <c r="L154" s="76"/>
      <c r="M154" s="93" t="s">
        <v>301</v>
      </c>
    </row>
    <row r="155" spans="2:13" s="200" customFormat="1" ht="14.25" customHeight="1">
      <c r="B155" s="120"/>
      <c r="C155" s="605" t="s">
        <v>340</v>
      </c>
      <c r="D155" s="160">
        <v>0</v>
      </c>
      <c r="E155" s="157"/>
      <c r="F155" s="157">
        <v>0</v>
      </c>
      <c r="G155" s="157"/>
      <c r="H155" s="282">
        <v>0</v>
      </c>
      <c r="I155" s="261"/>
      <c r="J155" s="256"/>
      <c r="K155" s="76"/>
      <c r="L155" s="105"/>
      <c r="M155" s="93" t="s">
        <v>303</v>
      </c>
    </row>
    <row r="156" spans="2:13" s="200" customFormat="1" ht="14.25" customHeight="1">
      <c r="B156" s="120"/>
      <c r="C156" s="605" t="s">
        <v>310</v>
      </c>
      <c r="D156" s="160">
        <v>0</v>
      </c>
      <c r="E156" s="157"/>
      <c r="F156" s="157">
        <v>0</v>
      </c>
      <c r="G156" s="157"/>
      <c r="H156" s="282">
        <v>0</v>
      </c>
      <c r="I156" s="261"/>
      <c r="J156" s="256"/>
      <c r="K156" s="76"/>
      <c r="L156" s="105"/>
      <c r="M156" s="93" t="s">
        <v>311</v>
      </c>
    </row>
    <row r="157" spans="2:13" s="200" customFormat="1" ht="14.25" customHeight="1">
      <c r="B157" s="120"/>
      <c r="C157" s="605" t="s">
        <v>314</v>
      </c>
      <c r="D157" s="160">
        <v>0</v>
      </c>
      <c r="E157" s="157"/>
      <c r="F157" s="157">
        <v>0</v>
      </c>
      <c r="G157" s="157"/>
      <c r="H157" s="282">
        <v>0</v>
      </c>
      <c r="I157" s="261"/>
      <c r="J157" s="256"/>
      <c r="K157" s="76"/>
      <c r="L157" s="76"/>
      <c r="M157" s="93" t="s">
        <v>315</v>
      </c>
    </row>
    <row r="158" spans="2:13" s="200" customFormat="1" ht="14.25" customHeight="1">
      <c r="B158" s="120"/>
      <c r="C158" s="605" t="s">
        <v>317</v>
      </c>
      <c r="D158" s="160">
        <v>0</v>
      </c>
      <c r="E158" s="157"/>
      <c r="F158" s="157">
        <v>0</v>
      </c>
      <c r="G158" s="157"/>
      <c r="H158" s="282">
        <v>0</v>
      </c>
      <c r="I158" s="261"/>
      <c r="J158" s="256"/>
      <c r="K158" s="76"/>
      <c r="L158" s="76"/>
      <c r="M158" s="93" t="s">
        <v>318</v>
      </c>
    </row>
    <row r="159" spans="2:13" s="200" customFormat="1" ht="14.25" customHeight="1">
      <c r="B159" s="120"/>
      <c r="C159" s="605" t="s">
        <v>326</v>
      </c>
      <c r="D159" s="160">
        <v>0</v>
      </c>
      <c r="E159" s="157"/>
      <c r="F159" s="157">
        <v>0</v>
      </c>
      <c r="G159" s="157"/>
      <c r="H159" s="282">
        <v>0</v>
      </c>
      <c r="I159" s="261"/>
      <c r="J159" s="256"/>
      <c r="K159" s="76"/>
      <c r="L159" s="76"/>
      <c r="M159" s="93" t="s">
        <v>326</v>
      </c>
    </row>
    <row r="160" spans="2:13" s="200" customFormat="1" ht="14.25" customHeight="1">
      <c r="B160" s="120"/>
      <c r="C160" s="605" t="s">
        <v>330</v>
      </c>
      <c r="D160" s="160">
        <v>0</v>
      </c>
      <c r="E160" s="157"/>
      <c r="F160" s="157">
        <v>0</v>
      </c>
      <c r="G160" s="157"/>
      <c r="H160" s="282">
        <v>0</v>
      </c>
      <c r="I160" s="261"/>
      <c r="J160" s="256"/>
      <c r="K160" s="76"/>
      <c r="L160" s="105"/>
      <c r="M160" s="93" t="s">
        <v>330</v>
      </c>
    </row>
    <row r="161" spans="2:13" s="200" customFormat="1" ht="14.25" customHeight="1">
      <c r="B161" s="120"/>
      <c r="C161" s="605" t="s">
        <v>331</v>
      </c>
      <c r="D161" s="160">
        <v>0</v>
      </c>
      <c r="E161" s="157"/>
      <c r="F161" s="157">
        <v>0</v>
      </c>
      <c r="G161" s="157"/>
      <c r="H161" s="282">
        <v>0</v>
      </c>
      <c r="I161" s="261"/>
      <c r="J161" s="256"/>
      <c r="K161" s="76"/>
      <c r="L161" s="76"/>
      <c r="M161" s="93" t="s">
        <v>331</v>
      </c>
    </row>
    <row r="162" spans="2:13" s="200" customFormat="1" ht="14.25" customHeight="1">
      <c r="B162" s="120"/>
      <c r="C162" s="605" t="s">
        <v>333</v>
      </c>
      <c r="D162" s="160">
        <v>0</v>
      </c>
      <c r="E162" s="157"/>
      <c r="F162" s="157">
        <v>0</v>
      </c>
      <c r="G162" s="157"/>
      <c r="H162" s="282">
        <v>0</v>
      </c>
      <c r="I162" s="261"/>
      <c r="J162" s="256"/>
      <c r="K162" s="76"/>
      <c r="L162" s="105"/>
      <c r="M162" s="93" t="s">
        <v>333</v>
      </c>
    </row>
    <row r="163" spans="2:13" s="200" customFormat="1" ht="14.25" customHeight="1">
      <c r="B163" s="361">
        <v>2021</v>
      </c>
      <c r="C163" s="613" t="s">
        <v>295</v>
      </c>
      <c r="D163" s="161">
        <v>0</v>
      </c>
      <c r="E163" s="162"/>
      <c r="F163" s="162">
        <v>0</v>
      </c>
      <c r="G163" s="162"/>
      <c r="H163" s="176">
        <v>0</v>
      </c>
      <c r="I163" s="754"/>
      <c r="J163" s="135"/>
      <c r="K163" s="105">
        <v>2021</v>
      </c>
      <c r="L163" s="105"/>
      <c r="M163" s="99" t="s">
        <v>295</v>
      </c>
    </row>
    <row r="164" spans="2:13" ht="16.5" customHeight="1">
      <c r="B164" s="122" t="s">
        <v>313</v>
      </c>
      <c r="C164" s="123"/>
      <c r="D164" s="148"/>
      <c r="E164" s="148"/>
      <c r="F164" s="148"/>
      <c r="G164" s="148"/>
    </row>
    <row r="165" spans="2:13">
      <c r="B165" s="291"/>
      <c r="C165" s="1" t="s">
        <v>299</v>
      </c>
    </row>
    <row r="166" spans="2:13" ht="13.5">
      <c r="D166" s="572">
        <f>D163/D151-1</f>
        <v>-1</v>
      </c>
      <c r="E166" s="572"/>
      <c r="F166" s="572">
        <f>F163/F151-1</f>
        <v>-1</v>
      </c>
      <c r="G166" s="572"/>
      <c r="H166" s="572">
        <f>H163/H151-1</f>
        <v>-1</v>
      </c>
      <c r="I166" s="573"/>
      <c r="J166" s="574"/>
      <c r="K166" s="323" t="s">
        <v>231</v>
      </c>
    </row>
    <row r="167" spans="2:13" ht="13.5">
      <c r="D167" s="575" t="e">
        <f>D163/D162-1</f>
        <v>#DIV/0!</v>
      </c>
      <c r="E167" s="575"/>
      <c r="F167" s="575" t="e">
        <f>F163/F162-1</f>
        <v>#DIV/0!</v>
      </c>
      <c r="G167" s="575"/>
      <c r="H167" s="575" t="e">
        <f>H163/H162-1</f>
        <v>#DIV/0!</v>
      </c>
      <c r="I167" s="576"/>
      <c r="J167" s="577"/>
      <c r="K167" s="320" t="s">
        <v>230</v>
      </c>
    </row>
    <row r="168" spans="2:13" ht="13.5">
      <c r="D168" s="150"/>
      <c r="E168" s="150"/>
      <c r="F168" s="150"/>
      <c r="G168" s="150"/>
      <c r="H168" s="150">
        <f>H163-H151</f>
        <v>-14.644399309153714</v>
      </c>
      <c r="I168" s="374"/>
      <c r="J168" s="200"/>
      <c r="K168" s="578"/>
    </row>
    <row r="169" spans="2:13" ht="13.5">
      <c r="D169" s="150"/>
      <c r="E169" s="150"/>
      <c r="F169" s="150"/>
      <c r="G169" s="150"/>
      <c r="H169" s="579">
        <f>H162-H161</f>
        <v>0</v>
      </c>
      <c r="I169" s="374"/>
      <c r="J169" s="200"/>
      <c r="K169" s="578"/>
    </row>
    <row r="170" spans="2:13">
      <c r="D170" s="290"/>
      <c r="E170" s="290"/>
      <c r="F170" s="290"/>
      <c r="G170" s="290"/>
      <c r="H170" s="290"/>
    </row>
    <row r="176" spans="2:13">
      <c r="F176" s="149"/>
      <c r="G176" s="149"/>
      <c r="K176" s="55"/>
      <c r="L176" s="55"/>
    </row>
    <row r="178" spans="4:12">
      <c r="K178" s="55"/>
      <c r="L178" s="55"/>
    </row>
    <row r="180" spans="4:12" ht="13.5">
      <c r="D180" s="150"/>
      <c r="E180" s="150"/>
      <c r="K180" s="55"/>
      <c r="L180" s="55"/>
    </row>
    <row r="181" spans="4:12" ht="13.5">
      <c r="D181" s="150"/>
      <c r="E181" s="150"/>
      <c r="K181" s="55"/>
      <c r="L181" s="55"/>
    </row>
    <row r="182" spans="4:12" ht="13.5">
      <c r="D182" s="150"/>
      <c r="E182" s="150"/>
      <c r="K182" s="55"/>
      <c r="L182" s="55"/>
    </row>
    <row r="183" spans="4:12" ht="13.5">
      <c r="D183" s="150"/>
      <c r="E183" s="150"/>
      <c r="K183" s="55"/>
      <c r="L183" s="55"/>
    </row>
    <row r="184" spans="4:12" ht="13.5">
      <c r="D184" s="150"/>
      <c r="E184" s="150"/>
      <c r="K184" s="55"/>
      <c r="L184" s="55"/>
    </row>
    <row r="185" spans="4:12" ht="13.5">
      <c r="D185" s="150"/>
      <c r="E185" s="150"/>
      <c r="K185" s="55"/>
      <c r="L185" s="55"/>
    </row>
    <row r="186" spans="4:12" ht="13.5">
      <c r="D186" s="150"/>
      <c r="E186" s="150"/>
      <c r="K186" s="55"/>
      <c r="L186" s="55"/>
    </row>
    <row r="187" spans="4:12" ht="13.5">
      <c r="D187" s="150"/>
      <c r="E187" s="150"/>
      <c r="K187" s="55"/>
      <c r="L187" s="55"/>
    </row>
    <row r="188" spans="4:12" ht="13.5">
      <c r="D188" s="150"/>
      <c r="E188" s="150"/>
      <c r="K188" s="55"/>
      <c r="L188" s="55"/>
    </row>
    <row r="191" spans="4:12" ht="13.5">
      <c r="D191" s="150"/>
      <c r="E191" s="150"/>
      <c r="K191" s="55"/>
      <c r="L191" s="55"/>
    </row>
    <row r="192" spans="4:12" ht="13.5">
      <c r="D192" s="150"/>
      <c r="E192" s="150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3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40625" defaultRowHeight="12.75"/>
  <cols>
    <col min="1" max="1" width="6.140625" style="55" customWidth="1"/>
    <col min="2" max="2" width="6.7109375" style="55" customWidth="1"/>
    <col min="3" max="3" width="1.5703125" style="55" customWidth="1"/>
    <col min="4" max="4" width="8" style="55" customWidth="1"/>
    <col min="5" max="5" width="22.5703125" style="84" customWidth="1"/>
    <col min="6" max="6" width="4.42578125" style="84" bestFit="1" customWidth="1"/>
    <col min="7" max="7" width="20.140625" style="84" customWidth="1"/>
    <col min="8" max="8" width="2.7109375" style="84" bestFit="1" customWidth="1"/>
    <col min="9" max="9" width="20.140625" style="84" customWidth="1"/>
    <col min="10" max="10" width="2.7109375" style="84" bestFit="1" customWidth="1"/>
    <col min="11" max="11" width="15.85546875" style="55" hidden="1" customWidth="1"/>
    <col min="12" max="12" width="7.28515625" style="134" bestFit="1" customWidth="1"/>
    <col min="13" max="13" width="1" style="134" customWidth="1"/>
    <col min="14" max="14" width="7.85546875" style="55" customWidth="1"/>
    <col min="15" max="16" width="9.140625" style="55"/>
    <col min="17" max="17" width="13.5703125" style="55" customWidth="1"/>
    <col min="18" max="18" width="12.42578125" style="55" customWidth="1"/>
    <col min="19" max="19" width="20.42578125" style="55" customWidth="1"/>
    <col min="20" max="20" width="17.28515625" style="55" customWidth="1"/>
    <col min="21" max="21" width="14.42578125" style="55" customWidth="1"/>
    <col min="22" max="22" width="13.140625" style="55" customWidth="1"/>
    <col min="23" max="16384" width="9.140625" style="55"/>
  </cols>
  <sheetData>
    <row r="4" spans="2:14" ht="15.75">
      <c r="B4" s="116" t="s">
        <v>223</v>
      </c>
      <c r="C4" s="116"/>
      <c r="D4" s="116"/>
      <c r="E4" s="144"/>
      <c r="F4" s="144"/>
      <c r="G4" s="144"/>
      <c r="H4" s="144"/>
      <c r="I4" s="145"/>
      <c r="J4" s="145"/>
      <c r="K4" s="118"/>
    </row>
    <row r="5" spans="2:14" ht="15.75">
      <c r="B5" s="116" t="s">
        <v>182</v>
      </c>
      <c r="C5" s="116"/>
      <c r="D5" s="116"/>
      <c r="E5" s="144"/>
      <c r="F5" s="144"/>
      <c r="G5" s="144"/>
      <c r="H5" s="144"/>
      <c r="I5" s="145"/>
      <c r="J5" s="145"/>
      <c r="K5" s="118"/>
      <c r="L5" s="134" t="s">
        <v>141</v>
      </c>
    </row>
    <row r="6" spans="2:14" ht="6" customHeight="1">
      <c r="B6" s="119"/>
      <c r="C6" s="119"/>
      <c r="D6" s="119"/>
      <c r="E6" s="146"/>
      <c r="F6" s="147"/>
      <c r="G6" s="147"/>
      <c r="H6" s="147"/>
      <c r="I6" s="147"/>
      <c r="J6" s="147"/>
    </row>
    <row r="7" spans="2:14" s="96" customFormat="1" ht="17.25" customHeight="1">
      <c r="B7" s="1260" t="s">
        <v>75</v>
      </c>
      <c r="C7" s="621"/>
      <c r="D7" s="1279" t="s">
        <v>120</v>
      </c>
      <c r="E7" s="1283" t="s">
        <v>189</v>
      </c>
      <c r="F7" s="1264"/>
      <c r="G7" s="1264"/>
      <c r="H7" s="1264"/>
      <c r="I7" s="1264"/>
      <c r="J7" s="620"/>
      <c r="K7" s="1279" t="s">
        <v>179</v>
      </c>
      <c r="L7" s="1265" t="s">
        <v>76</v>
      </c>
      <c r="M7" s="749"/>
      <c r="N7" s="1256" t="s">
        <v>121</v>
      </c>
    </row>
    <row r="8" spans="2:14" s="96" customFormat="1" ht="15.75" customHeight="1">
      <c r="B8" s="1261"/>
      <c r="C8" s="258"/>
      <c r="D8" s="1280"/>
      <c r="E8" s="619" t="s">
        <v>155</v>
      </c>
      <c r="F8" s="219"/>
      <c r="G8" s="219" t="s">
        <v>156</v>
      </c>
      <c r="H8" s="219"/>
      <c r="I8" s="219" t="s">
        <v>170</v>
      </c>
      <c r="J8" s="623"/>
      <c r="K8" s="1285"/>
      <c r="L8" s="1284"/>
      <c r="M8" s="750"/>
      <c r="N8" s="1257"/>
    </row>
    <row r="9" spans="2:14" s="96" customFormat="1" hidden="1">
      <c r="B9" s="120">
        <v>2009</v>
      </c>
      <c r="C9" s="121"/>
      <c r="D9" s="12" t="s">
        <v>33</v>
      </c>
      <c r="E9" s="160">
        <v>0</v>
      </c>
      <c r="F9" s="157"/>
      <c r="G9" s="158">
        <v>0</v>
      </c>
      <c r="H9" s="158"/>
      <c r="I9" s="158">
        <f t="shared" ref="I9:I14" si="0">(E9+G9)/2</f>
        <v>0</v>
      </c>
      <c r="J9" s="274"/>
      <c r="K9" s="254"/>
      <c r="L9" s="68">
        <v>2009</v>
      </c>
      <c r="M9" s="76"/>
      <c r="N9" s="93" t="s">
        <v>33</v>
      </c>
    </row>
    <row r="10" spans="2:14" s="96" customFormat="1" hidden="1">
      <c r="B10" s="120"/>
      <c r="C10" s="121"/>
      <c r="D10" s="12" t="s">
        <v>34</v>
      </c>
      <c r="E10" s="160">
        <v>0</v>
      </c>
      <c r="F10" s="157"/>
      <c r="G10" s="158">
        <v>0</v>
      </c>
      <c r="H10" s="158"/>
      <c r="I10" s="158">
        <f t="shared" si="0"/>
        <v>0</v>
      </c>
      <c r="J10" s="274"/>
      <c r="K10" s="254"/>
      <c r="L10" s="68"/>
      <c r="M10" s="76"/>
      <c r="N10" s="93" t="s">
        <v>77</v>
      </c>
    </row>
    <row r="11" spans="2:14" s="96" customFormat="1" hidden="1">
      <c r="B11" s="120"/>
      <c r="C11" s="121"/>
      <c r="D11" s="12" t="s">
        <v>29</v>
      </c>
      <c r="E11" s="160">
        <v>0</v>
      </c>
      <c r="F11" s="157"/>
      <c r="G11" s="158">
        <v>0</v>
      </c>
      <c r="H11" s="158"/>
      <c r="I11" s="158">
        <f t="shared" si="0"/>
        <v>0</v>
      </c>
      <c r="J11" s="274"/>
      <c r="K11" s="254"/>
      <c r="L11" s="68"/>
      <c r="M11" s="76"/>
      <c r="N11" s="93" t="s">
        <v>29</v>
      </c>
    </row>
    <row r="12" spans="2:14" s="96" customFormat="1" hidden="1">
      <c r="B12" s="120"/>
      <c r="C12" s="121"/>
      <c r="D12" s="12" t="s">
        <v>35</v>
      </c>
      <c r="E12" s="160">
        <v>0</v>
      </c>
      <c r="F12" s="157"/>
      <c r="G12" s="158">
        <v>0</v>
      </c>
      <c r="H12" s="158"/>
      <c r="I12" s="158">
        <f t="shared" si="0"/>
        <v>0</v>
      </c>
      <c r="J12" s="274"/>
      <c r="K12" s="254"/>
      <c r="L12" s="68"/>
      <c r="M12" s="76"/>
      <c r="N12" s="93" t="s">
        <v>78</v>
      </c>
    </row>
    <row r="13" spans="2:14" s="96" customFormat="1" hidden="1">
      <c r="B13" s="120"/>
      <c r="C13" s="121"/>
      <c r="D13" s="12" t="s">
        <v>4</v>
      </c>
      <c r="E13" s="160">
        <v>0</v>
      </c>
      <c r="F13" s="157"/>
      <c r="G13" s="158">
        <v>0</v>
      </c>
      <c r="H13" s="158"/>
      <c r="I13" s="158">
        <f t="shared" si="0"/>
        <v>0</v>
      </c>
      <c r="J13" s="274"/>
      <c r="K13" s="254"/>
      <c r="L13" s="68"/>
      <c r="M13" s="76"/>
      <c r="N13" s="93" t="s">
        <v>79</v>
      </c>
    </row>
    <row r="14" spans="2:14" s="96" customFormat="1" hidden="1">
      <c r="B14" s="120"/>
      <c r="C14" s="121"/>
      <c r="D14" s="12" t="s">
        <v>30</v>
      </c>
      <c r="E14" s="160">
        <v>37.4</v>
      </c>
      <c r="F14" s="157"/>
      <c r="G14" s="157">
        <v>38.89</v>
      </c>
      <c r="H14" s="157"/>
      <c r="I14" s="158">
        <f t="shared" si="0"/>
        <v>38.144999999999996</v>
      </c>
      <c r="J14" s="274"/>
      <c r="K14" s="622" t="str">
        <f>REPT("|",I14)</f>
        <v>||||||||||||||||||||||||||||||||||||||</v>
      </c>
      <c r="L14" s="68">
        <v>2009</v>
      </c>
      <c r="M14" s="76"/>
      <c r="N14" s="93" t="s">
        <v>80</v>
      </c>
    </row>
    <row r="15" spans="2:14" s="96" customFormat="1" hidden="1">
      <c r="B15" s="120"/>
      <c r="C15" s="121"/>
      <c r="D15" s="12" t="s">
        <v>36</v>
      </c>
      <c r="E15" s="160">
        <v>35</v>
      </c>
      <c r="F15" s="157"/>
      <c r="G15" s="157">
        <v>38.89</v>
      </c>
      <c r="H15" s="157"/>
      <c r="I15" s="158">
        <f t="shared" ref="I15:I55" si="1">(E15+G15)/2</f>
        <v>36.945</v>
      </c>
      <c r="J15" s="274"/>
      <c r="K15" s="622" t="str">
        <f t="shared" ref="K15:K53" si="2">REPT("|",I15)</f>
        <v>||||||||||||||||||||||||||||||||||||</v>
      </c>
      <c r="L15" s="68"/>
      <c r="M15" s="76"/>
      <c r="N15" s="93" t="s">
        <v>81</v>
      </c>
    </row>
    <row r="16" spans="2:14" s="96" customFormat="1" hidden="1">
      <c r="B16" s="120"/>
      <c r="C16" s="121"/>
      <c r="D16" s="12" t="s">
        <v>37</v>
      </c>
      <c r="E16" s="160">
        <v>39.299999999999997</v>
      </c>
      <c r="F16" s="157"/>
      <c r="G16" s="157">
        <v>42.87</v>
      </c>
      <c r="H16" s="157"/>
      <c r="I16" s="158">
        <f t="shared" si="1"/>
        <v>41.084999999999994</v>
      </c>
      <c r="J16" s="274"/>
      <c r="K16" s="622" t="str">
        <f t="shared" si="2"/>
        <v>|||||||||||||||||||||||||||||||||||||||||</v>
      </c>
      <c r="L16" s="68"/>
      <c r="M16" s="76"/>
      <c r="N16" s="93" t="s">
        <v>82</v>
      </c>
    </row>
    <row r="17" spans="2:14" s="96" customFormat="1" hidden="1">
      <c r="B17" s="120"/>
      <c r="C17" s="121"/>
      <c r="D17" s="12" t="s">
        <v>31</v>
      </c>
      <c r="E17" s="160">
        <v>37.342087425189412</v>
      </c>
      <c r="F17" s="157"/>
      <c r="G17" s="157" t="e">
        <v>#REF!</v>
      </c>
      <c r="H17" s="157"/>
      <c r="I17" s="158" t="e">
        <f t="shared" si="1"/>
        <v>#REF!</v>
      </c>
      <c r="J17" s="274"/>
      <c r="K17" s="622" t="e">
        <f t="shared" si="2"/>
        <v>#REF!</v>
      </c>
      <c r="L17" s="68">
        <v>2009</v>
      </c>
      <c r="M17" s="76"/>
      <c r="N17" s="93" t="s">
        <v>31</v>
      </c>
    </row>
    <row r="18" spans="2:14" s="96" customFormat="1" hidden="1">
      <c r="B18" s="120"/>
      <c r="C18" s="121"/>
      <c r="D18" s="12" t="s">
        <v>38</v>
      </c>
      <c r="E18" s="160">
        <v>38.9</v>
      </c>
      <c r="F18" s="157"/>
      <c r="G18" s="157">
        <v>40.200000000000003</v>
      </c>
      <c r="H18" s="157"/>
      <c r="I18" s="158">
        <f t="shared" si="1"/>
        <v>39.549999999999997</v>
      </c>
      <c r="J18" s="274"/>
      <c r="K18" s="622" t="str">
        <f t="shared" si="2"/>
        <v>|||||||||||||||||||||||||||||||||||||||</v>
      </c>
      <c r="L18" s="68">
        <v>2009</v>
      </c>
      <c r="M18" s="76"/>
      <c r="N18" s="93" t="s">
        <v>49</v>
      </c>
    </row>
    <row r="19" spans="2:14" s="96" customFormat="1" hidden="1">
      <c r="B19" s="120"/>
      <c r="C19" s="121"/>
      <c r="D19" s="12" t="s">
        <v>39</v>
      </c>
      <c r="E19" s="160">
        <v>37.1</v>
      </c>
      <c r="F19" s="157"/>
      <c r="G19" s="157">
        <v>41.8</v>
      </c>
      <c r="H19" s="157"/>
      <c r="I19" s="158">
        <f t="shared" si="1"/>
        <v>39.450000000000003</v>
      </c>
      <c r="J19" s="274"/>
      <c r="K19" s="263" t="str">
        <f>REPT("|",I19)</f>
        <v>|||||||||||||||||||||||||||||||||||||||</v>
      </c>
      <c r="L19" s="68">
        <v>2009</v>
      </c>
      <c r="M19" s="76"/>
      <c r="N19" s="93" t="s">
        <v>39</v>
      </c>
    </row>
    <row r="20" spans="2:14" s="96" customFormat="1" hidden="1">
      <c r="B20" s="120"/>
      <c r="C20" s="121"/>
      <c r="D20" s="12" t="s">
        <v>32</v>
      </c>
      <c r="E20" s="160">
        <v>33.681733476071578</v>
      </c>
      <c r="F20" s="157"/>
      <c r="G20" s="157">
        <v>33.950000000000003</v>
      </c>
      <c r="H20" s="157"/>
      <c r="I20" s="158">
        <f t="shared" si="1"/>
        <v>33.815866738035794</v>
      </c>
      <c r="J20" s="274"/>
      <c r="K20" s="263" t="str">
        <f t="shared" si="2"/>
        <v>|||||||||||||||||||||||||||||||||</v>
      </c>
      <c r="L20" s="68">
        <v>2009</v>
      </c>
      <c r="M20" s="76"/>
      <c r="N20" s="93" t="s">
        <v>32</v>
      </c>
    </row>
    <row r="21" spans="2:14" s="96" customFormat="1" hidden="1">
      <c r="B21" s="120">
        <v>2010</v>
      </c>
      <c r="C21" s="121"/>
      <c r="D21" s="12" t="s">
        <v>33</v>
      </c>
      <c r="E21" s="160">
        <v>34</v>
      </c>
      <c r="F21" s="157"/>
      <c r="G21" s="157">
        <v>37.1</v>
      </c>
      <c r="H21" s="157"/>
      <c r="I21" s="158">
        <f t="shared" si="1"/>
        <v>35.549999999999997</v>
      </c>
      <c r="J21" s="274"/>
      <c r="K21" s="263" t="str">
        <f t="shared" si="2"/>
        <v>|||||||||||||||||||||||||||||||||||</v>
      </c>
      <c r="L21" s="68">
        <v>2010</v>
      </c>
      <c r="M21" s="76"/>
      <c r="N21" s="93" t="s">
        <v>33</v>
      </c>
    </row>
    <row r="22" spans="2:14" s="96" customFormat="1" hidden="1">
      <c r="B22" s="120"/>
      <c r="C22" s="121"/>
      <c r="D22" s="12" t="s">
        <v>34</v>
      </c>
      <c r="E22" s="160">
        <v>38.044755579488978</v>
      </c>
      <c r="F22" s="157"/>
      <c r="G22" s="157">
        <v>42.875242248062015</v>
      </c>
      <c r="H22" s="157"/>
      <c r="I22" s="158">
        <f t="shared" si="1"/>
        <v>40.459998913775493</v>
      </c>
      <c r="J22" s="274"/>
      <c r="K22" s="263" t="str">
        <f t="shared" si="2"/>
        <v>||||||||||||||||||||||||||||||||||||||||</v>
      </c>
      <c r="L22" s="68">
        <v>2010</v>
      </c>
      <c r="M22" s="76"/>
      <c r="N22" s="93" t="s">
        <v>77</v>
      </c>
    </row>
    <row r="23" spans="2:14" s="96" customFormat="1" hidden="1">
      <c r="B23" s="120"/>
      <c r="C23" s="121"/>
      <c r="D23" s="12" t="s">
        <v>29</v>
      </c>
      <c r="E23" s="160">
        <v>40.04149228</v>
      </c>
      <c r="F23" s="157"/>
      <c r="G23" s="157">
        <v>27.25</v>
      </c>
      <c r="H23" s="157"/>
      <c r="I23" s="158">
        <f t="shared" si="1"/>
        <v>33.64574614</v>
      </c>
      <c r="J23" s="274"/>
      <c r="K23" s="263" t="str">
        <f t="shared" si="2"/>
        <v>|||||||||||||||||||||||||||||||||</v>
      </c>
      <c r="L23" s="68">
        <v>2010</v>
      </c>
      <c r="M23" s="76"/>
      <c r="N23" s="93" t="s">
        <v>29</v>
      </c>
    </row>
    <row r="24" spans="2:14" s="96" customFormat="1" hidden="1">
      <c r="B24" s="120"/>
      <c r="C24" s="121"/>
      <c r="D24" s="12" t="s">
        <v>35</v>
      </c>
      <c r="E24" s="160">
        <v>38.551782682512766</v>
      </c>
      <c r="F24" s="157"/>
      <c r="G24" s="157">
        <v>42.313095238000002</v>
      </c>
      <c r="H24" s="157"/>
      <c r="I24" s="158">
        <f t="shared" si="1"/>
        <v>40.432438960256384</v>
      </c>
      <c r="J24" s="274"/>
      <c r="K24" s="263" t="str">
        <f t="shared" si="2"/>
        <v>||||||||||||||||||||||||||||||||||||||||</v>
      </c>
      <c r="L24" s="68">
        <v>2010</v>
      </c>
      <c r="M24" s="76"/>
      <c r="N24" s="93" t="s">
        <v>78</v>
      </c>
    </row>
    <row r="25" spans="2:14" s="96" customFormat="1" hidden="1">
      <c r="B25" s="120"/>
      <c r="C25" s="121"/>
      <c r="D25" s="12" t="s">
        <v>4</v>
      </c>
      <c r="E25" s="160">
        <v>40.804200642451264</v>
      </c>
      <c r="F25" s="157"/>
      <c r="G25" s="157">
        <v>46.6</v>
      </c>
      <c r="H25" s="157"/>
      <c r="I25" s="158">
        <f t="shared" si="1"/>
        <v>43.702100321225629</v>
      </c>
      <c r="J25" s="274"/>
      <c r="K25" s="263" t="str">
        <f t="shared" si="2"/>
        <v>|||||||||||||||||||||||||||||||||||||||||||</v>
      </c>
      <c r="L25" s="68">
        <v>2010</v>
      </c>
      <c r="M25" s="76"/>
      <c r="N25" s="93" t="s">
        <v>79</v>
      </c>
    </row>
    <row r="26" spans="2:14" s="96" customFormat="1" hidden="1">
      <c r="B26" s="120"/>
      <c r="C26" s="121"/>
      <c r="D26" s="12" t="s">
        <v>30</v>
      </c>
      <c r="E26" s="160">
        <v>37.783802392632737</v>
      </c>
      <c r="F26" s="157"/>
      <c r="G26" s="157">
        <v>33.526314999999997</v>
      </c>
      <c r="H26" s="157"/>
      <c r="I26" s="158">
        <f t="shared" si="1"/>
        <v>35.655058696316367</v>
      </c>
      <c r="J26" s="274"/>
      <c r="K26" s="263" t="str">
        <f t="shared" si="2"/>
        <v>|||||||||||||||||||||||||||||||||||</v>
      </c>
      <c r="L26" s="68">
        <v>2010</v>
      </c>
      <c r="M26" s="76"/>
      <c r="N26" s="93" t="s">
        <v>80</v>
      </c>
    </row>
    <row r="27" spans="2:14" s="96" customFormat="1" hidden="1">
      <c r="B27" s="120"/>
      <c r="C27" s="121"/>
      <c r="D27" s="12" t="s">
        <v>36</v>
      </c>
      <c r="E27" s="160">
        <v>40.197052643220765</v>
      </c>
      <c r="F27" s="157"/>
      <c r="G27" s="157">
        <v>40.442720000000001</v>
      </c>
      <c r="H27" s="157"/>
      <c r="I27" s="158">
        <f t="shared" si="1"/>
        <v>40.319886321610383</v>
      </c>
      <c r="J27" s="274"/>
      <c r="K27" s="263" t="str">
        <f t="shared" si="2"/>
        <v>||||||||||||||||||||||||||||||||||||||||</v>
      </c>
      <c r="L27" s="68">
        <v>2010</v>
      </c>
      <c r="M27" s="76"/>
      <c r="N27" s="93" t="s">
        <v>81</v>
      </c>
    </row>
    <row r="28" spans="2:14" s="96" customFormat="1" hidden="1">
      <c r="B28" s="120"/>
      <c r="C28" s="121"/>
      <c r="D28" s="12" t="s">
        <v>37</v>
      </c>
      <c r="E28" s="160">
        <v>41.239537504023986</v>
      </c>
      <c r="F28" s="157"/>
      <c r="G28" s="157">
        <v>45.957663451000002</v>
      </c>
      <c r="H28" s="157"/>
      <c r="I28" s="158">
        <f t="shared" si="1"/>
        <v>43.598600477511994</v>
      </c>
      <c r="J28" s="274"/>
      <c r="K28" s="263" t="str">
        <f t="shared" si="2"/>
        <v>|||||||||||||||||||||||||||||||||||||||||||</v>
      </c>
      <c r="L28" s="68">
        <v>2010</v>
      </c>
      <c r="M28" s="76"/>
      <c r="N28" s="93" t="s">
        <v>82</v>
      </c>
    </row>
    <row r="29" spans="2:14" s="96" customFormat="1" hidden="1">
      <c r="B29" s="120"/>
      <c r="C29" s="121"/>
      <c r="D29" s="12" t="s">
        <v>31</v>
      </c>
      <c r="E29" s="160">
        <v>36.815697091273883</v>
      </c>
      <c r="F29" s="157"/>
      <c r="G29" s="157">
        <v>37.703287197000002</v>
      </c>
      <c r="H29" s="157"/>
      <c r="I29" s="158">
        <f t="shared" si="1"/>
        <v>37.259492144136942</v>
      </c>
      <c r="J29" s="274"/>
      <c r="K29" s="263" t="str">
        <f t="shared" si="2"/>
        <v>|||||||||||||||||||||||||||||||||||||</v>
      </c>
      <c r="L29" s="68">
        <v>2010</v>
      </c>
      <c r="M29" s="76"/>
      <c r="N29" s="93" t="s">
        <v>31</v>
      </c>
    </row>
    <row r="30" spans="2:14" s="96" customFormat="1" hidden="1">
      <c r="B30" s="120"/>
      <c r="C30" s="121"/>
      <c r="D30" s="12" t="s">
        <v>38</v>
      </c>
      <c r="E30" s="160">
        <v>38.921039999999998</v>
      </c>
      <c r="F30" s="157"/>
      <c r="G30" s="157">
        <v>40.200000000000003</v>
      </c>
      <c r="H30" s="157"/>
      <c r="I30" s="158">
        <f t="shared" si="1"/>
        <v>39.560519999999997</v>
      </c>
      <c r="J30" s="274"/>
      <c r="K30" s="263" t="str">
        <f t="shared" si="2"/>
        <v>|||||||||||||||||||||||||||||||||||||||</v>
      </c>
      <c r="L30" s="68">
        <v>2010</v>
      </c>
      <c r="M30" s="76"/>
      <c r="N30" s="93" t="s">
        <v>49</v>
      </c>
    </row>
    <row r="31" spans="2:14" s="96" customFormat="1" hidden="1">
      <c r="B31" s="120"/>
      <c r="C31" s="121"/>
      <c r="D31" s="12" t="s">
        <v>39</v>
      </c>
      <c r="E31" s="160">
        <v>38.606435643564367</v>
      </c>
      <c r="F31" s="157"/>
      <c r="G31" s="157">
        <v>41.8</v>
      </c>
      <c r="H31" s="157"/>
      <c r="I31" s="158">
        <f t="shared" si="1"/>
        <v>40.203217821782182</v>
      </c>
      <c r="J31" s="274"/>
      <c r="K31" s="263" t="str">
        <f t="shared" si="2"/>
        <v>||||||||||||||||||||||||||||||||||||||||</v>
      </c>
      <c r="L31" s="68">
        <v>2010</v>
      </c>
      <c r="M31" s="76"/>
      <c r="N31" s="93" t="s">
        <v>39</v>
      </c>
    </row>
    <row r="32" spans="2:14" s="96" customFormat="1" hidden="1">
      <c r="B32" s="120"/>
      <c r="C32" s="121"/>
      <c r="D32" s="12" t="s">
        <v>32</v>
      </c>
      <c r="E32" s="160">
        <v>37.120500782000001</v>
      </c>
      <c r="F32" s="157"/>
      <c r="G32" s="157">
        <v>33.27775713173348</v>
      </c>
      <c r="H32" s="157"/>
      <c r="I32" s="158">
        <f t="shared" si="1"/>
        <v>35.199128956866744</v>
      </c>
      <c r="J32" s="274"/>
      <c r="K32" s="263" t="str">
        <f t="shared" si="2"/>
        <v>|||||||||||||||||||||||||||||||||||</v>
      </c>
      <c r="L32" s="68">
        <v>2010</v>
      </c>
      <c r="M32" s="76"/>
      <c r="N32" s="93" t="s">
        <v>32</v>
      </c>
    </row>
    <row r="33" spans="2:14" s="96" customFormat="1" hidden="1">
      <c r="B33" s="120">
        <v>2011</v>
      </c>
      <c r="C33" s="121"/>
      <c r="D33" s="12" t="s">
        <v>33</v>
      </c>
      <c r="E33" s="160">
        <v>32.925784239999999</v>
      </c>
      <c r="F33" s="157"/>
      <c r="G33" s="157">
        <v>38.414828430999997</v>
      </c>
      <c r="H33" s="157"/>
      <c r="I33" s="158">
        <f t="shared" si="1"/>
        <v>35.670306335500001</v>
      </c>
      <c r="J33" s="274"/>
      <c r="K33" s="263" t="str">
        <f t="shared" si="2"/>
        <v>|||||||||||||||||||||||||||||||||||</v>
      </c>
      <c r="L33" s="68">
        <v>2011</v>
      </c>
      <c r="M33" s="76"/>
      <c r="N33" s="93" t="s">
        <v>33</v>
      </c>
    </row>
    <row r="34" spans="2:14" s="96" customFormat="1" hidden="1">
      <c r="B34" s="120"/>
      <c r="C34" s="121"/>
      <c r="D34" s="12" t="s">
        <v>34</v>
      </c>
      <c r="E34" s="160">
        <v>35.361950649729771</v>
      </c>
      <c r="F34" s="157"/>
      <c r="G34" s="157">
        <v>43.471264367816097</v>
      </c>
      <c r="H34" s="157"/>
      <c r="I34" s="158">
        <f t="shared" si="1"/>
        <v>39.416607508772934</v>
      </c>
      <c r="J34" s="274"/>
      <c r="K34" s="263" t="str">
        <f t="shared" si="2"/>
        <v>|||||||||||||||||||||||||||||||||||||||</v>
      </c>
      <c r="L34" s="68">
        <v>2011</v>
      </c>
      <c r="M34" s="76"/>
      <c r="N34" s="93" t="s">
        <v>77</v>
      </c>
    </row>
    <row r="35" spans="2:14" s="96" customFormat="1" hidden="1">
      <c r="B35" s="120"/>
      <c r="C35" s="121"/>
      <c r="D35" s="12" t="s">
        <v>29</v>
      </c>
      <c r="E35" s="160">
        <v>41.044335907920683</v>
      </c>
      <c r="F35" s="157"/>
      <c r="G35" s="157">
        <v>45.301971330000001</v>
      </c>
      <c r="H35" s="157"/>
      <c r="I35" s="158">
        <f t="shared" si="1"/>
        <v>43.173153618960342</v>
      </c>
      <c r="J35" s="274"/>
      <c r="K35" s="263" t="str">
        <f t="shared" si="2"/>
        <v>|||||||||||||||||||||||||||||||||||||||||||</v>
      </c>
      <c r="L35" s="68">
        <v>2011</v>
      </c>
      <c r="M35" s="76"/>
      <c r="N35" s="93" t="s">
        <v>29</v>
      </c>
    </row>
    <row r="36" spans="2:14" s="96" customFormat="1" hidden="1">
      <c r="B36" s="120"/>
      <c r="C36" s="121"/>
      <c r="D36" s="12" t="s">
        <v>35</v>
      </c>
      <c r="E36" s="160">
        <v>37.029868535105358</v>
      </c>
      <c r="F36" s="157"/>
      <c r="G36" s="157">
        <v>21.873234462999999</v>
      </c>
      <c r="H36" s="157"/>
      <c r="I36" s="158">
        <f t="shared" si="1"/>
        <v>29.451551499052677</v>
      </c>
      <c r="J36" s="274"/>
      <c r="K36" s="263" t="str">
        <f t="shared" si="2"/>
        <v>|||||||||||||||||||||||||||||</v>
      </c>
      <c r="L36" s="68">
        <v>2011</v>
      </c>
      <c r="M36" s="76"/>
      <c r="N36" s="93" t="s">
        <v>78</v>
      </c>
    </row>
    <row r="37" spans="2:14" s="96" customFormat="1" hidden="1">
      <c r="B37" s="120"/>
      <c r="C37" s="121"/>
      <c r="D37" s="12" t="s">
        <v>4</v>
      </c>
      <c r="E37" s="160">
        <v>40.932354196681018</v>
      </c>
      <c r="F37" s="157"/>
      <c r="G37" s="157">
        <v>47.169627749577025</v>
      </c>
      <c r="H37" s="157"/>
      <c r="I37" s="158">
        <f t="shared" si="1"/>
        <v>44.050990973129018</v>
      </c>
      <c r="J37" s="274"/>
      <c r="K37" s="263" t="str">
        <f t="shared" si="2"/>
        <v>||||||||||||||||||||||||||||||||||||||||||||</v>
      </c>
      <c r="L37" s="68">
        <v>2011</v>
      </c>
      <c r="M37" s="76"/>
      <c r="N37" s="93" t="s">
        <v>79</v>
      </c>
    </row>
    <row r="38" spans="2:14" s="96" customFormat="1" hidden="1">
      <c r="B38" s="120"/>
      <c r="D38" s="12" t="s">
        <v>30</v>
      </c>
      <c r="E38" s="160">
        <v>39.819292058516268</v>
      </c>
      <c r="F38" s="157"/>
      <c r="G38" s="157">
        <v>39.38805031446541</v>
      </c>
      <c r="H38" s="157"/>
      <c r="I38" s="158">
        <f t="shared" si="1"/>
        <v>39.603671186490843</v>
      </c>
      <c r="J38" s="274"/>
      <c r="K38" s="263" t="str">
        <f t="shared" si="2"/>
        <v>|||||||||||||||||||||||||||||||||||||||</v>
      </c>
      <c r="L38" s="68">
        <v>2011</v>
      </c>
      <c r="M38" s="76"/>
      <c r="N38" s="93" t="s">
        <v>80</v>
      </c>
    </row>
    <row r="39" spans="2:14" s="96" customFormat="1" hidden="1">
      <c r="B39" s="120"/>
      <c r="D39" s="12" t="s">
        <v>36</v>
      </c>
      <c r="E39" s="160">
        <v>38.320328246472741</v>
      </c>
      <c r="F39" s="157"/>
      <c r="G39" s="157">
        <v>41.545967741935499</v>
      </c>
      <c r="H39" s="157"/>
      <c r="I39" s="158">
        <f t="shared" si="1"/>
        <v>39.93314799420412</v>
      </c>
      <c r="J39" s="274"/>
      <c r="K39" s="263" t="str">
        <f t="shared" si="2"/>
        <v>|||||||||||||||||||||||||||||||||||||||</v>
      </c>
      <c r="L39" s="68">
        <v>2011</v>
      </c>
      <c r="M39" s="76"/>
      <c r="N39" s="93" t="s">
        <v>81</v>
      </c>
    </row>
    <row r="40" spans="2:14" s="96" customFormat="1" hidden="1">
      <c r="B40" s="120"/>
      <c r="D40" s="12" t="s">
        <v>37</v>
      </c>
      <c r="E40" s="160">
        <v>41.350063028993262</v>
      </c>
      <c r="F40" s="157"/>
      <c r="G40" s="157">
        <v>36.702316076294302</v>
      </c>
      <c r="H40" s="157"/>
      <c r="I40" s="158">
        <f t="shared" si="1"/>
        <v>39.026189552643785</v>
      </c>
      <c r="J40" s="274"/>
      <c r="K40" s="263" t="str">
        <f t="shared" si="2"/>
        <v>|||||||||||||||||||||||||||||||||||||||</v>
      </c>
      <c r="L40" s="68">
        <v>2011</v>
      </c>
      <c r="M40" s="76"/>
      <c r="N40" s="93" t="s">
        <v>82</v>
      </c>
    </row>
    <row r="41" spans="2:14" s="96" customFormat="1" hidden="1">
      <c r="B41" s="68"/>
      <c r="D41" s="12" t="s">
        <v>31</v>
      </c>
      <c r="E41" s="160">
        <v>38.641747256329452</v>
      </c>
      <c r="F41" s="157"/>
      <c r="G41" s="157">
        <v>43.148445092322625</v>
      </c>
      <c r="H41" s="157"/>
      <c r="I41" s="158">
        <f t="shared" si="1"/>
        <v>40.895096174326042</v>
      </c>
      <c r="J41" s="274"/>
      <c r="K41" s="263" t="str">
        <f t="shared" si="2"/>
        <v>||||||||||||||||||||||||||||||||||||||||</v>
      </c>
      <c r="L41" s="68">
        <v>2011</v>
      </c>
      <c r="M41" s="76"/>
      <c r="N41" s="93" t="s">
        <v>31</v>
      </c>
    </row>
    <row r="42" spans="2:14" s="96" customFormat="1" hidden="1">
      <c r="B42" s="120"/>
      <c r="D42" s="12" t="s">
        <v>38</v>
      </c>
      <c r="E42" s="160">
        <v>39.162786290000753</v>
      </c>
      <c r="F42" s="157"/>
      <c r="G42" s="157">
        <v>40.704946996466418</v>
      </c>
      <c r="H42" s="157"/>
      <c r="I42" s="158">
        <f t="shared" si="1"/>
        <v>39.933866643233586</v>
      </c>
      <c r="J42" s="274"/>
      <c r="K42" s="263" t="str">
        <f t="shared" si="2"/>
        <v>|||||||||||||||||||||||||||||||||||||||</v>
      </c>
      <c r="L42" s="68">
        <v>2011</v>
      </c>
      <c r="M42" s="76"/>
      <c r="N42" s="93" t="s">
        <v>49</v>
      </c>
    </row>
    <row r="43" spans="2:14" s="96" customFormat="1" hidden="1">
      <c r="B43" s="120"/>
      <c r="D43" s="12" t="s">
        <v>39</v>
      </c>
      <c r="E43" s="160">
        <v>38.705675687927716</v>
      </c>
      <c r="F43" s="157"/>
      <c r="G43" s="157">
        <v>36.783499450000001</v>
      </c>
      <c r="H43" s="157"/>
      <c r="I43" s="158">
        <f t="shared" si="1"/>
        <v>37.744587568963858</v>
      </c>
      <c r="J43" s="274"/>
      <c r="K43" s="263" t="str">
        <f t="shared" si="2"/>
        <v>|||||||||||||||||||||||||||||||||||||</v>
      </c>
      <c r="L43" s="68">
        <v>2011</v>
      </c>
      <c r="M43" s="76"/>
      <c r="N43" s="93" t="s">
        <v>39</v>
      </c>
    </row>
    <row r="44" spans="2:14" s="96" customFormat="1" hidden="1">
      <c r="B44" s="120"/>
      <c r="D44" s="12" t="s">
        <v>32</v>
      </c>
      <c r="E44" s="160">
        <v>44.759191180000002</v>
      </c>
      <c r="F44" s="157"/>
      <c r="G44" s="157">
        <v>36.954372620000001</v>
      </c>
      <c r="H44" s="157"/>
      <c r="I44" s="158">
        <f t="shared" si="1"/>
        <v>40.856781900000001</v>
      </c>
      <c r="J44" s="274"/>
      <c r="K44" s="263" t="str">
        <f t="shared" si="2"/>
        <v>||||||||||||||||||||||||||||||||||||||||</v>
      </c>
      <c r="L44" s="68">
        <v>2011</v>
      </c>
      <c r="M44" s="76"/>
      <c r="N44" s="93" t="s">
        <v>32</v>
      </c>
    </row>
    <row r="45" spans="2:14" s="96" customFormat="1" hidden="1">
      <c r="B45" s="120">
        <v>2012</v>
      </c>
      <c r="C45" s="121"/>
      <c r="D45" s="12" t="s">
        <v>33</v>
      </c>
      <c r="E45" s="160">
        <v>33.99899543379005</v>
      </c>
      <c r="F45" s="157"/>
      <c r="G45" s="157">
        <v>36.500508130081307</v>
      </c>
      <c r="H45" s="157"/>
      <c r="I45" s="158">
        <f t="shared" si="1"/>
        <v>35.249751781935679</v>
      </c>
      <c r="J45" s="274"/>
      <c r="K45" s="263" t="str">
        <f t="shared" si="2"/>
        <v>|||||||||||||||||||||||||||||||||||</v>
      </c>
      <c r="L45" s="68">
        <v>2012</v>
      </c>
      <c r="M45" s="76"/>
      <c r="N45" s="93" t="s">
        <v>33</v>
      </c>
    </row>
    <row r="46" spans="2:14" s="96" customFormat="1" hidden="1">
      <c r="B46" s="120"/>
      <c r="C46" s="121"/>
      <c r="D46" s="12" t="s">
        <v>34</v>
      </c>
      <c r="E46" s="160">
        <v>38.742467149977415</v>
      </c>
      <c r="F46" s="157"/>
      <c r="G46" s="157">
        <v>45.933908045977006</v>
      </c>
      <c r="H46" s="157"/>
      <c r="I46" s="158">
        <f t="shared" si="1"/>
        <v>42.33818759797721</v>
      </c>
      <c r="J46" s="274"/>
      <c r="K46" s="263" t="str">
        <f t="shared" si="2"/>
        <v>||||||||||||||||||||||||||||||||||||||||||</v>
      </c>
      <c r="L46" s="68">
        <v>2012</v>
      </c>
      <c r="M46" s="76"/>
      <c r="N46" s="93" t="s">
        <v>77</v>
      </c>
    </row>
    <row r="47" spans="2:14" s="96" customFormat="1" hidden="1">
      <c r="B47" s="120">
        <v>2012</v>
      </c>
      <c r="C47" s="121"/>
      <c r="D47" s="12" t="s">
        <v>29</v>
      </c>
      <c r="E47" s="160">
        <v>38.041463414634229</v>
      </c>
      <c r="F47" s="157"/>
      <c r="G47" s="157">
        <v>42.915794066317595</v>
      </c>
      <c r="H47" s="157"/>
      <c r="I47" s="262">
        <f>SUM(E47:G47)/2</f>
        <v>40.478628740475912</v>
      </c>
      <c r="J47" s="274"/>
      <c r="K47" s="12" t="str">
        <f t="shared" si="2"/>
        <v>||||||||||||||||||||||||||||||||||||||||</v>
      </c>
      <c r="L47" s="68">
        <v>2012</v>
      </c>
      <c r="M47" s="76"/>
      <c r="N47" s="93" t="s">
        <v>78</v>
      </c>
    </row>
    <row r="48" spans="2:14" s="96" customFormat="1" hidden="1">
      <c r="B48" s="120">
        <v>2012</v>
      </c>
      <c r="C48" s="121"/>
      <c r="D48" s="12" t="s">
        <v>35</v>
      </c>
      <c r="E48" s="160">
        <v>38.041463414634229</v>
      </c>
      <c r="F48" s="157"/>
      <c r="G48" s="157">
        <v>42.915794066317595</v>
      </c>
      <c r="H48" s="157"/>
      <c r="I48" s="158">
        <f t="shared" si="1"/>
        <v>40.478628740475912</v>
      </c>
      <c r="J48" s="274"/>
      <c r="K48" s="12" t="str">
        <f t="shared" si="2"/>
        <v>||||||||||||||||||||||||||||||||||||||||</v>
      </c>
      <c r="L48" s="68">
        <v>2012</v>
      </c>
      <c r="M48" s="76"/>
      <c r="N48" s="93" t="s">
        <v>78</v>
      </c>
    </row>
    <row r="49" spans="2:34" s="96" customFormat="1" hidden="1">
      <c r="B49" s="120"/>
      <c r="C49" s="121"/>
      <c r="D49" s="12" t="s">
        <v>4</v>
      </c>
      <c r="E49" s="160">
        <v>39.728626126126258</v>
      </c>
      <c r="F49" s="157"/>
      <c r="G49" s="157">
        <v>53.269406392694059</v>
      </c>
      <c r="H49" s="157"/>
      <c r="I49" s="158">
        <f t="shared" si="1"/>
        <v>46.499016259410155</v>
      </c>
      <c r="J49" s="274"/>
      <c r="K49" s="12" t="str">
        <f t="shared" si="2"/>
        <v>||||||||||||||||||||||||||||||||||||||||||||||</v>
      </c>
      <c r="L49" s="68">
        <v>2012</v>
      </c>
      <c r="M49" s="76"/>
      <c r="N49" s="93" t="s">
        <v>79</v>
      </c>
    </row>
    <row r="50" spans="2:34" s="96" customFormat="1" hidden="1">
      <c r="B50" s="120"/>
      <c r="C50" s="121"/>
      <c r="D50" s="12" t="s">
        <v>30</v>
      </c>
      <c r="E50" s="160">
        <v>37.873919185729989</v>
      </c>
      <c r="F50" s="157"/>
      <c r="G50" s="157">
        <v>29.739583333333339</v>
      </c>
      <c r="H50" s="157"/>
      <c r="I50" s="158">
        <f t="shared" si="1"/>
        <v>33.806751259531666</v>
      </c>
      <c r="J50" s="274"/>
      <c r="K50" s="12" t="str">
        <f t="shared" si="2"/>
        <v>|||||||||||||||||||||||||||||||||</v>
      </c>
      <c r="L50" s="68">
        <v>2012</v>
      </c>
      <c r="M50" s="76"/>
      <c r="N50" s="93" t="s">
        <v>80</v>
      </c>
    </row>
    <row r="51" spans="2:34" s="96" customFormat="1" hidden="1">
      <c r="B51" s="120"/>
      <c r="C51" s="121"/>
      <c r="D51" s="12" t="s">
        <v>36</v>
      </c>
      <c r="E51" s="160">
        <v>38.410779103870915</v>
      </c>
      <c r="F51" s="157"/>
      <c r="G51" s="157">
        <v>40.977176220806776</v>
      </c>
      <c r="H51" s="157"/>
      <c r="I51" s="158">
        <f t="shared" si="1"/>
        <v>39.693977662338845</v>
      </c>
      <c r="J51" s="274"/>
      <c r="K51" s="12" t="str">
        <f t="shared" si="2"/>
        <v>|||||||||||||||||||||||||||||||||||||||</v>
      </c>
      <c r="L51" s="68">
        <v>2012</v>
      </c>
      <c r="M51" s="76"/>
      <c r="N51" s="93" t="s">
        <v>81</v>
      </c>
    </row>
    <row r="52" spans="2:34" s="96" customFormat="1" hidden="1">
      <c r="B52" s="120"/>
      <c r="C52" s="121"/>
      <c r="D52" s="12" t="s">
        <v>37</v>
      </c>
      <c r="E52" s="160">
        <v>41.545426188600025</v>
      </c>
      <c r="F52" s="157"/>
      <c r="G52" s="157">
        <v>46.486719787516584</v>
      </c>
      <c r="H52" s="157"/>
      <c r="I52" s="158">
        <f t="shared" si="1"/>
        <v>44.016072988058305</v>
      </c>
      <c r="J52" s="274"/>
      <c r="K52" s="12" t="str">
        <f t="shared" si="2"/>
        <v>||||||||||||||||||||||||||||||||||||||||||||</v>
      </c>
      <c r="L52" s="68">
        <v>2012</v>
      </c>
      <c r="M52" s="76"/>
      <c r="N52" s="93" t="s">
        <v>82</v>
      </c>
    </row>
    <row r="53" spans="2:34" s="96" customFormat="1" hidden="1">
      <c r="B53" s="120"/>
      <c r="C53" s="121"/>
      <c r="D53" s="12" t="s">
        <v>31</v>
      </c>
      <c r="E53" s="160">
        <v>36.486604709864245</v>
      </c>
      <c r="F53" s="157"/>
      <c r="G53" s="157">
        <v>38.279096045197754</v>
      </c>
      <c r="H53" s="157"/>
      <c r="I53" s="158">
        <f t="shared" si="1"/>
        <v>37.382850377531</v>
      </c>
      <c r="J53" s="274"/>
      <c r="K53" s="12" t="str">
        <f t="shared" si="2"/>
        <v>|||||||||||||||||||||||||||||||||||||</v>
      </c>
      <c r="L53" s="68">
        <v>2012</v>
      </c>
      <c r="M53" s="76"/>
      <c r="N53" s="93" t="s">
        <v>31</v>
      </c>
    </row>
    <row r="54" spans="2:34" s="96" customFormat="1" hidden="1">
      <c r="B54" s="120">
        <v>2012</v>
      </c>
      <c r="C54" s="121"/>
      <c r="D54" s="12" t="s">
        <v>38</v>
      </c>
      <c r="E54" s="160">
        <v>41.545426188600025</v>
      </c>
      <c r="F54" s="157"/>
      <c r="G54" s="157">
        <v>46.486719787516584</v>
      </c>
      <c r="H54" s="157"/>
      <c r="I54" s="158">
        <f t="shared" si="1"/>
        <v>44.016072988058305</v>
      </c>
      <c r="J54" s="274"/>
      <c r="K54" s="12" t="str">
        <f>REPT("|",I54)</f>
        <v>||||||||||||||||||||||||||||||||||||||||||||</v>
      </c>
      <c r="L54" s="68">
        <v>2012</v>
      </c>
      <c r="M54" s="76"/>
      <c r="N54" s="93" t="s">
        <v>49</v>
      </c>
    </row>
    <row r="55" spans="2:34" s="96" customFormat="1" ht="12.75" hidden="1" customHeight="1">
      <c r="B55" s="120">
        <v>2012</v>
      </c>
      <c r="C55" s="121"/>
      <c r="D55" s="12" t="s">
        <v>39</v>
      </c>
      <c r="E55" s="160">
        <v>36.646867134124321</v>
      </c>
      <c r="F55" s="157"/>
      <c r="G55" s="157">
        <v>41.564197530864206</v>
      </c>
      <c r="H55" s="157"/>
      <c r="I55" s="158">
        <f t="shared" si="1"/>
        <v>39.105532332494263</v>
      </c>
      <c r="J55" s="274"/>
      <c r="K55" s="12" t="str">
        <f>REPT("|",I55)</f>
        <v>|||||||||||||||||||||||||||||||||||||||</v>
      </c>
      <c r="L55" s="68">
        <v>2012</v>
      </c>
      <c r="M55" s="76"/>
      <c r="N55" s="93" t="s">
        <v>39</v>
      </c>
      <c r="AB55" s="96" t="s">
        <v>14</v>
      </c>
    </row>
    <row r="56" spans="2:34" s="96" customFormat="1" hidden="1">
      <c r="B56" s="120">
        <v>2012</v>
      </c>
      <c r="C56" s="121"/>
      <c r="D56" s="12" t="s">
        <v>32</v>
      </c>
      <c r="E56" s="160">
        <v>36.646867134124321</v>
      </c>
      <c r="F56" s="157"/>
      <c r="G56" s="157">
        <v>36.933277027027039</v>
      </c>
      <c r="H56" s="157"/>
      <c r="I56" s="158">
        <f>(E56+G56)/2</f>
        <v>36.790072080575683</v>
      </c>
      <c r="J56" s="274"/>
      <c r="K56" s="12" t="str">
        <f>REPT("|",I56)</f>
        <v>||||||||||||||||||||||||||||||||||||</v>
      </c>
      <c r="L56" s="68">
        <v>2012</v>
      </c>
      <c r="M56" s="76"/>
      <c r="N56" s="93" t="s">
        <v>32</v>
      </c>
      <c r="AH56" s="96" t="s">
        <v>16</v>
      </c>
    </row>
    <row r="57" spans="2:34" s="96" customFormat="1" hidden="1">
      <c r="B57" s="120">
        <v>2013</v>
      </c>
      <c r="C57" s="121"/>
      <c r="D57" s="12" t="s">
        <v>33</v>
      </c>
      <c r="E57" s="160">
        <v>35.367024146769069</v>
      </c>
      <c r="F57" s="157"/>
      <c r="G57" s="157">
        <v>44.174703891708987</v>
      </c>
      <c r="H57" s="157"/>
      <c r="I57" s="262">
        <f t="shared" ref="I57:I64" si="3">SUM(E57:G57)/2</f>
        <v>39.770864019239028</v>
      </c>
      <c r="J57" s="265"/>
      <c r="K57" s="12" t="str">
        <f>REPT("|",I57)</f>
        <v>|||||||||||||||||||||||||||||||||||||||</v>
      </c>
      <c r="L57" s="68">
        <v>2013</v>
      </c>
      <c r="M57" s="76"/>
      <c r="N57" s="93" t="s">
        <v>33</v>
      </c>
      <c r="R57" s="163"/>
      <c r="U57" s="163"/>
    </row>
    <row r="58" spans="2:34" s="96" customFormat="1" hidden="1">
      <c r="B58" s="120">
        <v>2013</v>
      </c>
      <c r="C58" s="121"/>
      <c r="D58" s="12" t="s">
        <v>34</v>
      </c>
      <c r="E58" s="160">
        <v>32.045782213904516</v>
      </c>
      <c r="F58" s="276"/>
      <c r="G58" s="157">
        <v>46.372267759562867</v>
      </c>
      <c r="H58" s="276"/>
      <c r="I58" s="262">
        <f t="shared" si="3"/>
        <v>39.209024986733695</v>
      </c>
      <c r="J58" s="277"/>
      <c r="K58" s="12" t="str">
        <f>REPT("|",I58)</f>
        <v>|||||||||||||||||||||||||||||||||||||||</v>
      </c>
      <c r="L58" s="68">
        <v>2013</v>
      </c>
      <c r="M58" s="76"/>
      <c r="N58" s="93" t="s">
        <v>77</v>
      </c>
      <c r="R58" s="163"/>
      <c r="U58" s="163"/>
    </row>
    <row r="59" spans="2:34" s="96" customFormat="1" hidden="1">
      <c r="B59" s="120">
        <v>2013</v>
      </c>
      <c r="C59" s="121"/>
      <c r="D59" s="12" t="s">
        <v>29</v>
      </c>
      <c r="E59" s="160">
        <v>36.980461876832834</v>
      </c>
      <c r="F59" s="157"/>
      <c r="G59" s="157">
        <v>41.507222222222211</v>
      </c>
      <c r="H59" s="157"/>
      <c r="I59" s="262">
        <f t="shared" si="3"/>
        <v>39.243842049527522</v>
      </c>
      <c r="J59" s="265"/>
      <c r="K59" s="12"/>
      <c r="L59" s="68">
        <v>2013</v>
      </c>
      <c r="M59" s="76"/>
      <c r="N59" s="93" t="s">
        <v>78</v>
      </c>
      <c r="R59" s="163"/>
      <c r="U59" s="163"/>
    </row>
    <row r="60" spans="2:34" s="96" customFormat="1" hidden="1">
      <c r="B60" s="120">
        <v>2013</v>
      </c>
      <c r="C60" s="121"/>
      <c r="D60" s="12" t="s">
        <v>35</v>
      </c>
      <c r="E60" s="160">
        <v>38.107736494744628</v>
      </c>
      <c r="F60" s="157"/>
      <c r="G60" s="157">
        <v>34.390396659707676</v>
      </c>
      <c r="H60" s="157"/>
      <c r="I60" s="262">
        <f t="shared" si="3"/>
        <v>36.249066577226152</v>
      </c>
      <c r="J60" s="265"/>
      <c r="K60" s="12"/>
      <c r="L60" s="68">
        <v>2013</v>
      </c>
      <c r="M60" s="76"/>
      <c r="N60" s="93" t="s">
        <v>78</v>
      </c>
    </row>
    <row r="61" spans="2:34" s="96" customFormat="1" hidden="1">
      <c r="B61" s="120">
        <v>2013</v>
      </c>
      <c r="C61" s="121"/>
      <c r="D61" s="12" t="s">
        <v>4</v>
      </c>
      <c r="E61" s="160">
        <v>41.703097969589436</v>
      </c>
      <c r="F61" s="157"/>
      <c r="G61" s="157">
        <v>46.717687074829918</v>
      </c>
      <c r="H61" s="157"/>
      <c r="I61" s="262">
        <f t="shared" si="3"/>
        <v>44.210392522209673</v>
      </c>
      <c r="J61" s="265"/>
      <c r="K61" s="12"/>
      <c r="L61" s="68">
        <v>2013</v>
      </c>
      <c r="M61" s="76"/>
      <c r="N61" s="93" t="s">
        <v>79</v>
      </c>
    </row>
    <row r="62" spans="2:34" s="96" customFormat="1" hidden="1">
      <c r="B62" s="120">
        <v>2013</v>
      </c>
      <c r="C62" s="121"/>
      <c r="D62" s="12" t="s">
        <v>30</v>
      </c>
      <c r="E62" s="160">
        <v>36.954721063205206</v>
      </c>
      <c r="F62" s="157"/>
      <c r="G62" s="157">
        <v>37.529583333333328</v>
      </c>
      <c r="H62" s="157"/>
      <c r="I62" s="262">
        <f t="shared" si="3"/>
        <v>37.242152198269267</v>
      </c>
      <c r="J62" s="265"/>
      <c r="K62" s="12"/>
      <c r="L62" s="68">
        <v>2013</v>
      </c>
      <c r="M62" s="76"/>
      <c r="N62" s="93" t="s">
        <v>80</v>
      </c>
    </row>
    <row r="63" spans="2:34" s="96" customFormat="1" hidden="1">
      <c r="B63" s="120">
        <v>2013</v>
      </c>
      <c r="C63" s="121"/>
      <c r="D63" s="12" t="s">
        <v>36</v>
      </c>
      <c r="E63" s="160">
        <v>34.588108630690819</v>
      </c>
      <c r="F63" s="157"/>
      <c r="G63" s="157">
        <v>41.473182145428346</v>
      </c>
      <c r="H63" s="157"/>
      <c r="I63" s="262">
        <f t="shared" si="3"/>
        <v>38.030645388059583</v>
      </c>
      <c r="J63" s="265"/>
      <c r="K63" s="12"/>
      <c r="L63" s="68">
        <v>2013</v>
      </c>
      <c r="M63" s="76"/>
      <c r="N63" s="93" t="s">
        <v>81</v>
      </c>
    </row>
    <row r="64" spans="2:34" s="96" customFormat="1" hidden="1">
      <c r="B64" s="120">
        <v>2013</v>
      </c>
      <c r="C64" s="121"/>
      <c r="D64" s="12" t="s">
        <v>37</v>
      </c>
      <c r="E64" s="160">
        <v>38.125452559300925</v>
      </c>
      <c r="F64" s="157"/>
      <c r="G64" s="157">
        <v>43.652654867256629</v>
      </c>
      <c r="H64" s="157"/>
      <c r="I64" s="262">
        <f t="shared" si="3"/>
        <v>40.889053713278777</v>
      </c>
      <c r="J64" s="265"/>
      <c r="K64" s="12"/>
      <c r="L64" s="68">
        <v>2013</v>
      </c>
      <c r="M64" s="76"/>
      <c r="N64" s="93" t="s">
        <v>82</v>
      </c>
      <c r="R64" s="170"/>
    </row>
    <row r="65" spans="2:22" s="96" customFormat="1" ht="13.5" hidden="1">
      <c r="B65" s="120">
        <v>2013</v>
      </c>
      <c r="C65" s="121"/>
      <c r="D65" s="12" t="s">
        <v>31</v>
      </c>
      <c r="E65" s="160">
        <v>35.922406950079221</v>
      </c>
      <c r="F65" s="157"/>
      <c r="G65" s="157">
        <v>39.229492187499993</v>
      </c>
      <c r="H65" s="157"/>
      <c r="I65" s="262">
        <f t="shared" ref="I65:I70" si="4">SUM(E65:G65)/2</f>
        <v>37.575949568789611</v>
      </c>
      <c r="J65" s="265"/>
      <c r="K65" s="12"/>
      <c r="L65" s="68">
        <v>2013</v>
      </c>
      <c r="M65" s="76"/>
      <c r="N65" s="93" t="s">
        <v>31</v>
      </c>
      <c r="Q65" s="55"/>
      <c r="R65" s="55"/>
      <c r="S65" s="55"/>
      <c r="T65" s="55"/>
      <c r="U65" s="55"/>
      <c r="V65" s="55"/>
    </row>
    <row r="66" spans="2:22" s="96" customFormat="1" ht="13.5" hidden="1">
      <c r="B66" s="120">
        <v>2013</v>
      </c>
      <c r="C66" s="121"/>
      <c r="D66" s="12" t="s">
        <v>38</v>
      </c>
      <c r="E66" s="160">
        <v>34.090302505373195</v>
      </c>
      <c r="F66" s="157"/>
      <c r="G66" s="157">
        <v>31.861046959199385</v>
      </c>
      <c r="H66" s="157"/>
      <c r="I66" s="262">
        <f t="shared" si="4"/>
        <v>32.975674732286294</v>
      </c>
      <c r="J66" s="265"/>
      <c r="K66" s="12"/>
      <c r="L66" s="68">
        <v>2013</v>
      </c>
      <c r="M66" s="76"/>
      <c r="N66" s="93" t="s">
        <v>49</v>
      </c>
      <c r="Q66" s="55"/>
      <c r="R66" s="55"/>
      <c r="S66" s="55"/>
      <c r="T66" s="55"/>
      <c r="U66" s="55"/>
      <c r="V66" s="55"/>
    </row>
    <row r="67" spans="2:22" s="96" customFormat="1" ht="13.5" hidden="1">
      <c r="B67" s="120">
        <v>2013</v>
      </c>
      <c r="C67" s="121"/>
      <c r="D67" s="12" t="s">
        <v>39</v>
      </c>
      <c r="E67" s="160">
        <v>32.502917997870163</v>
      </c>
      <c r="F67" s="157"/>
      <c r="G67" s="157">
        <v>38.744407158836651</v>
      </c>
      <c r="H67" s="157"/>
      <c r="I67" s="262">
        <f t="shared" si="4"/>
        <v>35.623662578353404</v>
      </c>
      <c r="J67" s="265"/>
      <c r="K67" s="12"/>
      <c r="L67" s="68">
        <v>2013</v>
      </c>
      <c r="M67" s="76"/>
      <c r="N67" s="93" t="s">
        <v>39</v>
      </c>
      <c r="Q67" s="55"/>
      <c r="R67" s="55"/>
      <c r="S67" s="55"/>
      <c r="T67" s="55"/>
      <c r="U67" s="55"/>
      <c r="V67" s="55"/>
    </row>
    <row r="68" spans="2:22" s="96" customFormat="1" ht="13.5" hidden="1">
      <c r="B68" s="120">
        <v>2013</v>
      </c>
      <c r="C68" s="121"/>
      <c r="D68" s="12" t="s">
        <v>32</v>
      </c>
      <c r="E68" s="160">
        <v>29.821563038812169</v>
      </c>
      <c r="F68" s="157"/>
      <c r="G68" s="157">
        <v>33.614035087719287</v>
      </c>
      <c r="H68" s="157"/>
      <c r="I68" s="262">
        <f t="shared" si="4"/>
        <v>31.71779906326573</v>
      </c>
      <c r="J68" s="265"/>
      <c r="K68" s="12"/>
      <c r="L68" s="68">
        <v>2013</v>
      </c>
      <c r="M68" s="76"/>
      <c r="N68" s="93" t="s">
        <v>32</v>
      </c>
      <c r="Q68" s="55"/>
      <c r="R68" s="55"/>
      <c r="S68" s="55"/>
      <c r="T68" s="55"/>
      <c r="U68" s="55"/>
      <c r="V68" s="55"/>
    </row>
    <row r="69" spans="2:22" s="96" customFormat="1" ht="13.5" hidden="1">
      <c r="B69" s="120">
        <v>2014</v>
      </c>
      <c r="C69" s="121"/>
      <c r="D69" s="12" t="s">
        <v>33</v>
      </c>
      <c r="E69" s="160">
        <v>35.076968709781198</v>
      </c>
      <c r="F69" s="157"/>
      <c r="G69" s="157">
        <v>32.372117400419263</v>
      </c>
      <c r="H69" s="157"/>
      <c r="I69" s="262">
        <f t="shared" si="4"/>
        <v>33.724543055100227</v>
      </c>
      <c r="J69" s="265"/>
      <c r="K69" s="12"/>
      <c r="L69" s="68">
        <v>2014</v>
      </c>
      <c r="M69" s="76"/>
      <c r="N69" s="93" t="s">
        <v>33</v>
      </c>
      <c r="Q69" s="55"/>
      <c r="R69" s="55"/>
      <c r="S69" s="55"/>
      <c r="T69" s="55"/>
      <c r="U69" s="55"/>
      <c r="V69" s="55"/>
    </row>
    <row r="70" spans="2:22" s="96" customFormat="1" ht="13.5" hidden="1">
      <c r="B70" s="120">
        <v>2014</v>
      </c>
      <c r="C70" s="121"/>
      <c r="D70" s="12" t="s">
        <v>34</v>
      </c>
      <c r="E70" s="160">
        <v>44.822519083969475</v>
      </c>
      <c r="F70" s="157"/>
      <c r="G70" s="157">
        <v>38.908381167144903</v>
      </c>
      <c r="H70" s="157"/>
      <c r="I70" s="262">
        <f t="shared" si="4"/>
        <v>41.865450125557189</v>
      </c>
      <c r="J70" s="265"/>
      <c r="K70" s="12"/>
      <c r="L70" s="120">
        <v>2014</v>
      </c>
      <c r="M70" s="76"/>
      <c r="N70" s="93" t="s">
        <v>77</v>
      </c>
      <c r="Q70" s="55"/>
      <c r="R70" s="55"/>
      <c r="S70" s="55"/>
      <c r="T70" s="55"/>
      <c r="U70" s="55"/>
      <c r="V70" s="55"/>
    </row>
    <row r="71" spans="2:22" s="96" customFormat="1" ht="13.5" hidden="1">
      <c r="B71" s="120">
        <v>2014</v>
      </c>
      <c r="C71" s="121"/>
      <c r="D71" s="12" t="s">
        <v>29</v>
      </c>
      <c r="E71" s="160">
        <v>40.066272221321633</v>
      </c>
      <c r="F71" s="157"/>
      <c r="G71" s="157">
        <v>46.914251207729471</v>
      </c>
      <c r="H71" s="157"/>
      <c r="I71" s="262">
        <f>SUM(E71:G71)/2</f>
        <v>43.490261714525552</v>
      </c>
      <c r="J71" s="265"/>
      <c r="K71" s="12"/>
      <c r="L71" s="120">
        <v>2014</v>
      </c>
      <c r="M71" s="76"/>
      <c r="N71" s="93" t="s">
        <v>29</v>
      </c>
      <c r="Q71" s="55"/>
      <c r="R71" s="55"/>
      <c r="S71" s="55"/>
      <c r="T71" s="55"/>
      <c r="U71" s="55"/>
      <c r="V71" s="55"/>
    </row>
    <row r="72" spans="2:22" s="96" customFormat="1" ht="13.5" hidden="1">
      <c r="B72" s="120">
        <v>2014</v>
      </c>
      <c r="C72" s="121"/>
      <c r="D72" s="12" t="s">
        <v>35</v>
      </c>
      <c r="E72" s="160">
        <v>37.272881663555353</v>
      </c>
      <c r="F72" s="157"/>
      <c r="G72" s="157">
        <v>40.750449236298337</v>
      </c>
      <c r="H72" s="157"/>
      <c r="I72" s="262">
        <f>SUM(E72:G72)/2</f>
        <v>39.011665449926845</v>
      </c>
      <c r="J72" s="265"/>
      <c r="K72" s="12"/>
      <c r="L72" s="68">
        <v>2014</v>
      </c>
      <c r="M72" s="76"/>
      <c r="N72" s="93" t="s">
        <v>78</v>
      </c>
      <c r="Q72" s="55"/>
      <c r="R72" s="55"/>
      <c r="S72" s="55"/>
      <c r="T72" s="55"/>
      <c r="U72" s="55"/>
      <c r="V72" s="55"/>
    </row>
    <row r="73" spans="2:22" s="96" customFormat="1" ht="13.9" hidden="1" customHeight="1">
      <c r="B73" s="120">
        <v>2014</v>
      </c>
      <c r="C73" s="121"/>
      <c r="D73" s="12" t="s">
        <v>4</v>
      </c>
      <c r="E73" s="160">
        <v>41.821963116397356</v>
      </c>
      <c r="F73" s="157"/>
      <c r="G73" s="157">
        <v>44.324974670719349</v>
      </c>
      <c r="H73" s="157"/>
      <c r="I73" s="262">
        <f>SUM(E73:G73)/2</f>
        <v>43.073468893558356</v>
      </c>
      <c r="J73" s="265"/>
      <c r="K73" s="12"/>
      <c r="L73" s="68">
        <v>2014</v>
      </c>
      <c r="M73" s="76"/>
      <c r="N73" s="93" t="s">
        <v>79</v>
      </c>
      <c r="Q73" s="55"/>
      <c r="R73" s="55"/>
      <c r="S73" s="55"/>
      <c r="T73" s="55"/>
      <c r="U73" s="55"/>
      <c r="V73" s="55"/>
    </row>
    <row r="74" spans="2:22" s="96" customFormat="1" ht="13.5" hidden="1">
      <c r="B74" s="120">
        <v>2014</v>
      </c>
      <c r="C74" s="121"/>
      <c r="D74" s="12" t="s">
        <v>30</v>
      </c>
      <c r="E74" s="160">
        <v>38.575127226463081</v>
      </c>
      <c r="F74" s="157"/>
      <c r="G74" s="157">
        <v>38.286506116207939</v>
      </c>
      <c r="H74" s="157"/>
      <c r="I74" s="262">
        <f>SUM(E74:G74)/2</f>
        <v>38.430816671335506</v>
      </c>
      <c r="J74" s="265"/>
      <c r="K74" s="12"/>
      <c r="L74" s="68">
        <v>2014</v>
      </c>
      <c r="M74" s="76"/>
      <c r="N74" s="93" t="s">
        <v>80</v>
      </c>
      <c r="Q74" s="55"/>
      <c r="R74" s="55"/>
      <c r="S74" s="55"/>
      <c r="T74" s="55"/>
      <c r="U74" s="55"/>
      <c r="V74" s="55"/>
    </row>
    <row r="75" spans="2:22" s="96" customFormat="1" ht="13.5" hidden="1">
      <c r="B75" s="120">
        <v>2014</v>
      </c>
      <c r="C75" s="121"/>
      <c r="D75" s="12" t="s">
        <v>36</v>
      </c>
      <c r="E75" s="160">
        <v>37.896594785575282</v>
      </c>
      <c r="F75" s="157"/>
      <c r="G75" s="157">
        <v>41.23240371845953</v>
      </c>
      <c r="H75" s="157"/>
      <c r="I75" s="262">
        <v>39.564499252017406</v>
      </c>
      <c r="J75" s="265"/>
      <c r="K75" s="12"/>
      <c r="L75" s="68">
        <v>2014</v>
      </c>
      <c r="M75" s="76"/>
      <c r="N75" s="93" t="s">
        <v>81</v>
      </c>
      <c r="Q75" s="55"/>
      <c r="R75" s="55"/>
      <c r="S75" s="55"/>
      <c r="T75" s="55"/>
      <c r="U75" s="55"/>
      <c r="V75" s="55"/>
    </row>
    <row r="76" spans="2:22" s="96" customFormat="1" ht="13.5" hidden="1">
      <c r="B76" s="120">
        <v>2014</v>
      </c>
      <c r="C76" s="121"/>
      <c r="D76" s="12" t="s">
        <v>37</v>
      </c>
      <c r="E76" s="160">
        <v>39.852214502822719</v>
      </c>
      <c r="F76" s="157"/>
      <c r="G76" s="157">
        <v>46.070714285714288</v>
      </c>
      <c r="H76" s="157"/>
      <c r="I76" s="262">
        <v>42.961464394268503</v>
      </c>
      <c r="J76" s="265"/>
      <c r="K76" s="12"/>
      <c r="L76" s="68">
        <v>2014</v>
      </c>
      <c r="M76" s="76"/>
      <c r="N76" s="93" t="s">
        <v>82</v>
      </c>
      <c r="Q76" s="55"/>
      <c r="R76" s="55"/>
      <c r="S76" s="55"/>
      <c r="T76" s="55"/>
      <c r="U76" s="55"/>
      <c r="V76" s="55"/>
    </row>
    <row r="77" spans="2:22" s="96" customFormat="1" ht="13.5" hidden="1">
      <c r="B77" s="120">
        <v>2014</v>
      </c>
      <c r="C77" s="121"/>
      <c r="D77" s="12" t="s">
        <v>31</v>
      </c>
      <c r="E77" s="160">
        <v>37.533664150591562</v>
      </c>
      <c r="F77" s="157"/>
      <c r="G77" s="157">
        <v>40.35517654099349</v>
      </c>
      <c r="H77" s="157"/>
      <c r="I77" s="262">
        <v>38.944420345792523</v>
      </c>
      <c r="J77" s="265"/>
      <c r="K77" s="12"/>
      <c r="L77" s="68">
        <v>2014</v>
      </c>
      <c r="M77" s="76"/>
      <c r="N77" s="93" t="s">
        <v>31</v>
      </c>
      <c r="Q77" s="55"/>
      <c r="R77" s="55"/>
      <c r="S77" s="55"/>
      <c r="T77" s="55"/>
      <c r="U77" s="55"/>
      <c r="V77" s="55"/>
    </row>
    <row r="78" spans="2:22" s="96" customFormat="1" ht="13.5" hidden="1">
      <c r="B78" s="120">
        <v>2014</v>
      </c>
      <c r="C78" s="121"/>
      <c r="D78" s="12" t="s">
        <v>38</v>
      </c>
      <c r="E78" s="160">
        <v>39.238740762932004</v>
      </c>
      <c r="F78" s="157"/>
      <c r="G78" s="157">
        <v>44.749031007751938</v>
      </c>
      <c r="H78" s="157"/>
      <c r="I78" s="262">
        <v>38.944420345792523</v>
      </c>
      <c r="J78" s="265"/>
      <c r="K78" s="12"/>
      <c r="L78" s="68">
        <v>2014</v>
      </c>
      <c r="M78" s="76"/>
      <c r="N78" s="93" t="s">
        <v>49</v>
      </c>
      <c r="Q78" s="55"/>
      <c r="R78" s="55"/>
      <c r="S78" s="55"/>
      <c r="T78" s="55"/>
      <c r="U78" s="55"/>
      <c r="V78" s="55"/>
    </row>
    <row r="79" spans="2:22" s="96" customFormat="1" ht="13.5" hidden="1">
      <c r="B79" s="120">
        <v>2014</v>
      </c>
      <c r="C79" s="121"/>
      <c r="D79" s="12" t="s">
        <v>39</v>
      </c>
      <c r="E79" s="160">
        <v>38.937456047820056</v>
      </c>
      <c r="F79" s="157"/>
      <c r="G79" s="157">
        <v>41.122370550161875</v>
      </c>
      <c r="H79" s="157"/>
      <c r="I79" s="262">
        <v>40.029913298990962</v>
      </c>
      <c r="J79" s="265"/>
      <c r="K79" s="12"/>
      <c r="L79" s="68">
        <v>2014</v>
      </c>
      <c r="M79" s="76"/>
      <c r="N79" s="93" t="s">
        <v>39</v>
      </c>
      <c r="Q79" s="55"/>
      <c r="R79" s="55"/>
      <c r="S79" s="55"/>
      <c r="T79" s="55"/>
      <c r="U79" s="55"/>
      <c r="V79" s="55"/>
    </row>
    <row r="80" spans="2:22" s="96" customFormat="1" ht="13.5" hidden="1">
      <c r="B80" s="120">
        <v>2014</v>
      </c>
      <c r="C80" s="121"/>
      <c r="D80" s="12" t="s">
        <v>32</v>
      </c>
      <c r="E80" s="160">
        <v>34.253404652274824</v>
      </c>
      <c r="F80" s="157"/>
      <c r="G80" s="157">
        <v>35.163941871026367</v>
      </c>
      <c r="H80" s="157"/>
      <c r="I80" s="262">
        <v>34.708673261650596</v>
      </c>
      <c r="J80" s="265"/>
      <c r="K80" s="12"/>
      <c r="L80" s="68">
        <v>2014</v>
      </c>
      <c r="M80" s="76"/>
      <c r="N80" s="93" t="s">
        <v>32</v>
      </c>
      <c r="Q80" s="55"/>
      <c r="R80" s="55"/>
      <c r="S80" s="55"/>
      <c r="T80" s="55"/>
      <c r="U80" s="55"/>
      <c r="V80" s="55"/>
    </row>
    <row r="81" spans="2:22" s="96" customFormat="1" ht="13.5" hidden="1">
      <c r="B81" s="120">
        <v>2015</v>
      </c>
      <c r="C81" s="121"/>
      <c r="D81" s="12" t="s">
        <v>33</v>
      </c>
      <c r="E81" s="160">
        <v>33.339407398393824</v>
      </c>
      <c r="F81" s="157"/>
      <c r="G81" s="157">
        <v>36.21366120218579</v>
      </c>
      <c r="H81" s="157"/>
      <c r="I81" s="262">
        <v>34.776534300289811</v>
      </c>
      <c r="J81" s="265"/>
      <c r="K81" s="12"/>
      <c r="L81" s="68">
        <v>2015</v>
      </c>
      <c r="M81" s="76"/>
      <c r="N81" s="93" t="s">
        <v>33</v>
      </c>
      <c r="Q81" s="55"/>
      <c r="R81" s="55"/>
      <c r="S81" s="55"/>
      <c r="T81" s="55"/>
      <c r="U81" s="55"/>
      <c r="V81" s="55"/>
    </row>
    <row r="82" spans="2:22" s="96" customFormat="1" ht="13.9" hidden="1" customHeight="1">
      <c r="B82" s="120">
        <v>2015</v>
      </c>
      <c r="C82" s="121"/>
      <c r="D82" s="12" t="s">
        <v>34</v>
      </c>
      <c r="E82" s="160">
        <v>39.587713365539493</v>
      </c>
      <c r="F82" s="157"/>
      <c r="G82" s="157">
        <v>46.37323943661972</v>
      </c>
      <c r="H82" s="157"/>
      <c r="I82" s="262">
        <v>42.980476401079606</v>
      </c>
      <c r="J82" s="265"/>
      <c r="K82" s="12"/>
      <c r="L82" s="68">
        <v>2015</v>
      </c>
      <c r="M82" s="76"/>
      <c r="N82" s="93" t="s">
        <v>77</v>
      </c>
      <c r="Q82" s="55"/>
      <c r="R82" s="55"/>
      <c r="S82" s="55"/>
      <c r="T82" s="55"/>
      <c r="U82" s="55"/>
      <c r="V82" s="55"/>
    </row>
    <row r="83" spans="2:22" s="96" customFormat="1" ht="13.5" hidden="1">
      <c r="B83" s="120">
        <v>2015</v>
      </c>
      <c r="C83" s="121"/>
      <c r="D83" s="12" t="s">
        <v>29</v>
      </c>
      <c r="E83" s="160">
        <v>39.644945143951155</v>
      </c>
      <c r="F83" s="157"/>
      <c r="G83" s="157">
        <v>41.206720430107531</v>
      </c>
      <c r="H83" s="157"/>
      <c r="I83" s="262">
        <f>SUM(E83:G83)/2</f>
        <v>40.425832787029343</v>
      </c>
      <c r="J83" s="265"/>
      <c r="K83" s="12"/>
      <c r="L83" s="68">
        <v>2015</v>
      </c>
      <c r="M83" s="76"/>
      <c r="N83" s="93" t="s">
        <v>29</v>
      </c>
      <c r="Q83" s="55"/>
      <c r="R83" s="55"/>
      <c r="S83" s="55"/>
      <c r="T83" s="55"/>
      <c r="U83" s="55"/>
      <c r="V83" s="55"/>
    </row>
    <row r="84" spans="2:22" s="96" customFormat="1" ht="13.5" hidden="1">
      <c r="B84" s="120">
        <v>2015</v>
      </c>
      <c r="C84" s="121"/>
      <c r="D84" s="12" t="s">
        <v>35</v>
      </c>
      <c r="E84" s="160">
        <v>38.745640785049673</v>
      </c>
      <c r="F84" s="157"/>
      <c r="G84" s="157">
        <v>41.70264550264546</v>
      </c>
      <c r="H84" s="157"/>
      <c r="I84" s="262">
        <v>40.22414314384757</v>
      </c>
      <c r="J84" s="265"/>
      <c r="K84" s="12"/>
      <c r="L84" s="68">
        <v>2015</v>
      </c>
      <c r="M84" s="76"/>
      <c r="N84" s="93" t="s">
        <v>78</v>
      </c>
      <c r="Q84" s="55"/>
      <c r="R84" s="55"/>
      <c r="S84" s="55"/>
      <c r="T84" s="55"/>
      <c r="U84" s="55"/>
      <c r="V84" s="55"/>
    </row>
    <row r="85" spans="2:22" s="96" customFormat="1" ht="13.5" hidden="1">
      <c r="B85" s="120">
        <v>2015</v>
      </c>
      <c r="C85" s="121"/>
      <c r="D85" s="12" t="s">
        <v>4</v>
      </c>
      <c r="E85" s="160">
        <v>38.806962218159583</v>
      </c>
      <c r="F85" s="157"/>
      <c r="G85" s="157">
        <v>48.512355415352268</v>
      </c>
      <c r="H85" s="157"/>
      <c r="I85" s="262">
        <v>43.659658816755922</v>
      </c>
      <c r="J85" s="265"/>
      <c r="K85" s="12"/>
      <c r="L85" s="68">
        <v>2015</v>
      </c>
      <c r="M85" s="76"/>
      <c r="N85" s="93" t="s">
        <v>79</v>
      </c>
      <c r="Q85" s="55"/>
      <c r="R85" s="55"/>
      <c r="S85" s="55"/>
      <c r="T85" s="55"/>
      <c r="U85" s="55"/>
      <c r="V85" s="55"/>
    </row>
    <row r="86" spans="2:22" s="96" customFormat="1" ht="13.5" hidden="1">
      <c r="B86" s="120">
        <v>2015</v>
      </c>
      <c r="C86" s="121"/>
      <c r="D86" s="12" t="s">
        <v>30</v>
      </c>
      <c r="E86" s="160">
        <v>38.027079843662747</v>
      </c>
      <c r="F86" s="157"/>
      <c r="G86" s="157">
        <v>27.557133838383837</v>
      </c>
      <c r="H86" s="157"/>
      <c r="I86" s="262">
        <v>32.792106841023291</v>
      </c>
      <c r="J86" s="265"/>
      <c r="K86" s="12"/>
      <c r="L86" s="68">
        <v>2015</v>
      </c>
      <c r="M86" s="76"/>
      <c r="N86" s="93" t="s">
        <v>80</v>
      </c>
      <c r="Q86" s="55"/>
      <c r="R86" s="55"/>
      <c r="S86" s="55"/>
      <c r="T86" s="55"/>
      <c r="U86" s="55"/>
      <c r="V86" s="55"/>
    </row>
    <row r="87" spans="2:22" s="96" customFormat="1" ht="13.5" hidden="1">
      <c r="B87" s="120">
        <v>2015</v>
      </c>
      <c r="C87" s="121"/>
      <c r="D87" s="12" t="s">
        <v>36</v>
      </c>
      <c r="E87" s="160">
        <v>38.149110631297752</v>
      </c>
      <c r="F87" s="157"/>
      <c r="G87" s="157">
        <v>43.761513157894733</v>
      </c>
      <c r="H87" s="157"/>
      <c r="I87" s="262">
        <v>40.955311894596242</v>
      </c>
      <c r="J87" s="265"/>
      <c r="K87" s="12"/>
      <c r="L87" s="68">
        <v>2015</v>
      </c>
      <c r="M87" s="76"/>
      <c r="N87" s="93" t="s">
        <v>81</v>
      </c>
      <c r="Q87" s="55"/>
      <c r="R87" s="55"/>
      <c r="S87" s="55"/>
      <c r="T87" s="55"/>
      <c r="U87" s="55"/>
      <c r="V87" s="55"/>
    </row>
    <row r="88" spans="2:22" s="96" customFormat="1" ht="13.5" hidden="1">
      <c r="B88" s="120">
        <v>2015</v>
      </c>
      <c r="C88" s="121"/>
      <c r="D88" s="12" t="s">
        <v>37</v>
      </c>
      <c r="E88" s="160">
        <v>40.675143355771709</v>
      </c>
      <c r="F88" s="157"/>
      <c r="G88" s="157">
        <v>45.493432971014478</v>
      </c>
      <c r="H88" s="157"/>
      <c r="I88" s="262">
        <v>43.084288163393097</v>
      </c>
      <c r="J88" s="265"/>
      <c r="K88" s="12"/>
      <c r="L88" s="68">
        <v>2015</v>
      </c>
      <c r="M88" s="76"/>
      <c r="N88" s="93" t="s">
        <v>82</v>
      </c>
      <c r="Q88" s="55"/>
      <c r="R88" s="55"/>
      <c r="S88" s="55"/>
      <c r="T88" s="55"/>
      <c r="U88" s="55"/>
      <c r="V88" s="55"/>
    </row>
    <row r="89" spans="2:22" s="96" customFormat="1" ht="13.5" hidden="1">
      <c r="B89" s="120">
        <v>2015</v>
      </c>
      <c r="C89" s="121"/>
      <c r="D89" s="12" t="s">
        <v>31</v>
      </c>
      <c r="E89" s="160">
        <v>37.598399999999998</v>
      </c>
      <c r="F89" s="157"/>
      <c r="G89" s="157">
        <v>40.069299999999998</v>
      </c>
      <c r="H89" s="157"/>
      <c r="I89" s="262">
        <v>38.833849999999998</v>
      </c>
      <c r="J89" s="265"/>
      <c r="K89" s="12"/>
      <c r="L89" s="68">
        <v>2015</v>
      </c>
      <c r="M89" s="76"/>
      <c r="N89" s="93" t="s">
        <v>31</v>
      </c>
      <c r="Q89" s="55"/>
      <c r="R89" s="55"/>
      <c r="S89" s="55"/>
      <c r="T89" s="55"/>
      <c r="U89" s="55"/>
      <c r="V89" s="55"/>
    </row>
    <row r="90" spans="2:22" s="96" customFormat="1" ht="13.5" hidden="1">
      <c r="B90" s="120">
        <v>2015</v>
      </c>
      <c r="C90" s="121"/>
      <c r="D90" s="12" t="s">
        <v>38</v>
      </c>
      <c r="E90" s="160">
        <v>37.165947744638864</v>
      </c>
      <c r="F90" s="157"/>
      <c r="G90" s="157">
        <v>42.432615629984006</v>
      </c>
      <c r="H90" s="157"/>
      <c r="I90" s="262">
        <v>39.799281687311435</v>
      </c>
      <c r="J90" s="265"/>
      <c r="K90" s="12"/>
      <c r="L90" s="68">
        <v>2015</v>
      </c>
      <c r="M90" s="76"/>
      <c r="N90" s="93" t="s">
        <v>38</v>
      </c>
      <c r="Q90" s="55"/>
      <c r="R90" s="55"/>
      <c r="S90" s="55"/>
      <c r="T90" s="55"/>
      <c r="U90" s="55"/>
      <c r="V90" s="55"/>
    </row>
    <row r="91" spans="2:22" s="96" customFormat="1" ht="13.5" hidden="1">
      <c r="B91" s="120">
        <v>2015</v>
      </c>
      <c r="C91" s="121"/>
      <c r="D91" s="12" t="s">
        <v>39</v>
      </c>
      <c r="E91" s="160">
        <v>39.852808691043876</v>
      </c>
      <c r="F91" s="157"/>
      <c r="G91" s="157">
        <v>41.612359550561827</v>
      </c>
      <c r="H91" s="157"/>
      <c r="I91" s="262">
        <v>40.732584120802855</v>
      </c>
      <c r="J91" s="265"/>
      <c r="K91" s="12"/>
      <c r="L91" s="68">
        <v>2015</v>
      </c>
      <c r="M91" s="76"/>
      <c r="N91" s="93" t="s">
        <v>39</v>
      </c>
      <c r="Q91" s="55"/>
      <c r="R91" s="55"/>
      <c r="S91" s="55"/>
      <c r="T91" s="55"/>
      <c r="U91" s="55"/>
      <c r="V91" s="55"/>
    </row>
    <row r="92" spans="2:22" s="96" customFormat="1" ht="13.5" hidden="1">
      <c r="B92" s="120">
        <v>2015</v>
      </c>
      <c r="C92" s="121"/>
      <c r="D92" s="12" t="s">
        <v>32</v>
      </c>
      <c r="E92" s="160">
        <v>39.9</v>
      </c>
      <c r="F92" s="157"/>
      <c r="G92" s="157">
        <v>36.200000000000003</v>
      </c>
      <c r="H92" s="157"/>
      <c r="I92" s="262">
        <v>38</v>
      </c>
      <c r="J92" s="265"/>
      <c r="K92" s="12"/>
      <c r="L92" s="68">
        <v>2015</v>
      </c>
      <c r="M92" s="76"/>
      <c r="N92" s="93" t="s">
        <v>32</v>
      </c>
      <c r="Q92" s="55"/>
      <c r="R92" s="55"/>
      <c r="S92" s="55"/>
      <c r="T92" s="55"/>
      <c r="U92" s="55"/>
      <c r="V92" s="55"/>
    </row>
    <row r="93" spans="2:22" s="96" customFormat="1" ht="13.5" customHeight="1">
      <c r="B93" s="120">
        <v>2016</v>
      </c>
      <c r="C93" s="121"/>
      <c r="D93" s="12" t="s">
        <v>33</v>
      </c>
      <c r="E93" s="160">
        <v>34.112262788779105</v>
      </c>
      <c r="F93" s="157"/>
      <c r="G93" s="157">
        <v>38.89551926298158</v>
      </c>
      <c r="H93" s="157"/>
      <c r="I93" s="262">
        <v>36.503891025880343</v>
      </c>
      <c r="J93" s="265"/>
      <c r="K93" s="12"/>
      <c r="L93" s="68">
        <v>2016</v>
      </c>
      <c r="M93" s="76"/>
      <c r="N93" s="93" t="s">
        <v>33</v>
      </c>
      <c r="Q93" s="55"/>
      <c r="R93" s="55"/>
      <c r="S93" s="55"/>
      <c r="T93" s="55"/>
      <c r="U93" s="55"/>
      <c r="V93" s="55"/>
    </row>
    <row r="94" spans="2:22" s="96" customFormat="1" ht="13.9" hidden="1" customHeight="1">
      <c r="B94" s="120">
        <v>2016</v>
      </c>
      <c r="C94" s="121"/>
      <c r="D94" s="12" t="s">
        <v>34</v>
      </c>
      <c r="E94" s="160">
        <v>40.53330844532934</v>
      </c>
      <c r="F94" s="157"/>
      <c r="G94" s="157">
        <v>42.166341145833286</v>
      </c>
      <c r="H94" s="157"/>
      <c r="I94" s="262">
        <v>41.349824795581313</v>
      </c>
      <c r="J94" s="265"/>
      <c r="K94" s="12"/>
      <c r="L94" s="68">
        <v>2016</v>
      </c>
      <c r="M94" s="76"/>
      <c r="N94" s="93" t="s">
        <v>77</v>
      </c>
      <c r="Q94" s="55"/>
      <c r="R94" s="55"/>
      <c r="S94" s="55"/>
      <c r="T94" s="55"/>
      <c r="U94" s="55"/>
      <c r="V94" s="55"/>
    </row>
    <row r="95" spans="2:22" s="96" customFormat="1" ht="13.5" hidden="1" customHeight="1">
      <c r="B95" s="120">
        <v>2016</v>
      </c>
      <c r="C95" s="121"/>
      <c r="D95" s="12" t="s">
        <v>29</v>
      </c>
      <c r="E95" s="160">
        <v>38.440735520246072</v>
      </c>
      <c r="F95" s="157"/>
      <c r="G95" s="157">
        <v>39.609025032938106</v>
      </c>
      <c r="H95" s="157"/>
      <c r="I95" s="262">
        <f t="shared" ref="I95:I107" si="5">SUM(E95:G95)/2</f>
        <v>39.024880276592086</v>
      </c>
      <c r="J95" s="265"/>
      <c r="K95" s="103"/>
      <c r="L95" s="68">
        <v>2016</v>
      </c>
      <c r="M95" s="76"/>
      <c r="N95" s="93" t="s">
        <v>29</v>
      </c>
      <c r="Q95" s="55"/>
      <c r="R95" s="55"/>
      <c r="S95" s="55"/>
      <c r="T95" s="55"/>
      <c r="U95" s="55"/>
      <c r="V95" s="55"/>
    </row>
    <row r="96" spans="2:22" s="96" customFormat="1" ht="13.5" hidden="1" customHeight="1">
      <c r="B96" s="120">
        <v>2016</v>
      </c>
      <c r="C96" s="121"/>
      <c r="D96" s="12" t="s">
        <v>35</v>
      </c>
      <c r="E96" s="160">
        <v>39.644348452123815</v>
      </c>
      <c r="F96" s="157"/>
      <c r="G96" s="157">
        <v>39.644348452123815</v>
      </c>
      <c r="H96" s="157"/>
      <c r="I96" s="262">
        <f t="shared" si="5"/>
        <v>39.644348452123815</v>
      </c>
      <c r="J96" s="265"/>
      <c r="K96" s="609"/>
      <c r="L96" s="68">
        <v>2016</v>
      </c>
      <c r="M96" s="76"/>
      <c r="N96" s="93" t="s">
        <v>78</v>
      </c>
      <c r="Q96" s="55"/>
      <c r="R96" s="55"/>
      <c r="S96" s="55"/>
      <c r="T96" s="55"/>
      <c r="U96" s="55"/>
      <c r="V96" s="55"/>
    </row>
    <row r="97" spans="2:22" s="96" customFormat="1" ht="13.5" hidden="1" customHeight="1">
      <c r="B97" s="120">
        <v>2016</v>
      </c>
      <c r="C97" s="121"/>
      <c r="D97" s="12" t="s">
        <v>4</v>
      </c>
      <c r="E97" s="160">
        <v>41.995567540759993</v>
      </c>
      <c r="F97" s="157"/>
      <c r="G97" s="157">
        <v>45.587899543378995</v>
      </c>
      <c r="H97" s="157"/>
      <c r="I97" s="262">
        <f t="shared" si="5"/>
        <v>43.791733542069494</v>
      </c>
      <c r="J97" s="265"/>
      <c r="K97" s="12"/>
      <c r="L97" s="68">
        <v>2016</v>
      </c>
      <c r="M97" s="76"/>
      <c r="N97" s="93" t="s">
        <v>79</v>
      </c>
      <c r="Q97" s="55"/>
      <c r="R97" s="55"/>
      <c r="S97" s="55"/>
      <c r="T97" s="55"/>
      <c r="U97" s="55"/>
      <c r="V97" s="55"/>
    </row>
    <row r="98" spans="2:22" s="96" customFormat="1" ht="13.5" hidden="1" customHeight="1">
      <c r="B98" s="120">
        <v>2016</v>
      </c>
      <c r="C98" s="121"/>
      <c r="D98" s="12" t="s">
        <v>30</v>
      </c>
      <c r="E98" s="160">
        <v>37.412428725535506</v>
      </c>
      <c r="F98" s="157"/>
      <c r="G98" s="157">
        <v>42.106105610561052</v>
      </c>
      <c r="H98" s="157"/>
      <c r="I98" s="262">
        <f t="shared" si="5"/>
        <v>39.759267168048282</v>
      </c>
      <c r="J98" s="265"/>
      <c r="K98" s="12"/>
      <c r="L98" s="68">
        <v>2016</v>
      </c>
      <c r="M98" s="76"/>
      <c r="N98" s="93" t="s">
        <v>80</v>
      </c>
      <c r="Q98" s="55"/>
      <c r="R98" s="55"/>
      <c r="S98" s="55"/>
      <c r="T98" s="55"/>
      <c r="U98" s="55"/>
      <c r="V98" s="55"/>
    </row>
    <row r="99" spans="2:22" s="96" customFormat="1" ht="13.5" hidden="1" customHeight="1">
      <c r="B99" s="120">
        <v>2016</v>
      </c>
      <c r="C99" s="121"/>
      <c r="D99" s="12" t="s">
        <v>36</v>
      </c>
      <c r="E99" s="160">
        <v>35.526892946165482</v>
      </c>
      <c r="F99" s="157"/>
      <c r="G99" s="157">
        <v>42.401234567901227</v>
      </c>
      <c r="H99" s="157"/>
      <c r="I99" s="262">
        <f t="shared" si="5"/>
        <v>38.964063757033358</v>
      </c>
      <c r="J99" s="265"/>
      <c r="K99" s="12"/>
      <c r="L99" s="68">
        <v>2016</v>
      </c>
      <c r="M99" s="76"/>
      <c r="N99" s="93" t="s">
        <v>81</v>
      </c>
      <c r="Q99" s="55"/>
      <c r="R99" s="55"/>
      <c r="S99" s="55"/>
      <c r="T99" s="55"/>
      <c r="U99" s="55"/>
      <c r="V99" s="55"/>
    </row>
    <row r="100" spans="2:22" s="96" customFormat="1" ht="13.5" hidden="1" customHeight="1">
      <c r="B100" s="120">
        <v>2016</v>
      </c>
      <c r="C100" s="121"/>
      <c r="D100" s="12" t="s">
        <v>37</v>
      </c>
      <c r="E100" s="160">
        <v>40.716629464285646</v>
      </c>
      <c r="F100" s="157"/>
      <c r="G100" s="157">
        <v>43.456829646876216</v>
      </c>
      <c r="H100" s="157"/>
      <c r="I100" s="262">
        <f t="shared" si="5"/>
        <v>42.086729555580931</v>
      </c>
      <c r="J100" s="265"/>
      <c r="K100" s="263"/>
      <c r="L100" s="68">
        <v>2016</v>
      </c>
      <c r="M100" s="76"/>
      <c r="N100" s="93" t="str">
        <f>N88</f>
        <v>Aoû</v>
      </c>
      <c r="Q100" s="55"/>
      <c r="R100" s="55"/>
      <c r="S100" s="55"/>
      <c r="T100" s="55"/>
      <c r="U100" s="55"/>
      <c r="V100" s="55"/>
    </row>
    <row r="101" spans="2:22" s="96" customFormat="1" ht="13.5" hidden="1" customHeight="1">
      <c r="B101" s="120">
        <v>2016</v>
      </c>
      <c r="C101" s="121"/>
      <c r="D101" s="12" t="s">
        <v>31</v>
      </c>
      <c r="E101" s="160">
        <v>37.906857896472168</v>
      </c>
      <c r="F101" s="157"/>
      <c r="G101" s="157">
        <v>40.449970913321678</v>
      </c>
      <c r="H101" s="157"/>
      <c r="I101" s="262">
        <f t="shared" si="5"/>
        <v>39.178414404896927</v>
      </c>
      <c r="J101" s="265"/>
      <c r="K101" s="264"/>
      <c r="L101" s="68">
        <v>2016</v>
      </c>
      <c r="M101" s="76"/>
      <c r="N101" s="93" t="str">
        <f>N89</f>
        <v>Sep</v>
      </c>
      <c r="Q101" s="55"/>
      <c r="R101" s="55"/>
      <c r="S101" s="55"/>
      <c r="T101" s="55"/>
      <c r="U101" s="55"/>
      <c r="V101" s="55"/>
    </row>
    <row r="102" spans="2:22" s="96" customFormat="1" ht="13.5" hidden="1" customHeight="1">
      <c r="B102" s="120">
        <v>2016</v>
      </c>
      <c r="C102" s="121"/>
      <c r="D102" s="12" t="s">
        <v>38</v>
      </c>
      <c r="E102" s="160">
        <v>39.0450178975819</v>
      </c>
      <c r="F102" s="157"/>
      <c r="G102" s="157">
        <v>43.507747933884303</v>
      </c>
      <c r="H102" s="157"/>
      <c r="I102" s="262">
        <f t="shared" si="5"/>
        <v>41.276382915733102</v>
      </c>
      <c r="J102" s="265"/>
      <c r="K102" s="263"/>
      <c r="L102" s="68">
        <v>2016</v>
      </c>
      <c r="M102" s="76"/>
      <c r="N102" s="93" t="s">
        <v>38</v>
      </c>
      <c r="Q102" s="55"/>
      <c r="R102" s="55"/>
      <c r="S102" s="55"/>
      <c r="T102" s="55"/>
      <c r="U102" s="55"/>
      <c r="V102" s="55"/>
    </row>
    <row r="103" spans="2:22" s="96" customFormat="1" ht="13.5" hidden="1" customHeight="1">
      <c r="B103" s="120">
        <v>2016</v>
      </c>
      <c r="C103" s="121"/>
      <c r="D103" s="12" t="s">
        <v>39</v>
      </c>
      <c r="E103" s="160">
        <v>39.82327178030291</v>
      </c>
      <c r="F103" s="157"/>
      <c r="G103" s="157">
        <v>42.083687190375088</v>
      </c>
      <c r="H103" s="157"/>
      <c r="I103" s="262">
        <f t="shared" si="5"/>
        <v>40.953479485339003</v>
      </c>
      <c r="J103" s="265"/>
      <c r="K103" s="264"/>
      <c r="L103" s="68">
        <v>2016</v>
      </c>
      <c r="M103" s="76"/>
      <c r="N103" s="93" t="s">
        <v>39</v>
      </c>
      <c r="Q103" s="55"/>
      <c r="R103" s="55"/>
      <c r="S103" s="55"/>
      <c r="T103" s="55"/>
      <c r="U103" s="55"/>
      <c r="V103" s="55"/>
    </row>
    <row r="104" spans="2:22" s="96" customFormat="1" ht="13.5" hidden="1" customHeight="1">
      <c r="B104" s="120">
        <v>2016</v>
      </c>
      <c r="C104" s="121"/>
      <c r="D104" s="12" t="s">
        <v>32</v>
      </c>
      <c r="E104" s="160">
        <v>36.259327816492579</v>
      </c>
      <c r="F104" s="157"/>
      <c r="G104" s="157">
        <v>44.296755162241858</v>
      </c>
      <c r="H104" s="157"/>
      <c r="I104" s="262">
        <f t="shared" si="5"/>
        <v>40.278041489367219</v>
      </c>
      <c r="J104" s="265"/>
      <c r="K104" s="357"/>
      <c r="L104" s="68">
        <v>2016</v>
      </c>
      <c r="M104" s="76"/>
      <c r="N104" s="93" t="s">
        <v>32</v>
      </c>
      <c r="Q104" s="55"/>
      <c r="R104" s="55"/>
      <c r="S104" s="55"/>
      <c r="T104" s="55"/>
      <c r="U104" s="55"/>
      <c r="V104" s="55"/>
    </row>
    <row r="105" spans="2:22" s="96" customFormat="1" ht="13.5" customHeight="1">
      <c r="B105" s="120">
        <v>2017</v>
      </c>
      <c r="C105" s="121"/>
      <c r="D105" s="12" t="s">
        <v>33</v>
      </c>
      <c r="E105" s="160">
        <v>34.16851895409453</v>
      </c>
      <c r="F105" s="157"/>
      <c r="G105" s="157">
        <v>40.281938325991206</v>
      </c>
      <c r="H105" s="157"/>
      <c r="I105" s="262">
        <f t="shared" si="5"/>
        <v>37.225228640042872</v>
      </c>
      <c r="J105" s="265"/>
      <c r="K105" s="357"/>
      <c r="L105" s="68">
        <v>2017</v>
      </c>
      <c r="M105" s="76"/>
      <c r="N105" s="93" t="s">
        <v>33</v>
      </c>
      <c r="Q105" s="55"/>
      <c r="R105" s="55"/>
      <c r="S105" s="55"/>
      <c r="T105" s="55"/>
      <c r="U105" s="55"/>
      <c r="V105" s="55"/>
    </row>
    <row r="106" spans="2:22" s="96" customFormat="1" ht="13.9" hidden="1" customHeight="1">
      <c r="B106" s="120">
        <v>2017</v>
      </c>
      <c r="C106" s="121"/>
      <c r="D106" s="12" t="s">
        <v>34</v>
      </c>
      <c r="E106" s="160">
        <v>39.125997110734211</v>
      </c>
      <c r="F106" s="157"/>
      <c r="G106" s="157">
        <v>46.150440044004384</v>
      </c>
      <c r="H106" s="157"/>
      <c r="I106" s="262">
        <f t="shared" si="5"/>
        <v>42.638218577369301</v>
      </c>
      <c r="J106" s="265"/>
      <c r="K106" s="357"/>
      <c r="L106" s="68">
        <v>2017</v>
      </c>
      <c r="M106" s="76"/>
      <c r="N106" s="93" t="s">
        <v>77</v>
      </c>
      <c r="Q106" s="55"/>
      <c r="R106" s="55"/>
      <c r="S106" s="55"/>
      <c r="T106" s="55"/>
      <c r="U106" s="55"/>
      <c r="V106" s="55"/>
    </row>
    <row r="107" spans="2:22" s="96" customFormat="1" ht="13.5" hidden="1" customHeight="1">
      <c r="B107" s="120">
        <v>2017</v>
      </c>
      <c r="C107" s="121"/>
      <c r="D107" s="12" t="s">
        <v>29</v>
      </c>
      <c r="E107" s="160">
        <v>42.016358580075135</v>
      </c>
      <c r="F107" s="157"/>
      <c r="G107" s="157">
        <v>43.245198902606298</v>
      </c>
      <c r="H107" s="157"/>
      <c r="I107" s="262">
        <f t="shared" si="5"/>
        <v>42.63077874134072</v>
      </c>
      <c r="J107" s="265"/>
      <c r="K107" s="618"/>
      <c r="L107" s="68">
        <v>2017</v>
      </c>
      <c r="M107" s="76"/>
      <c r="N107" s="93" t="s">
        <v>65</v>
      </c>
      <c r="Q107" s="55"/>
      <c r="R107" s="55"/>
      <c r="S107" s="55"/>
      <c r="T107" s="55"/>
      <c r="U107" s="55"/>
      <c r="V107" s="55"/>
    </row>
    <row r="108" spans="2:22" s="96" customFormat="1" ht="13.5" hidden="1" customHeight="1">
      <c r="B108" s="120">
        <v>2017</v>
      </c>
      <c r="C108" s="121"/>
      <c r="D108" s="12" t="s">
        <v>35</v>
      </c>
      <c r="E108" s="160">
        <v>38.150508607198873</v>
      </c>
      <c r="F108" s="157"/>
      <c r="G108" s="157">
        <v>43.474497991967894</v>
      </c>
      <c r="H108" s="157"/>
      <c r="I108" s="262">
        <f>SUM(E108:G108)/2</f>
        <v>40.812503299583383</v>
      </c>
      <c r="J108" s="265"/>
      <c r="K108" s="263"/>
      <c r="L108" s="68">
        <v>2017</v>
      </c>
      <c r="M108" s="76"/>
      <c r="N108" s="93" t="s">
        <v>78</v>
      </c>
      <c r="Q108" s="55"/>
      <c r="R108" s="55"/>
      <c r="S108" s="55"/>
      <c r="T108" s="55"/>
      <c r="U108" s="55"/>
      <c r="V108" s="55"/>
    </row>
    <row r="109" spans="2:22" s="96" customFormat="1" ht="13.5" hidden="1" customHeight="1">
      <c r="B109" s="120">
        <v>2017</v>
      </c>
      <c r="C109" s="121"/>
      <c r="D109" s="12" t="s">
        <v>4</v>
      </c>
      <c r="E109" s="160">
        <v>41.45470533254624</v>
      </c>
      <c r="F109" s="157"/>
      <c r="G109" s="157">
        <v>44.38668320926385</v>
      </c>
      <c r="H109" s="157"/>
      <c r="I109" s="262">
        <f>SUM(E109:G109)/2</f>
        <v>42.920694270905045</v>
      </c>
      <c r="J109" s="265"/>
      <c r="K109" s="263"/>
      <c r="L109" s="68">
        <v>2017</v>
      </c>
      <c r="M109" s="76"/>
      <c r="N109" s="93" t="s">
        <v>79</v>
      </c>
      <c r="Q109" s="55"/>
      <c r="R109" s="55"/>
      <c r="S109" s="55"/>
      <c r="T109" s="55"/>
      <c r="U109" s="55"/>
      <c r="V109" s="55"/>
    </row>
    <row r="110" spans="2:22" s="96" customFormat="1" ht="13.5" hidden="1" customHeight="1">
      <c r="B110" s="120">
        <v>2017</v>
      </c>
      <c r="C110" s="121"/>
      <c r="D110" s="12" t="s">
        <v>30</v>
      </c>
      <c r="E110" s="160">
        <v>39.213171625222124</v>
      </c>
      <c r="F110" s="157"/>
      <c r="G110" s="157">
        <v>38.195630081300791</v>
      </c>
      <c r="H110" s="157"/>
      <c r="I110" s="262">
        <f>SUM(E110:G110)/2</f>
        <v>38.704400853261461</v>
      </c>
      <c r="J110" s="265"/>
      <c r="K110" s="263"/>
      <c r="L110" s="68">
        <v>2017</v>
      </c>
      <c r="M110" s="76"/>
      <c r="N110" s="93" t="s">
        <v>80</v>
      </c>
      <c r="Q110" s="55"/>
      <c r="R110" s="55"/>
      <c r="S110" s="55"/>
      <c r="T110" s="55"/>
      <c r="U110" s="55"/>
      <c r="V110" s="55"/>
    </row>
    <row r="111" spans="2:22" s="96" customFormat="1" ht="13.5" hidden="1" customHeight="1">
      <c r="B111" s="120">
        <v>2017</v>
      </c>
      <c r="C111" s="121"/>
      <c r="D111" s="12" t="s">
        <v>36</v>
      </c>
      <c r="E111" s="160">
        <v>37.846094545236781</v>
      </c>
      <c r="F111" s="157"/>
      <c r="G111" s="157">
        <v>40.538545059717741</v>
      </c>
      <c r="H111" s="157"/>
      <c r="I111" s="262">
        <f>SUM(E111:G111)/2</f>
        <v>39.192319802477257</v>
      </c>
      <c r="J111" s="265"/>
      <c r="K111" s="263"/>
      <c r="L111" s="68">
        <v>2017</v>
      </c>
      <c r="M111" s="76"/>
      <c r="N111" s="93" t="s">
        <v>81</v>
      </c>
      <c r="Q111" s="55"/>
      <c r="R111" s="55"/>
      <c r="S111" s="55"/>
      <c r="T111" s="55"/>
      <c r="U111" s="55"/>
      <c r="V111" s="55"/>
    </row>
    <row r="112" spans="2:22" s="96" customFormat="1" ht="13.5" hidden="1" customHeight="1">
      <c r="B112" s="120">
        <v>2017</v>
      </c>
      <c r="C112" s="121"/>
      <c r="D112" s="12" t="s">
        <v>37</v>
      </c>
      <c r="E112" s="160">
        <v>41.602497874149478</v>
      </c>
      <c r="F112" s="157"/>
      <c r="G112" s="157">
        <v>44.070679681851026</v>
      </c>
      <c r="H112" s="157"/>
      <c r="I112" s="262">
        <v>42.836588778000248</v>
      </c>
      <c r="J112" s="265"/>
      <c r="K112" s="263"/>
      <c r="L112" s="68"/>
      <c r="M112" s="76"/>
      <c r="N112" s="93" t="str">
        <f>N100</f>
        <v>Aoû</v>
      </c>
      <c r="Q112" s="55"/>
      <c r="R112" s="55"/>
      <c r="S112" s="55"/>
      <c r="T112" s="55"/>
      <c r="U112" s="55"/>
      <c r="V112" s="55"/>
    </row>
    <row r="113" spans="2:22" s="96" customFormat="1" ht="13.5" hidden="1" customHeight="1">
      <c r="B113" s="120">
        <v>2017</v>
      </c>
      <c r="C113" s="121"/>
      <c r="D113" s="12" t="s">
        <v>31</v>
      </c>
      <c r="E113" s="160">
        <v>35.744403764010478</v>
      </c>
      <c r="F113" s="157"/>
      <c r="G113" s="157">
        <v>43.021084337349379</v>
      </c>
      <c r="H113" s="157"/>
      <c r="I113" s="262">
        <v>39.382744050679932</v>
      </c>
      <c r="J113" s="265"/>
      <c r="K113" s="263"/>
      <c r="L113" s="68">
        <v>2017</v>
      </c>
      <c r="M113" s="76"/>
      <c r="N113" s="93" t="s">
        <v>31</v>
      </c>
      <c r="Q113" s="55"/>
      <c r="R113" s="55"/>
      <c r="S113" s="55"/>
      <c r="T113" s="55"/>
      <c r="U113" s="55"/>
      <c r="V113" s="55"/>
    </row>
    <row r="114" spans="2:22" s="96" customFormat="1" ht="13.5" hidden="1" customHeight="1">
      <c r="B114" s="120">
        <v>2017</v>
      </c>
      <c r="C114" s="121"/>
      <c r="D114" s="12" t="s">
        <v>38</v>
      </c>
      <c r="E114" s="160">
        <v>39.97213174086135</v>
      </c>
      <c r="F114" s="157"/>
      <c r="G114" s="157">
        <v>42.708506944444466</v>
      </c>
      <c r="H114" s="157"/>
      <c r="I114" s="262">
        <v>41.340319342652904</v>
      </c>
      <c r="J114" s="265"/>
      <c r="K114" s="263"/>
      <c r="L114" s="68">
        <v>2017</v>
      </c>
      <c r="M114" s="76"/>
      <c r="N114" s="93" t="s">
        <v>38</v>
      </c>
      <c r="Q114" s="55"/>
      <c r="R114" s="55"/>
      <c r="S114" s="55"/>
      <c r="T114" s="55"/>
      <c r="U114" s="55"/>
      <c r="V114" s="55"/>
    </row>
    <row r="115" spans="2:22" s="96" customFormat="1" ht="13.5" hidden="1" customHeight="1">
      <c r="B115" s="120">
        <v>2017</v>
      </c>
      <c r="C115" s="121"/>
      <c r="D115" s="12" t="s">
        <v>39</v>
      </c>
      <c r="E115" s="160">
        <v>41.605538468360834</v>
      </c>
      <c r="F115" s="157"/>
      <c r="G115" s="157">
        <v>43.419522326064353</v>
      </c>
      <c r="H115" s="157"/>
      <c r="I115" s="262">
        <v>40.734654470102662</v>
      </c>
      <c r="J115" s="265"/>
      <c r="K115" s="263"/>
      <c r="L115" s="68">
        <v>2017</v>
      </c>
      <c r="M115" s="76"/>
      <c r="N115" s="93" t="s">
        <v>39</v>
      </c>
      <c r="Q115" s="55"/>
      <c r="R115" s="55"/>
      <c r="S115" s="55"/>
      <c r="T115" s="55"/>
      <c r="U115" s="55"/>
      <c r="V115" s="55"/>
    </row>
    <row r="116" spans="2:22" s="96" customFormat="1" ht="13.5" hidden="1" customHeight="1">
      <c r="B116" s="120">
        <v>2017</v>
      </c>
      <c r="C116" s="121"/>
      <c r="D116" s="12" t="s">
        <v>32</v>
      </c>
      <c r="E116" s="160">
        <v>36.51170816761794</v>
      </c>
      <c r="F116" s="157"/>
      <c r="G116" s="157">
        <v>38.135242085661126</v>
      </c>
      <c r="H116" s="157"/>
      <c r="I116" s="262">
        <v>37.323475126639536</v>
      </c>
      <c r="J116" s="265"/>
      <c r="K116" s="263"/>
      <c r="L116" s="68">
        <v>2017</v>
      </c>
      <c r="M116" s="76"/>
      <c r="N116" s="93" t="s">
        <v>32</v>
      </c>
      <c r="Q116" s="55"/>
      <c r="R116" s="55"/>
      <c r="S116" s="55"/>
      <c r="T116" s="55"/>
      <c r="U116" s="55"/>
      <c r="V116" s="55"/>
    </row>
    <row r="117" spans="2:22" s="96" customFormat="1" ht="13.5" customHeight="1">
      <c r="B117" s="120">
        <v>2018</v>
      </c>
      <c r="C117" s="121"/>
      <c r="D117" s="12" t="s">
        <v>33</v>
      </c>
      <c r="E117" s="160">
        <v>36.405079250720455</v>
      </c>
      <c r="F117" s="157"/>
      <c r="G117" s="157">
        <v>39.376207729468582</v>
      </c>
      <c r="H117" s="157"/>
      <c r="I117" s="262">
        <v>37.890643490094519</v>
      </c>
      <c r="J117" s="265"/>
      <c r="K117" s="263"/>
      <c r="L117" s="68">
        <v>2018</v>
      </c>
      <c r="M117" s="76"/>
      <c r="N117" s="93" t="s">
        <v>33</v>
      </c>
      <c r="Q117" s="55"/>
      <c r="R117" s="55"/>
      <c r="S117" s="55"/>
      <c r="T117" s="55"/>
      <c r="U117" s="55"/>
      <c r="V117" s="55"/>
    </row>
    <row r="118" spans="2:22" s="96" customFormat="1" ht="13.9" hidden="1" customHeight="1">
      <c r="B118" s="120">
        <v>2018</v>
      </c>
      <c r="C118" s="121"/>
      <c r="D118" s="12" t="s">
        <v>34</v>
      </c>
      <c r="E118" s="160">
        <v>40.062736081458333</v>
      </c>
      <c r="F118" s="157"/>
      <c r="G118" s="157">
        <v>46.056967984934062</v>
      </c>
      <c r="H118" s="157"/>
      <c r="I118" s="262">
        <v>43.059852033196194</v>
      </c>
      <c r="J118" s="265"/>
      <c r="K118" s="263"/>
      <c r="L118" s="68">
        <v>2018</v>
      </c>
      <c r="M118" s="76"/>
      <c r="N118" s="93" t="s">
        <v>77</v>
      </c>
      <c r="Q118" s="55"/>
      <c r="R118" s="55"/>
      <c r="S118" s="55"/>
      <c r="T118" s="55"/>
      <c r="U118" s="55"/>
      <c r="V118" s="55"/>
    </row>
    <row r="119" spans="2:22" s="96" customFormat="1" ht="13.5" hidden="1" customHeight="1">
      <c r="B119" s="120">
        <v>2018</v>
      </c>
      <c r="C119" s="121"/>
      <c r="D119" s="12" t="s">
        <v>29</v>
      </c>
      <c r="E119" s="160">
        <v>40.976993492618462</v>
      </c>
      <c r="F119" s="157"/>
      <c r="G119" s="157">
        <v>43.941798941798943</v>
      </c>
      <c r="H119" s="157"/>
      <c r="I119" s="262">
        <v>42.459396217208706</v>
      </c>
      <c r="J119" s="265"/>
      <c r="K119" s="263"/>
      <c r="L119" s="68">
        <v>2018</v>
      </c>
      <c r="M119" s="76"/>
      <c r="N119" s="93" t="s">
        <v>29</v>
      </c>
      <c r="Q119" s="55"/>
      <c r="R119" s="55"/>
      <c r="S119" s="55"/>
      <c r="T119" s="55"/>
      <c r="U119" s="55"/>
      <c r="V119" s="55"/>
    </row>
    <row r="120" spans="2:22" s="96" customFormat="1" ht="13.5" hidden="1" customHeight="1">
      <c r="B120" s="120">
        <v>2018</v>
      </c>
      <c r="C120" s="121"/>
      <c r="D120" s="12" t="s">
        <v>35</v>
      </c>
      <c r="E120" s="160">
        <v>36.915194024104807</v>
      </c>
      <c r="F120" s="157"/>
      <c r="G120" s="157">
        <v>40.531897926634777</v>
      </c>
      <c r="H120" s="157"/>
      <c r="I120" s="262">
        <f>AVERAGE(E120:G120)</f>
        <v>38.723545975369788</v>
      </c>
      <c r="J120" s="265"/>
      <c r="K120" s="263"/>
      <c r="L120" s="68">
        <v>2018</v>
      </c>
      <c r="M120" s="76"/>
      <c r="N120" s="93" t="s">
        <v>78</v>
      </c>
      <c r="Q120" s="55"/>
      <c r="R120" s="55"/>
      <c r="S120" s="55"/>
      <c r="T120" s="55"/>
      <c r="U120" s="55"/>
      <c r="V120" s="55"/>
    </row>
    <row r="121" spans="2:22" s="96" customFormat="1" ht="13.5" hidden="1" customHeight="1">
      <c r="B121" s="120">
        <v>2018</v>
      </c>
      <c r="C121" s="121"/>
      <c r="D121" s="12" t="s">
        <v>4</v>
      </c>
      <c r="E121" s="160">
        <v>39.328815679733033</v>
      </c>
      <c r="F121" s="157"/>
      <c r="G121" s="157">
        <v>48.144528437725015</v>
      </c>
      <c r="H121" s="157"/>
      <c r="I121" s="262">
        <v>43.736672058729027</v>
      </c>
      <c r="J121" s="265"/>
      <c r="K121" s="263"/>
      <c r="L121" s="68">
        <v>2018</v>
      </c>
      <c r="M121" s="76"/>
      <c r="N121" s="93" t="s">
        <v>79</v>
      </c>
      <c r="Q121" s="55"/>
      <c r="R121" s="55"/>
      <c r="S121" s="55"/>
      <c r="T121" s="55"/>
      <c r="U121" s="55"/>
      <c r="V121" s="55"/>
    </row>
    <row r="122" spans="2:22" s="96" customFormat="1" ht="12.75" hidden="1" customHeight="1">
      <c r="B122" s="120">
        <v>2018</v>
      </c>
      <c r="C122" s="121"/>
      <c r="D122" s="12" t="s">
        <v>30</v>
      </c>
      <c r="E122" s="160">
        <v>39.79975771862614</v>
      </c>
      <c r="F122" s="157"/>
      <c r="G122" s="157">
        <v>43.11849957374254</v>
      </c>
      <c r="H122" s="157"/>
      <c r="I122" s="262">
        <v>41.45912864618434</v>
      </c>
      <c r="J122" s="265"/>
      <c r="K122" s="263"/>
      <c r="L122" s="68">
        <v>2018</v>
      </c>
      <c r="M122" s="76"/>
      <c r="N122" s="93" t="s">
        <v>80</v>
      </c>
      <c r="P122" s="96" t="s">
        <v>41</v>
      </c>
      <c r="Q122" s="55"/>
      <c r="R122" s="55"/>
      <c r="S122" s="55"/>
      <c r="T122" s="55"/>
      <c r="U122" s="55"/>
      <c r="V122" s="55"/>
    </row>
    <row r="123" spans="2:22" s="96" customFormat="1" ht="13.5" hidden="1" customHeight="1">
      <c r="B123" s="120">
        <v>2018</v>
      </c>
      <c r="C123" s="121"/>
      <c r="D123" s="12" t="s">
        <v>36</v>
      </c>
      <c r="E123" s="160">
        <v>38.371433596498221</v>
      </c>
      <c r="F123" s="157"/>
      <c r="G123" s="157">
        <v>40.596547314577961</v>
      </c>
      <c r="H123" s="157"/>
      <c r="I123" s="262">
        <v>39.483990455538091</v>
      </c>
      <c r="J123" s="265"/>
      <c r="K123" s="263"/>
      <c r="L123" s="68">
        <v>2018</v>
      </c>
      <c r="M123" s="76"/>
      <c r="N123" s="93" t="s">
        <v>81</v>
      </c>
      <c r="Q123" s="55"/>
      <c r="R123" s="55"/>
      <c r="S123" s="55"/>
      <c r="T123" s="55"/>
      <c r="U123" s="55"/>
      <c r="V123" s="55"/>
    </row>
    <row r="124" spans="2:22" s="96" customFormat="1" ht="12" hidden="1" customHeight="1">
      <c r="B124" s="120">
        <v>2018</v>
      </c>
      <c r="C124" s="121"/>
      <c r="D124" s="12" t="s">
        <v>271</v>
      </c>
      <c r="E124" s="160">
        <v>39.528989310009457</v>
      </c>
      <c r="F124" s="157"/>
      <c r="G124" s="157">
        <v>46.102015113350134</v>
      </c>
      <c r="H124" s="157"/>
      <c r="I124" s="262">
        <v>42.815502211679799</v>
      </c>
      <c r="J124" s="265"/>
      <c r="K124" s="263"/>
      <c r="L124" s="68"/>
      <c r="M124" s="76"/>
      <c r="N124" s="93" t="str">
        <f>N112</f>
        <v>Aoû</v>
      </c>
      <c r="Q124" s="55"/>
      <c r="R124" s="55"/>
      <c r="S124" s="55"/>
      <c r="T124" s="55"/>
      <c r="U124" s="55"/>
      <c r="V124" s="55"/>
    </row>
    <row r="125" spans="2:22" s="96" customFormat="1" ht="12" hidden="1" customHeight="1">
      <c r="B125" s="120">
        <v>2018</v>
      </c>
      <c r="C125" s="121"/>
      <c r="D125" s="12" t="s">
        <v>31</v>
      </c>
      <c r="E125" s="160">
        <v>39.188181270701556</v>
      </c>
      <c r="F125" s="157"/>
      <c r="G125" s="157">
        <v>42.662687265917597</v>
      </c>
      <c r="H125" s="157"/>
      <c r="I125" s="262">
        <v>40.925434268309573</v>
      </c>
      <c r="J125" s="265"/>
      <c r="K125" s="263"/>
      <c r="L125" s="68"/>
      <c r="M125" s="76"/>
      <c r="N125" s="93" t="s">
        <v>31</v>
      </c>
      <c r="Q125" s="55"/>
      <c r="R125" s="55"/>
      <c r="S125" s="55"/>
      <c r="T125" s="55"/>
      <c r="U125" s="55"/>
      <c r="V125" s="55"/>
    </row>
    <row r="126" spans="2:22" s="96" customFormat="1" ht="12" hidden="1" customHeight="1">
      <c r="B126" s="120">
        <v>2018</v>
      </c>
      <c r="C126" s="121"/>
      <c r="D126" s="12" t="s">
        <v>38</v>
      </c>
      <c r="E126" s="160">
        <v>39.577644791561063</v>
      </c>
      <c r="F126" s="157"/>
      <c r="G126" s="157">
        <v>44.626998769987715</v>
      </c>
      <c r="H126" s="157"/>
      <c r="I126" s="262">
        <v>42.102321780774389</v>
      </c>
      <c r="J126" s="265"/>
      <c r="K126" s="263"/>
      <c r="L126" s="68"/>
      <c r="M126" s="76"/>
      <c r="N126" s="93" t="s">
        <v>38</v>
      </c>
      <c r="Q126" s="55"/>
      <c r="R126" s="55"/>
      <c r="S126" s="55"/>
      <c r="T126" s="55"/>
      <c r="U126" s="55"/>
      <c r="V126" s="55"/>
    </row>
    <row r="127" spans="2:22" s="96" customFormat="1" ht="12" hidden="1" customHeight="1">
      <c r="B127" s="120">
        <v>2018</v>
      </c>
      <c r="C127" s="121"/>
      <c r="D127" s="12" t="s">
        <v>39</v>
      </c>
      <c r="E127" s="160">
        <v>40.480565068493206</v>
      </c>
      <c r="F127" s="157"/>
      <c r="G127" s="157">
        <v>44.716255868544557</v>
      </c>
      <c r="H127" s="157"/>
      <c r="I127" s="262">
        <v>42.598410468518878</v>
      </c>
      <c r="J127" s="265"/>
      <c r="K127" s="263"/>
      <c r="L127" s="68">
        <v>2018</v>
      </c>
      <c r="M127" s="76"/>
      <c r="N127" s="93" t="s">
        <v>39</v>
      </c>
      <c r="Q127" s="55"/>
      <c r="R127" s="55"/>
      <c r="S127" s="55"/>
      <c r="T127" s="55"/>
      <c r="U127" s="55"/>
      <c r="V127" s="55"/>
    </row>
    <row r="128" spans="2:22" s="96" customFormat="1" ht="12" hidden="1" customHeight="1">
      <c r="B128" s="120">
        <v>2018</v>
      </c>
      <c r="C128" s="121"/>
      <c r="D128" s="12" t="s">
        <v>32</v>
      </c>
      <c r="E128" s="160">
        <v>36.003407268840192</v>
      </c>
      <c r="F128" s="157"/>
      <c r="G128" s="157">
        <v>38.772941970310413</v>
      </c>
      <c r="H128" s="157"/>
      <c r="I128" s="262">
        <v>37.388174619575302</v>
      </c>
      <c r="J128" s="265"/>
      <c r="K128" s="263"/>
      <c r="L128" s="68"/>
      <c r="M128" s="76"/>
      <c r="N128" s="93" t="s">
        <v>32</v>
      </c>
      <c r="Q128" s="55"/>
      <c r="R128" s="55"/>
      <c r="S128" s="55"/>
      <c r="T128" s="55"/>
      <c r="U128" s="55"/>
      <c r="V128" s="55"/>
    </row>
    <row r="129" spans="2:22" s="96" customFormat="1" ht="12" customHeight="1">
      <c r="B129" s="120">
        <v>2019</v>
      </c>
      <c r="C129" s="121"/>
      <c r="D129" s="12" t="s">
        <v>295</v>
      </c>
      <c r="E129" s="160">
        <v>35.084787605346044</v>
      </c>
      <c r="F129" s="157"/>
      <c r="G129" s="157">
        <v>37.694901315789494</v>
      </c>
      <c r="H129" s="157"/>
      <c r="I129" s="262">
        <v>36.389844460567772</v>
      </c>
      <c r="J129" s="265"/>
      <c r="K129" s="263"/>
      <c r="L129" s="68">
        <v>2019</v>
      </c>
      <c r="M129" s="76"/>
      <c r="N129" s="93" t="s">
        <v>295</v>
      </c>
      <c r="Q129" s="55"/>
      <c r="R129" s="55"/>
      <c r="S129" s="55"/>
      <c r="T129" s="55"/>
      <c r="U129" s="55"/>
      <c r="V129" s="55"/>
    </row>
    <row r="130" spans="2:22" s="96" customFormat="1" ht="12" hidden="1" customHeight="1">
      <c r="B130" s="120">
        <v>2019</v>
      </c>
      <c r="C130" s="121"/>
      <c r="D130" s="12" t="s">
        <v>296</v>
      </c>
      <c r="E130" s="160">
        <v>39.874739551415615</v>
      </c>
      <c r="F130" s="157"/>
      <c r="G130" s="157">
        <v>44.335877862595417</v>
      </c>
      <c r="H130" s="157"/>
      <c r="I130" s="262">
        <v>42.10530870700552</v>
      </c>
      <c r="J130" s="265"/>
      <c r="K130" s="263"/>
      <c r="L130" s="68">
        <v>2019</v>
      </c>
      <c r="M130" s="76"/>
      <c r="N130" s="93" t="s">
        <v>298</v>
      </c>
      <c r="Q130" s="55"/>
      <c r="R130" s="55"/>
      <c r="S130" s="55"/>
      <c r="T130" s="55"/>
      <c r="U130" s="55"/>
      <c r="V130" s="55"/>
    </row>
    <row r="131" spans="2:22" s="96" customFormat="1" ht="12" hidden="1" customHeight="1">
      <c r="B131" s="120">
        <v>2019</v>
      </c>
      <c r="C131" s="121"/>
      <c r="D131" s="12" t="s">
        <v>297</v>
      </c>
      <c r="E131" s="160">
        <v>42.100594168854499</v>
      </c>
      <c r="F131" s="157"/>
      <c r="G131" s="157">
        <v>44.375</v>
      </c>
      <c r="H131" s="157"/>
      <c r="I131" s="262">
        <f>AVERAGE(E131:G131)</f>
        <v>43.23779708442725</v>
      </c>
      <c r="J131" s="265"/>
      <c r="K131" s="263"/>
      <c r="L131" s="68">
        <v>2019</v>
      </c>
      <c r="M131" s="76"/>
      <c r="N131" s="93" t="s">
        <v>297</v>
      </c>
      <c r="Q131" s="55"/>
      <c r="R131" s="55"/>
      <c r="S131" s="55"/>
      <c r="T131" s="55"/>
      <c r="U131" s="55"/>
      <c r="V131" s="55"/>
    </row>
    <row r="132" spans="2:22" s="96" customFormat="1" ht="12" hidden="1" customHeight="1">
      <c r="B132" s="120">
        <v>2019</v>
      </c>
      <c r="C132" s="121"/>
      <c r="D132" s="12" t="s">
        <v>300</v>
      </c>
      <c r="E132" s="160">
        <v>36.907277583041228</v>
      </c>
      <c r="F132" s="157"/>
      <c r="G132" s="157">
        <v>37.148936170212764</v>
      </c>
      <c r="H132" s="157"/>
      <c r="I132" s="262">
        <v>37.028106876626993</v>
      </c>
      <c r="J132" s="265"/>
      <c r="K132" s="263"/>
      <c r="L132" s="68">
        <v>2019</v>
      </c>
      <c r="M132" s="76"/>
      <c r="N132" s="93" t="s">
        <v>301</v>
      </c>
      <c r="Q132" s="55"/>
      <c r="R132" s="55"/>
      <c r="S132" s="55"/>
      <c r="T132" s="55"/>
      <c r="U132" s="55"/>
      <c r="V132" s="55"/>
    </row>
    <row r="133" spans="2:22" s="96" customFormat="1" ht="12" hidden="1" customHeight="1">
      <c r="B133" s="120">
        <v>2019</v>
      </c>
      <c r="C133" s="121"/>
      <c r="D133" s="12" t="s">
        <v>302</v>
      </c>
      <c r="E133" s="160">
        <v>41.276679841897234</v>
      </c>
      <c r="F133" s="157"/>
      <c r="G133" s="157">
        <v>44.538194444444443</v>
      </c>
      <c r="H133" s="157"/>
      <c r="I133" s="262">
        <v>42.907437143170839</v>
      </c>
      <c r="J133" s="265"/>
      <c r="K133" s="263"/>
      <c r="L133" s="68">
        <v>2019</v>
      </c>
      <c r="M133" s="76"/>
      <c r="N133" s="93" t="s">
        <v>303</v>
      </c>
      <c r="Q133" s="55"/>
      <c r="R133" s="55"/>
      <c r="S133" s="55"/>
      <c r="T133" s="55"/>
      <c r="U133" s="55"/>
      <c r="V133" s="55"/>
    </row>
    <row r="134" spans="2:22" s="96" customFormat="1" ht="12" hidden="1" customHeight="1">
      <c r="B134" s="120">
        <v>2019</v>
      </c>
      <c r="C134" s="121"/>
      <c r="D134" s="12" t="s">
        <v>310</v>
      </c>
      <c r="E134" s="160">
        <v>38.641311671782589</v>
      </c>
      <c r="F134" s="157"/>
      <c r="G134" s="157">
        <v>41.65292096219931</v>
      </c>
      <c r="H134" s="157"/>
      <c r="I134" s="262">
        <v>40.147116316990946</v>
      </c>
      <c r="J134" s="265"/>
      <c r="K134" s="263"/>
      <c r="L134" s="68">
        <v>2019</v>
      </c>
      <c r="M134" s="76"/>
      <c r="N134" s="93" t="s">
        <v>311</v>
      </c>
      <c r="Q134" s="55"/>
      <c r="R134" s="55"/>
      <c r="S134" s="55"/>
      <c r="T134" s="55"/>
      <c r="U134" s="55"/>
      <c r="V134" s="55"/>
    </row>
    <row r="135" spans="2:22" s="96" customFormat="1" ht="12" hidden="1" customHeight="1">
      <c r="B135" s="120">
        <v>2019</v>
      </c>
      <c r="C135" s="121"/>
      <c r="D135" s="12" t="s">
        <v>314</v>
      </c>
      <c r="E135" s="160">
        <v>38.778697933748774</v>
      </c>
      <c r="F135" s="157"/>
      <c r="G135" s="157">
        <v>42.64691943127962</v>
      </c>
      <c r="H135" s="157"/>
      <c r="I135" s="262">
        <f>AVERAGE(E135:G135)</f>
        <v>40.712808682514193</v>
      </c>
      <c r="J135" s="265"/>
      <c r="K135" s="263"/>
      <c r="L135" s="68">
        <v>2019</v>
      </c>
      <c r="M135" s="76"/>
      <c r="N135" s="93" t="s">
        <v>315</v>
      </c>
      <c r="Q135" s="55"/>
      <c r="R135" s="55"/>
      <c r="S135" s="55"/>
      <c r="T135" s="55"/>
      <c r="U135" s="55"/>
      <c r="V135" s="55"/>
    </row>
    <row r="136" spans="2:22" s="96" customFormat="1" ht="12" hidden="1" customHeight="1">
      <c r="B136" s="120">
        <v>2019</v>
      </c>
      <c r="C136" s="121"/>
      <c r="D136" s="12" t="s">
        <v>317</v>
      </c>
      <c r="E136" s="160">
        <v>41.323803191489361</v>
      </c>
      <c r="F136" s="157"/>
      <c r="G136" s="157">
        <v>44.530864197530867</v>
      </c>
      <c r="H136" s="157"/>
      <c r="I136" s="262">
        <v>42.927333694510111</v>
      </c>
      <c r="J136" s="265"/>
      <c r="K136" s="263"/>
      <c r="L136" s="68"/>
      <c r="M136" s="76"/>
      <c r="N136" s="93" t="s">
        <v>318</v>
      </c>
      <c r="Q136" s="55"/>
      <c r="R136" s="55"/>
      <c r="S136" s="55"/>
      <c r="T136" s="55"/>
      <c r="U136" s="55"/>
      <c r="V136" s="55"/>
    </row>
    <row r="137" spans="2:22" s="96" customFormat="1" ht="12" hidden="1" customHeight="1">
      <c r="B137" s="120">
        <v>2019</v>
      </c>
      <c r="C137" s="121"/>
      <c r="D137" s="12" t="s">
        <v>326</v>
      </c>
      <c r="E137" s="160">
        <v>38.575860863485403</v>
      </c>
      <c r="F137" s="157"/>
      <c r="G137" s="157">
        <v>43.058139534883722</v>
      </c>
      <c r="H137" s="157"/>
      <c r="I137" s="262">
        <f>AVERAGE(E137:G137)</f>
        <v>40.817000199184562</v>
      </c>
      <c r="J137" s="265"/>
      <c r="K137" s="263"/>
      <c r="L137" s="68"/>
      <c r="M137" s="76"/>
      <c r="N137" s="93" t="s">
        <v>326</v>
      </c>
      <c r="Q137" s="55"/>
      <c r="R137" s="55"/>
      <c r="S137" s="55"/>
      <c r="T137" s="55"/>
      <c r="U137" s="55"/>
      <c r="V137" s="55"/>
    </row>
    <row r="138" spans="2:22" s="96" customFormat="1" ht="12" hidden="1" customHeight="1">
      <c r="B138" s="120">
        <v>2019</v>
      </c>
      <c r="C138" s="121"/>
      <c r="D138" s="12" t="s">
        <v>330</v>
      </c>
      <c r="E138" s="160">
        <v>39.33339672879422</v>
      </c>
      <c r="F138" s="157"/>
      <c r="G138" s="157">
        <v>43.714285714285715</v>
      </c>
      <c r="H138" s="157"/>
      <c r="I138" s="262">
        <f>AVERAGE(E138:G138)</f>
        <v>41.523841221539968</v>
      </c>
      <c r="J138" s="265"/>
      <c r="K138" s="263"/>
      <c r="L138" s="68"/>
      <c r="M138" s="76"/>
      <c r="N138" s="93" t="s">
        <v>330</v>
      </c>
      <c r="Q138" s="55"/>
      <c r="R138" s="55"/>
      <c r="S138" s="55"/>
      <c r="T138" s="55"/>
      <c r="U138" s="55"/>
      <c r="V138" s="55"/>
    </row>
    <row r="139" spans="2:22" s="96" customFormat="1" ht="12" hidden="1" customHeight="1">
      <c r="B139" s="120">
        <v>2019</v>
      </c>
      <c r="C139" s="121"/>
      <c r="D139" s="12" t="s">
        <v>331</v>
      </c>
      <c r="E139" s="160">
        <v>41.143148547637473</v>
      </c>
      <c r="F139" s="157"/>
      <c r="G139" s="157">
        <v>46.577819877586677</v>
      </c>
      <c r="H139" s="157"/>
      <c r="I139" s="262">
        <v>43.860484212612079</v>
      </c>
      <c r="J139" s="265"/>
      <c r="K139" s="263"/>
      <c r="L139" s="68">
        <v>2019</v>
      </c>
      <c r="M139" s="76"/>
      <c r="N139" s="93" t="s">
        <v>331</v>
      </c>
      <c r="Q139" s="55"/>
      <c r="R139" s="55"/>
      <c r="S139" s="55"/>
      <c r="T139" s="55"/>
      <c r="U139" s="55"/>
      <c r="V139" s="55"/>
    </row>
    <row r="140" spans="2:22" s="96" customFormat="1" ht="12" hidden="1" customHeight="1">
      <c r="B140" s="120">
        <v>2019</v>
      </c>
      <c r="C140" s="121"/>
      <c r="D140" s="12" t="s">
        <v>333</v>
      </c>
      <c r="E140" s="160">
        <v>36.160873882820255</v>
      </c>
      <c r="F140" s="157"/>
      <c r="G140" s="157">
        <v>39.387909319899244</v>
      </c>
      <c r="H140" s="157"/>
      <c r="I140" s="262">
        <v>37.774391601359753</v>
      </c>
      <c r="J140" s="265"/>
      <c r="K140" s="263"/>
      <c r="L140" s="68">
        <v>2019</v>
      </c>
      <c r="M140" s="76"/>
      <c r="N140" s="71" t="s">
        <v>339</v>
      </c>
      <c r="Q140" s="55"/>
      <c r="R140" s="55"/>
      <c r="S140" s="55"/>
      <c r="T140" s="55"/>
      <c r="U140" s="55"/>
      <c r="V140" s="55"/>
    </row>
    <row r="141" spans="2:22" s="96" customFormat="1" ht="12" customHeight="1">
      <c r="B141" s="120">
        <v>2020</v>
      </c>
      <c r="C141" s="121"/>
      <c r="D141" s="12" t="s">
        <v>295</v>
      </c>
      <c r="E141" s="160">
        <v>35.4</v>
      </c>
      <c r="F141" s="157"/>
      <c r="G141" s="157">
        <v>37.1</v>
      </c>
      <c r="H141" s="157"/>
      <c r="I141" s="262">
        <v>36.25</v>
      </c>
      <c r="J141" s="265"/>
      <c r="K141" s="264"/>
      <c r="L141" s="120">
        <v>2020</v>
      </c>
      <c r="M141" s="76"/>
      <c r="N141" s="93" t="s">
        <v>295</v>
      </c>
      <c r="Q141" s="55"/>
      <c r="R141" s="55"/>
      <c r="S141" s="55"/>
      <c r="T141" s="55"/>
      <c r="U141" s="55"/>
      <c r="V141" s="55"/>
    </row>
    <row r="142" spans="2:22" s="96" customFormat="1" ht="12" customHeight="1">
      <c r="B142" s="120"/>
      <c r="C142" s="121"/>
      <c r="D142" s="12" t="s">
        <v>296</v>
      </c>
      <c r="E142" s="160">
        <v>41.352134152675077</v>
      </c>
      <c r="F142" s="157"/>
      <c r="G142" s="157">
        <v>0</v>
      </c>
      <c r="H142" s="157"/>
      <c r="I142" s="262">
        <v>41.352134152675077</v>
      </c>
      <c r="J142" s="265"/>
      <c r="K142" s="264"/>
      <c r="L142" s="120"/>
      <c r="M142" s="76"/>
      <c r="N142" s="93" t="s">
        <v>298</v>
      </c>
      <c r="Q142" s="55"/>
      <c r="R142" s="55"/>
      <c r="S142" s="55"/>
      <c r="T142" s="55"/>
      <c r="U142" s="55"/>
      <c r="V142" s="55"/>
    </row>
    <row r="143" spans="2:22" s="96" customFormat="1" ht="12" customHeight="1">
      <c r="B143" s="120"/>
      <c r="C143" s="121"/>
      <c r="D143" s="12" t="s">
        <v>338</v>
      </c>
      <c r="E143" s="160">
        <v>41.773705642815592</v>
      </c>
      <c r="F143" s="157"/>
      <c r="G143" s="157">
        <v>0</v>
      </c>
      <c r="H143" s="157"/>
      <c r="I143" s="262">
        <v>41.773705642815592</v>
      </c>
      <c r="J143" s="265"/>
      <c r="K143" s="263"/>
      <c r="L143" s="120"/>
      <c r="M143" s="76"/>
      <c r="N143" s="93" t="s">
        <v>297</v>
      </c>
      <c r="Q143" s="55"/>
      <c r="R143" s="55"/>
      <c r="S143" s="55"/>
      <c r="T143" s="55"/>
      <c r="U143" s="55"/>
      <c r="V143" s="55"/>
    </row>
    <row r="144" spans="2:22" s="96" customFormat="1" ht="12" customHeight="1">
      <c r="B144" s="120"/>
      <c r="C144" s="121"/>
      <c r="D144" s="12" t="s">
        <v>300</v>
      </c>
      <c r="E144" s="160">
        <v>0</v>
      </c>
      <c r="F144" s="157"/>
      <c r="G144" s="157">
        <v>0</v>
      </c>
      <c r="H144" s="157"/>
      <c r="I144" s="262">
        <v>0</v>
      </c>
      <c r="J144" s="265"/>
      <c r="K144" s="263"/>
      <c r="L144" s="120"/>
      <c r="M144" s="76"/>
      <c r="N144" s="93" t="s">
        <v>301</v>
      </c>
      <c r="Q144" s="55"/>
      <c r="R144" s="55"/>
      <c r="S144" s="55"/>
      <c r="T144" s="55"/>
      <c r="U144" s="55"/>
      <c r="V144" s="55"/>
    </row>
    <row r="145" spans="2:22" s="96" customFormat="1" ht="12.75" customHeight="1">
      <c r="B145" s="120"/>
      <c r="C145" s="121"/>
      <c r="D145" s="12" t="s">
        <v>340</v>
      </c>
      <c r="E145" s="160">
        <v>0</v>
      </c>
      <c r="F145" s="157"/>
      <c r="G145" s="157">
        <v>0</v>
      </c>
      <c r="H145" s="157"/>
      <c r="I145" s="262">
        <v>0</v>
      </c>
      <c r="J145" s="265"/>
      <c r="K145" s="264"/>
      <c r="L145" s="120"/>
      <c r="M145" s="76"/>
      <c r="N145" s="93" t="s">
        <v>303</v>
      </c>
      <c r="Q145" s="55"/>
      <c r="R145" s="55"/>
      <c r="S145" s="55"/>
      <c r="T145" s="55"/>
      <c r="U145" s="55"/>
      <c r="V145" s="55"/>
    </row>
    <row r="146" spans="2:22" s="96" customFormat="1" ht="12.75" customHeight="1">
      <c r="B146" s="120"/>
      <c r="C146" s="121"/>
      <c r="D146" s="12" t="s">
        <v>310</v>
      </c>
      <c r="E146" s="160">
        <v>0</v>
      </c>
      <c r="F146" s="157"/>
      <c r="G146" s="157">
        <v>0</v>
      </c>
      <c r="H146" s="157"/>
      <c r="I146" s="262">
        <v>0</v>
      </c>
      <c r="J146" s="265"/>
      <c r="K146" s="264"/>
      <c r="L146" s="120"/>
      <c r="M146" s="76"/>
      <c r="N146" s="93" t="s">
        <v>311</v>
      </c>
      <c r="Q146" s="55"/>
      <c r="R146" s="55"/>
      <c r="S146" s="55"/>
      <c r="T146" s="55"/>
      <c r="U146" s="55"/>
      <c r="V146" s="55"/>
    </row>
    <row r="147" spans="2:22" s="96" customFormat="1" ht="12.75" customHeight="1">
      <c r="B147" s="120"/>
      <c r="C147" s="121"/>
      <c r="D147" s="12" t="s">
        <v>314</v>
      </c>
      <c r="E147" s="160">
        <v>0</v>
      </c>
      <c r="F147" s="157"/>
      <c r="G147" s="157">
        <v>0</v>
      </c>
      <c r="H147" s="157"/>
      <c r="I147" s="262">
        <v>0</v>
      </c>
      <c r="J147" s="265"/>
      <c r="K147" s="263"/>
      <c r="L147" s="120"/>
      <c r="M147" s="76"/>
      <c r="N147" s="93" t="s">
        <v>315</v>
      </c>
      <c r="Q147" s="55"/>
      <c r="R147" s="55"/>
      <c r="S147" s="55"/>
      <c r="T147" s="55"/>
      <c r="U147" s="55"/>
      <c r="V147" s="55"/>
    </row>
    <row r="148" spans="2:22" s="96" customFormat="1" ht="12.75" customHeight="1">
      <c r="B148" s="120"/>
      <c r="C148" s="121"/>
      <c r="D148" s="12" t="s">
        <v>317</v>
      </c>
      <c r="E148" s="160">
        <v>0</v>
      </c>
      <c r="F148" s="157"/>
      <c r="G148" s="157">
        <v>0</v>
      </c>
      <c r="H148" s="157"/>
      <c r="I148" s="262">
        <v>0</v>
      </c>
      <c r="J148" s="265"/>
      <c r="K148" s="263"/>
      <c r="L148" s="121"/>
      <c r="M148" s="76"/>
      <c r="N148" s="93" t="s">
        <v>318</v>
      </c>
      <c r="Q148" s="55"/>
      <c r="R148" s="55"/>
      <c r="S148" s="55"/>
      <c r="T148" s="55"/>
      <c r="U148" s="55"/>
      <c r="V148" s="55"/>
    </row>
    <row r="149" spans="2:22" s="96" customFormat="1" ht="12.75" customHeight="1">
      <c r="B149" s="120"/>
      <c r="C149" s="121"/>
      <c r="D149" s="12" t="s">
        <v>326</v>
      </c>
      <c r="E149" s="160">
        <v>0</v>
      </c>
      <c r="F149" s="157"/>
      <c r="G149" s="157">
        <v>0</v>
      </c>
      <c r="H149" s="157"/>
      <c r="I149" s="262">
        <v>0</v>
      </c>
      <c r="J149" s="265"/>
      <c r="K149" s="263"/>
      <c r="L149" s="121"/>
      <c r="M149" s="76"/>
      <c r="N149" s="93" t="s">
        <v>326</v>
      </c>
      <c r="Q149" s="55"/>
      <c r="R149" s="55"/>
      <c r="S149" s="55"/>
      <c r="T149" s="55"/>
      <c r="U149" s="55"/>
      <c r="V149" s="55"/>
    </row>
    <row r="150" spans="2:22" s="96" customFormat="1" ht="12.75" customHeight="1">
      <c r="B150" s="120"/>
      <c r="C150" s="121"/>
      <c r="D150" s="12" t="s">
        <v>330</v>
      </c>
      <c r="E150" s="160">
        <v>0</v>
      </c>
      <c r="F150" s="157"/>
      <c r="G150" s="157">
        <v>0</v>
      </c>
      <c r="H150" s="157"/>
      <c r="I150" s="262">
        <v>0</v>
      </c>
      <c r="J150" s="265"/>
      <c r="K150" s="264"/>
      <c r="L150" s="120"/>
      <c r="M150" s="76"/>
      <c r="N150" s="93" t="s">
        <v>330</v>
      </c>
      <c r="Q150" s="55"/>
      <c r="R150" s="55"/>
      <c r="S150" s="55"/>
      <c r="T150" s="55"/>
      <c r="U150" s="55"/>
      <c r="V150" s="55"/>
    </row>
    <row r="151" spans="2:22" s="96" customFormat="1" ht="12.75" customHeight="1">
      <c r="B151" s="120"/>
      <c r="C151" s="121"/>
      <c r="D151" s="12" t="s">
        <v>331</v>
      </c>
      <c r="E151" s="160">
        <v>0</v>
      </c>
      <c r="F151" s="157"/>
      <c r="G151" s="157">
        <v>0</v>
      </c>
      <c r="H151" s="157"/>
      <c r="I151" s="262">
        <v>0</v>
      </c>
      <c r="J151" s="265"/>
      <c r="K151" s="263"/>
      <c r="L151" s="120"/>
      <c r="M151" s="76"/>
      <c r="N151" s="93" t="s">
        <v>331</v>
      </c>
      <c r="Q151" s="55"/>
      <c r="R151" s="55"/>
      <c r="S151" s="55"/>
      <c r="T151" s="55"/>
      <c r="U151" s="55"/>
      <c r="V151" s="55"/>
    </row>
    <row r="152" spans="2:22" s="96" customFormat="1" ht="12.75" customHeight="1">
      <c r="B152" s="120"/>
      <c r="C152" s="121"/>
      <c r="D152" s="12" t="s">
        <v>333</v>
      </c>
      <c r="E152" s="160">
        <v>0</v>
      </c>
      <c r="F152" s="157"/>
      <c r="G152" s="157">
        <v>0</v>
      </c>
      <c r="H152" s="157"/>
      <c r="I152" s="262">
        <v>0</v>
      </c>
      <c r="J152" s="265"/>
      <c r="K152" s="264"/>
      <c r="L152" s="121"/>
      <c r="M152" s="76"/>
      <c r="N152" s="71" t="s">
        <v>333</v>
      </c>
      <c r="Q152" s="55"/>
      <c r="R152" s="55"/>
      <c r="S152" s="55"/>
      <c r="T152" s="55"/>
      <c r="U152" s="55"/>
      <c r="V152" s="55"/>
    </row>
    <row r="153" spans="2:22" s="96" customFormat="1" ht="12.75" customHeight="1">
      <c r="B153" s="361">
        <v>2021</v>
      </c>
      <c r="C153" s="259"/>
      <c r="D153" s="103" t="s">
        <v>295</v>
      </c>
      <c r="E153" s="161">
        <v>0</v>
      </c>
      <c r="F153" s="162"/>
      <c r="G153" s="162">
        <v>0</v>
      </c>
      <c r="H153" s="162"/>
      <c r="I153" s="325">
        <v>0</v>
      </c>
      <c r="J153" s="746"/>
      <c r="K153" s="264"/>
      <c r="L153" s="259">
        <v>2021</v>
      </c>
      <c r="M153" s="105"/>
      <c r="N153" s="7" t="s">
        <v>295</v>
      </c>
      <c r="Q153" s="55"/>
      <c r="R153" s="55"/>
      <c r="S153" s="55"/>
      <c r="T153" s="55"/>
      <c r="U153" s="55"/>
      <c r="V153" s="55"/>
    </row>
    <row r="154" spans="2:22" ht="17.25" customHeight="1">
      <c r="B154" s="122" t="s">
        <v>84</v>
      </c>
      <c r="C154" s="123" t="s">
        <v>312</v>
      </c>
      <c r="D154" s="123"/>
      <c r="E154" s="148"/>
      <c r="F154" s="148"/>
      <c r="G154" s="148"/>
      <c r="H154" s="148"/>
      <c r="K154" s="55" t="str">
        <f>REPT("|",I154)</f>
        <v/>
      </c>
    </row>
    <row r="155" spans="2:22">
      <c r="B155" s="291"/>
      <c r="C155" s="50"/>
      <c r="D155" s="1" t="s">
        <v>299</v>
      </c>
      <c r="E155" s="148"/>
    </row>
    <row r="156" spans="2:22" ht="13.5">
      <c r="E156" s="580">
        <f>E153/E141-1</f>
        <v>-1</v>
      </c>
      <c r="F156" s="580"/>
      <c r="G156" s="580">
        <f>G153/G141-1</f>
        <v>-1</v>
      </c>
      <c r="H156" s="580"/>
      <c r="I156" s="580">
        <f>I153/I141-1</f>
        <v>-1</v>
      </c>
      <c r="J156" s="580"/>
      <c r="K156" s="570"/>
      <c r="L156" s="469" t="s">
        <v>231</v>
      </c>
    </row>
    <row r="157" spans="2:22" ht="13.5">
      <c r="E157" s="581" t="e">
        <f>E153/E152-1</f>
        <v>#DIV/0!</v>
      </c>
      <c r="F157" s="581"/>
      <c r="G157" s="581" t="e">
        <f>G153/G152-1</f>
        <v>#DIV/0!</v>
      </c>
      <c r="H157" s="581"/>
      <c r="I157" s="581" t="e">
        <f>I153/I152-1</f>
        <v>#DIV/0!</v>
      </c>
      <c r="J157" s="568"/>
      <c r="K157" s="569"/>
      <c r="L157" s="473" t="s">
        <v>230</v>
      </c>
    </row>
    <row r="158" spans="2:22" ht="13.5">
      <c r="E158" s="571"/>
      <c r="F158" s="571"/>
      <c r="G158" s="571"/>
      <c r="H158" s="571"/>
      <c r="I158" s="571">
        <f>I153-I141</f>
        <v>-36.25</v>
      </c>
      <c r="J158" s="571"/>
      <c r="K158" s="467"/>
      <c r="L158" s="485"/>
    </row>
    <row r="159" spans="2:22" ht="13.5">
      <c r="E159" s="571"/>
      <c r="F159" s="571"/>
      <c r="G159" s="571"/>
      <c r="H159" s="571"/>
      <c r="I159" s="669">
        <f>I153-I152</f>
        <v>0</v>
      </c>
      <c r="J159" s="571"/>
      <c r="K159" s="467"/>
      <c r="L159" s="485"/>
    </row>
    <row r="167" spans="5:13">
      <c r="G167" s="149"/>
      <c r="H167" s="149"/>
      <c r="L167" s="55"/>
      <c r="M167" s="55"/>
    </row>
    <row r="169" spans="5:13">
      <c r="L169" s="55"/>
      <c r="M169" s="55"/>
    </row>
    <row r="171" spans="5:13" ht="13.5">
      <c r="E171" s="150"/>
      <c r="F171" s="150"/>
      <c r="L171" s="55"/>
      <c r="M171" s="55"/>
    </row>
    <row r="172" spans="5:13" ht="13.5">
      <c r="E172" s="150"/>
      <c r="F172" s="150"/>
      <c r="L172" s="55"/>
      <c r="M172" s="55"/>
    </row>
    <row r="173" spans="5:13" ht="13.5">
      <c r="E173" s="150"/>
      <c r="F173" s="150"/>
      <c r="L173" s="55"/>
      <c r="M173" s="55"/>
    </row>
    <row r="174" spans="5:13" ht="13.5">
      <c r="E174" s="150"/>
      <c r="F174" s="150"/>
      <c r="L174" s="55"/>
      <c r="M174" s="55"/>
    </row>
    <row r="175" spans="5:13" ht="13.5">
      <c r="E175" s="150"/>
      <c r="F175" s="150"/>
      <c r="L175" s="55"/>
      <c r="M175" s="55"/>
    </row>
    <row r="176" spans="5:13" ht="13.5">
      <c r="E176" s="150"/>
      <c r="F176" s="150"/>
      <c r="L176" s="55"/>
      <c r="M176" s="55"/>
    </row>
    <row r="177" spans="5:13" ht="13.5">
      <c r="E177" s="150"/>
      <c r="F177" s="150"/>
      <c r="L177" s="55"/>
      <c r="M177" s="55"/>
    </row>
    <row r="178" spans="5:13" ht="13.5">
      <c r="E178" s="150"/>
      <c r="F178" s="150"/>
      <c r="L178" s="55"/>
      <c r="M178" s="55"/>
    </row>
    <row r="179" spans="5:13" ht="13.5">
      <c r="E179" s="150"/>
      <c r="F179" s="150"/>
      <c r="L179" s="55"/>
      <c r="M179" s="55"/>
    </row>
    <row r="182" spans="5:13" ht="13.5">
      <c r="E182" s="150"/>
      <c r="F182" s="150"/>
      <c r="L182" s="55"/>
      <c r="M182" s="55"/>
    </row>
    <row r="183" spans="5:13" ht="13.5">
      <c r="E183" s="150"/>
      <c r="F183" s="150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5546875" defaultRowHeight="15"/>
  <cols>
    <col min="1" max="1" width="4.5703125" style="298" customWidth="1"/>
    <col min="2" max="2" width="11.5703125" style="298" customWidth="1"/>
    <col min="3" max="3" width="7.85546875" style="298" customWidth="1"/>
    <col min="4" max="4" width="10.7109375" style="298" customWidth="1"/>
    <col min="5" max="5" width="1.85546875" style="298" customWidth="1"/>
    <col min="6" max="6" width="10.7109375" style="298" customWidth="1"/>
    <col min="7" max="7" width="1.7109375" style="298" customWidth="1"/>
    <col min="8" max="8" width="12" style="298" customWidth="1"/>
    <col min="9" max="9" width="2.28515625" style="298" customWidth="1"/>
    <col min="10" max="10" width="10.7109375" style="298" customWidth="1"/>
    <col min="11" max="11" width="2.42578125" style="298" customWidth="1"/>
    <col min="12" max="12" width="10.7109375" style="298" customWidth="1"/>
    <col min="13" max="13" width="2.28515625" style="298" customWidth="1"/>
    <col min="14" max="14" width="10.7109375" style="298" customWidth="1"/>
    <col min="15" max="15" width="2.28515625" style="298" customWidth="1"/>
    <col min="16" max="16" width="10.7109375" style="298" customWidth="1"/>
    <col min="17" max="17" width="2.42578125" style="298" customWidth="1"/>
    <col min="18" max="18" width="10.140625" style="298" customWidth="1"/>
    <col min="19" max="19" width="1.5703125" style="298" customWidth="1"/>
    <col min="20" max="20" width="10.42578125" style="298" customWidth="1"/>
    <col min="21" max="21" width="8.140625" style="298" bestFit="1" customWidth="1"/>
    <col min="22" max="22" width="18" style="298" bestFit="1" customWidth="1"/>
    <col min="23" max="16384" width="10.85546875" style="298"/>
  </cols>
  <sheetData>
    <row r="1" spans="2:37" ht="21.75" customHeight="1">
      <c r="B1" s="297" t="s">
        <v>286</v>
      </c>
    </row>
    <row r="2" spans="2:37" ht="18.75" customHeight="1">
      <c r="B2" s="297" t="s">
        <v>287</v>
      </c>
    </row>
    <row r="3" spans="2:37" ht="6.75" customHeight="1">
      <c r="B3" s="297"/>
    </row>
    <row r="4" spans="2:37" ht="26.25">
      <c r="B4" s="299"/>
      <c r="C4" s="693"/>
      <c r="D4" s="415" t="s">
        <v>246</v>
      </c>
      <c r="E4" s="416"/>
      <c r="F4" s="416" t="s">
        <v>247</v>
      </c>
      <c r="G4" s="416"/>
      <c r="H4" s="453" t="s">
        <v>248</v>
      </c>
      <c r="I4" s="453"/>
      <c r="J4" s="453" t="s">
        <v>249</v>
      </c>
      <c r="K4" s="416"/>
      <c r="L4" s="416" t="s">
        <v>250</v>
      </c>
      <c r="M4" s="416"/>
      <c r="N4" s="416" t="s">
        <v>251</v>
      </c>
      <c r="O4" s="416"/>
      <c r="P4" s="416" t="s">
        <v>252</v>
      </c>
      <c r="Q4" s="416"/>
      <c r="R4" s="416" t="s">
        <v>14</v>
      </c>
      <c r="S4" s="696"/>
      <c r="T4" s="693"/>
      <c r="U4" s="300"/>
      <c r="AA4" s="318"/>
      <c r="AB4" s="319"/>
      <c r="AC4" s="319"/>
      <c r="AD4" s="319"/>
      <c r="AE4" s="319"/>
      <c r="AG4" s="318"/>
      <c r="AH4" s="319"/>
      <c r="AI4" s="319"/>
      <c r="AJ4" s="319"/>
      <c r="AK4" s="319"/>
    </row>
    <row r="5" spans="2:37" ht="26.25">
      <c r="B5" s="341" t="s">
        <v>75</v>
      </c>
      <c r="C5" s="694" t="s">
        <v>120</v>
      </c>
      <c r="D5" s="547"/>
      <c r="E5" s="417"/>
      <c r="F5" s="417"/>
      <c r="G5" s="417"/>
      <c r="H5" s="417" t="s">
        <v>253</v>
      </c>
      <c r="I5" s="417"/>
      <c r="J5" s="417" t="s">
        <v>254</v>
      </c>
      <c r="K5" s="418"/>
      <c r="L5" s="417" t="s">
        <v>255</v>
      </c>
      <c r="M5" s="417"/>
      <c r="N5" s="417"/>
      <c r="O5" s="417"/>
      <c r="P5" s="418" t="s">
        <v>256</v>
      </c>
      <c r="Q5" s="418"/>
      <c r="R5" s="417"/>
      <c r="S5" s="697"/>
      <c r="T5" s="692" t="s">
        <v>76</v>
      </c>
      <c r="U5" s="624" t="s">
        <v>121</v>
      </c>
    </row>
    <row r="6" spans="2:37" ht="15" hidden="1" customHeight="1">
      <c r="B6" s="342">
        <v>2014</v>
      </c>
      <c r="C6" s="695"/>
      <c r="D6" s="698">
        <f>SUM(D13:D20)</f>
        <v>6343</v>
      </c>
      <c r="E6" s="376"/>
      <c r="F6" s="376">
        <f t="shared" ref="F6:R6" si="0">SUM(F13:F20)</f>
        <v>4739</v>
      </c>
      <c r="G6" s="376"/>
      <c r="H6" s="376">
        <f t="shared" si="0"/>
        <v>2144</v>
      </c>
      <c r="I6" s="376"/>
      <c r="J6" s="376">
        <f t="shared" si="0"/>
        <v>379</v>
      </c>
      <c r="K6" s="376"/>
      <c r="L6" s="376">
        <f t="shared" si="0"/>
        <v>636</v>
      </c>
      <c r="M6" s="376"/>
      <c r="N6" s="376">
        <f t="shared" si="0"/>
        <v>521</v>
      </c>
      <c r="O6" s="376"/>
      <c r="P6" s="376">
        <f t="shared" si="0"/>
        <v>1349</v>
      </c>
      <c r="Q6" s="376"/>
      <c r="R6" s="376">
        <f t="shared" si="0"/>
        <v>16111</v>
      </c>
      <c r="S6" s="699"/>
      <c r="T6" s="693">
        <v>2014</v>
      </c>
      <c r="U6" s="377"/>
      <c r="W6" s="379"/>
    </row>
    <row r="7" spans="2:37" ht="15" hidden="1" customHeight="1">
      <c r="B7" s="342">
        <v>2015</v>
      </c>
      <c r="C7" s="695"/>
      <c r="D7" s="698">
        <f>SUM(D21:D32)</f>
        <v>7295</v>
      </c>
      <c r="E7" s="376"/>
      <c r="F7" s="376">
        <f t="shared" ref="F7:R7" si="1">SUM(F21:F32)</f>
        <v>5342</v>
      </c>
      <c r="G7" s="376"/>
      <c r="H7" s="376">
        <f t="shared" si="1"/>
        <v>3201</v>
      </c>
      <c r="I7" s="376"/>
      <c r="J7" s="376">
        <f t="shared" si="1"/>
        <v>1093</v>
      </c>
      <c r="K7" s="376"/>
      <c r="L7" s="376">
        <f t="shared" si="1"/>
        <v>945</v>
      </c>
      <c r="M7" s="376"/>
      <c r="N7" s="376">
        <f t="shared" si="1"/>
        <v>775</v>
      </c>
      <c r="O7" s="376"/>
      <c r="P7" s="376">
        <f t="shared" si="1"/>
        <v>1572</v>
      </c>
      <c r="Q7" s="376"/>
      <c r="R7" s="376">
        <f t="shared" si="1"/>
        <v>20223</v>
      </c>
      <c r="S7" s="699"/>
      <c r="T7" s="304">
        <v>2015</v>
      </c>
      <c r="U7" s="378"/>
      <c r="W7" s="379"/>
    </row>
    <row r="8" spans="2:37" ht="15" customHeight="1">
      <c r="B8" s="342">
        <v>2016</v>
      </c>
      <c r="C8" s="695"/>
      <c r="D8" s="698">
        <f>SUM(D33:D44)</f>
        <v>7774</v>
      </c>
      <c r="E8" s="376"/>
      <c r="F8" s="376">
        <f t="shared" ref="F8:R8" si="2">SUM(F33:F44)</f>
        <v>6861</v>
      </c>
      <c r="G8" s="376"/>
      <c r="H8" s="376">
        <f t="shared" si="2"/>
        <v>4328</v>
      </c>
      <c r="I8" s="376"/>
      <c r="J8" s="376">
        <f t="shared" si="2"/>
        <v>820</v>
      </c>
      <c r="K8" s="376"/>
      <c r="L8" s="376">
        <f t="shared" si="2"/>
        <v>935</v>
      </c>
      <c r="M8" s="376"/>
      <c r="N8" s="376">
        <f t="shared" si="2"/>
        <v>863</v>
      </c>
      <c r="O8" s="376"/>
      <c r="P8" s="376">
        <f t="shared" si="2"/>
        <v>1973</v>
      </c>
      <c r="Q8" s="376"/>
      <c r="R8" s="376">
        <f t="shared" si="2"/>
        <v>23554</v>
      </c>
      <c r="S8" s="699"/>
      <c r="T8" s="304">
        <v>2016</v>
      </c>
      <c r="U8" s="378"/>
      <c r="W8" s="379"/>
    </row>
    <row r="9" spans="2:37" ht="15" customHeight="1">
      <c r="B9" s="342">
        <v>2017</v>
      </c>
      <c r="C9" s="695"/>
      <c r="D9" s="698">
        <f>SUM(D45:D56)</f>
        <v>10301</v>
      </c>
      <c r="E9" s="376"/>
      <c r="F9" s="376">
        <f t="shared" ref="F9:R9" si="3">SUM(F45:F56)</f>
        <v>8840</v>
      </c>
      <c r="G9" s="376"/>
      <c r="H9" s="376">
        <f t="shared" si="3"/>
        <v>3333</v>
      </c>
      <c r="I9" s="376"/>
      <c r="J9" s="376">
        <f t="shared" si="3"/>
        <v>550</v>
      </c>
      <c r="K9" s="376"/>
      <c r="L9" s="376">
        <f t="shared" si="3"/>
        <v>1071</v>
      </c>
      <c r="M9" s="376"/>
      <c r="N9" s="376">
        <f t="shared" si="3"/>
        <v>837</v>
      </c>
      <c r="O9" s="376"/>
      <c r="P9" s="376">
        <f t="shared" si="3"/>
        <v>2416</v>
      </c>
      <c r="Q9" s="376"/>
      <c r="R9" s="376">
        <f t="shared" si="3"/>
        <v>27348</v>
      </c>
      <c r="S9" s="699"/>
      <c r="T9" s="304">
        <v>2017</v>
      </c>
      <c r="U9" s="378"/>
      <c r="W9" s="379"/>
    </row>
    <row r="10" spans="2:37" ht="15" customHeight="1">
      <c r="B10" s="342">
        <v>2018</v>
      </c>
      <c r="C10" s="695"/>
      <c r="D10" s="698">
        <f>SUM(D57:D68)</f>
        <v>11258</v>
      </c>
      <c r="E10" s="376"/>
      <c r="F10" s="376">
        <f t="shared" ref="F10:R10" si="4">SUM(F57:F68)</f>
        <v>10349</v>
      </c>
      <c r="G10" s="376"/>
      <c r="H10" s="376">
        <f t="shared" si="4"/>
        <v>4419</v>
      </c>
      <c r="I10" s="376"/>
      <c r="J10" s="376">
        <f t="shared" si="4"/>
        <v>527</v>
      </c>
      <c r="K10" s="376"/>
      <c r="L10" s="376">
        <f t="shared" si="4"/>
        <v>1220</v>
      </c>
      <c r="M10" s="376"/>
      <c r="N10" s="376">
        <f t="shared" si="4"/>
        <v>874</v>
      </c>
      <c r="O10" s="376"/>
      <c r="P10" s="376">
        <f t="shared" si="4"/>
        <v>2460</v>
      </c>
      <c r="Q10" s="376"/>
      <c r="R10" s="376">
        <f t="shared" si="4"/>
        <v>31107</v>
      </c>
      <c r="S10" s="699"/>
      <c r="T10" s="304">
        <v>2018</v>
      </c>
      <c r="U10" s="378"/>
      <c r="W10" s="379"/>
    </row>
    <row r="11" spans="2:37" ht="15" customHeight="1">
      <c r="B11" s="342">
        <v>2019</v>
      </c>
      <c r="C11" s="695" t="s">
        <v>337</v>
      </c>
      <c r="D11" s="698">
        <f>SUM(D69:D80)</f>
        <v>10848</v>
      </c>
      <c r="E11" s="376"/>
      <c r="F11" s="376">
        <f t="shared" ref="F11:R11" si="5">SUM(F69:F80)</f>
        <v>10255</v>
      </c>
      <c r="G11" s="376"/>
      <c r="H11" s="376">
        <f t="shared" si="5"/>
        <v>4751</v>
      </c>
      <c r="I11" s="376"/>
      <c r="J11" s="376">
        <f t="shared" si="5"/>
        <v>660</v>
      </c>
      <c r="K11" s="376"/>
      <c r="L11" s="376">
        <f t="shared" si="5"/>
        <v>899</v>
      </c>
      <c r="M11" s="376"/>
      <c r="N11" s="376">
        <f t="shared" si="5"/>
        <v>404</v>
      </c>
      <c r="O11" s="376"/>
      <c r="P11" s="376">
        <f t="shared" si="5"/>
        <v>2442</v>
      </c>
      <c r="Q11" s="376"/>
      <c r="R11" s="376">
        <f t="shared" si="5"/>
        <v>30259</v>
      </c>
      <c r="S11" s="699"/>
      <c r="T11" s="304">
        <v>2019</v>
      </c>
      <c r="U11" s="378" t="s">
        <v>337</v>
      </c>
      <c r="W11" s="379"/>
    </row>
    <row r="12" spans="2:37" ht="15" customHeight="1">
      <c r="B12" s="342">
        <v>2020</v>
      </c>
      <c r="C12" s="695" t="s">
        <v>337</v>
      </c>
      <c r="D12" s="698">
        <f>SUM(D81:D92)</f>
        <v>2283</v>
      </c>
      <c r="E12" s="376"/>
      <c r="F12" s="376">
        <f>SUM(F81:F92)</f>
        <v>2489</v>
      </c>
      <c r="G12" s="376"/>
      <c r="H12" s="376">
        <f t="shared" ref="H12:R12" si="6">SUM(H81:H92)</f>
        <v>634</v>
      </c>
      <c r="I12" s="376"/>
      <c r="J12" s="376">
        <f t="shared" si="6"/>
        <v>64</v>
      </c>
      <c r="K12" s="376"/>
      <c r="L12" s="376">
        <f t="shared" si="6"/>
        <v>205</v>
      </c>
      <c r="M12" s="376"/>
      <c r="N12" s="376">
        <f t="shared" si="6"/>
        <v>47</v>
      </c>
      <c r="O12" s="376"/>
      <c r="P12" s="376">
        <f t="shared" si="6"/>
        <v>512</v>
      </c>
      <c r="Q12" s="376"/>
      <c r="R12" s="376">
        <f t="shared" si="6"/>
        <v>6234</v>
      </c>
      <c r="S12" s="699"/>
      <c r="T12" s="304">
        <v>2020</v>
      </c>
      <c r="U12" s="378" t="s">
        <v>337</v>
      </c>
      <c r="W12" s="379"/>
    </row>
    <row r="13" spans="2:37" hidden="1">
      <c r="B13" s="342">
        <v>2014</v>
      </c>
      <c r="C13" s="695" t="s">
        <v>4</v>
      </c>
      <c r="D13" s="690">
        <v>424</v>
      </c>
      <c r="E13" s="312"/>
      <c r="F13" s="312">
        <v>352</v>
      </c>
      <c r="G13" s="312"/>
      <c r="H13" s="312">
        <v>148</v>
      </c>
      <c r="I13" s="312"/>
      <c r="J13" s="312">
        <v>62</v>
      </c>
      <c r="K13" s="312"/>
      <c r="L13" s="312">
        <v>36</v>
      </c>
      <c r="M13" s="312"/>
      <c r="N13" s="661">
        <v>33</v>
      </c>
      <c r="O13" s="661"/>
      <c r="P13" s="301">
        <v>80</v>
      </c>
      <c r="Q13" s="301"/>
      <c r="R13" s="301">
        <f>SUM(D13:P13)</f>
        <v>1135</v>
      </c>
      <c r="S13" s="700"/>
      <c r="T13" s="303">
        <v>2014</v>
      </c>
      <c r="U13" s="128" t="s">
        <v>79</v>
      </c>
    </row>
    <row r="14" spans="2:37" hidden="1">
      <c r="B14" s="342">
        <v>2014</v>
      </c>
      <c r="C14" s="695" t="s">
        <v>30</v>
      </c>
      <c r="D14" s="690">
        <v>866</v>
      </c>
      <c r="E14" s="312"/>
      <c r="F14" s="312">
        <v>694</v>
      </c>
      <c r="G14" s="312"/>
      <c r="H14" s="312">
        <v>307</v>
      </c>
      <c r="I14" s="312"/>
      <c r="J14" s="312">
        <v>92</v>
      </c>
      <c r="K14" s="312"/>
      <c r="L14" s="312">
        <v>62</v>
      </c>
      <c r="M14" s="312"/>
      <c r="N14" s="661">
        <v>66</v>
      </c>
      <c r="O14" s="661"/>
      <c r="P14" s="301">
        <v>155</v>
      </c>
      <c r="Q14" s="301"/>
      <c r="R14" s="301">
        <f t="shared" ref="R14:R21" si="7">SUM(D14:P14)</f>
        <v>2242</v>
      </c>
      <c r="S14" s="700"/>
      <c r="T14" s="303">
        <v>2014</v>
      </c>
      <c r="U14" s="128" t="s">
        <v>80</v>
      </c>
    </row>
    <row r="15" spans="2:37" hidden="1">
      <c r="B15" s="342">
        <v>2014</v>
      </c>
      <c r="C15" s="695" t="s">
        <v>36</v>
      </c>
      <c r="D15" s="690">
        <v>1293</v>
      </c>
      <c r="E15" s="312"/>
      <c r="F15" s="312">
        <v>983</v>
      </c>
      <c r="G15" s="312"/>
      <c r="H15" s="312">
        <v>355</v>
      </c>
      <c r="I15" s="312"/>
      <c r="J15" s="312">
        <v>78</v>
      </c>
      <c r="K15" s="312"/>
      <c r="L15" s="312">
        <v>109</v>
      </c>
      <c r="M15" s="312"/>
      <c r="N15" s="661">
        <v>78</v>
      </c>
      <c r="O15" s="661"/>
      <c r="P15" s="301">
        <v>230</v>
      </c>
      <c r="Q15" s="301"/>
      <c r="R15" s="301">
        <f t="shared" si="7"/>
        <v>3126</v>
      </c>
      <c r="S15" s="700"/>
      <c r="T15" s="303">
        <v>2014</v>
      </c>
      <c r="U15" s="128" t="s">
        <v>81</v>
      </c>
      <c r="Z15" s="316"/>
    </row>
    <row r="16" spans="2:37" hidden="1">
      <c r="B16" s="342">
        <v>2014</v>
      </c>
      <c r="C16" s="695" t="s">
        <v>37</v>
      </c>
      <c r="D16" s="690">
        <v>1248</v>
      </c>
      <c r="E16" s="312"/>
      <c r="F16" s="312">
        <v>815</v>
      </c>
      <c r="G16" s="312"/>
      <c r="H16" s="312">
        <v>405</v>
      </c>
      <c r="I16" s="312"/>
      <c r="J16" s="312">
        <v>26</v>
      </c>
      <c r="K16" s="312"/>
      <c r="L16" s="312">
        <v>134</v>
      </c>
      <c r="M16" s="312"/>
      <c r="N16" s="312">
        <v>131</v>
      </c>
      <c r="O16" s="312"/>
      <c r="P16" s="301">
        <v>226</v>
      </c>
      <c r="Q16" s="301"/>
      <c r="R16" s="301">
        <f t="shared" si="7"/>
        <v>2985</v>
      </c>
      <c r="S16" s="700"/>
      <c r="T16" s="303">
        <v>2014</v>
      </c>
      <c r="U16" s="128" t="s">
        <v>82</v>
      </c>
    </row>
    <row r="17" spans="2:35" hidden="1">
      <c r="B17" s="342">
        <v>2014</v>
      </c>
      <c r="C17" s="695" t="s">
        <v>31</v>
      </c>
      <c r="D17" s="690">
        <v>715</v>
      </c>
      <c r="E17" s="312"/>
      <c r="F17" s="312">
        <v>510</v>
      </c>
      <c r="G17" s="312"/>
      <c r="H17" s="312">
        <v>257</v>
      </c>
      <c r="I17" s="312"/>
      <c r="J17" s="312">
        <v>63</v>
      </c>
      <c r="K17" s="312"/>
      <c r="L17" s="312">
        <v>118</v>
      </c>
      <c r="M17" s="312"/>
      <c r="N17" s="312">
        <v>86</v>
      </c>
      <c r="O17" s="312"/>
      <c r="P17" s="301">
        <v>189</v>
      </c>
      <c r="Q17" s="301"/>
      <c r="R17" s="301">
        <f t="shared" si="7"/>
        <v>1938</v>
      </c>
      <c r="S17" s="700"/>
      <c r="T17" s="303">
        <v>2014</v>
      </c>
      <c r="U17" s="128" t="s">
        <v>31</v>
      </c>
    </row>
    <row r="18" spans="2:35" hidden="1">
      <c r="B18" s="342">
        <v>2014</v>
      </c>
      <c r="C18" s="695" t="s">
        <v>38</v>
      </c>
      <c r="D18" s="690">
        <v>884</v>
      </c>
      <c r="E18" s="312"/>
      <c r="F18" s="312">
        <v>670</v>
      </c>
      <c r="G18" s="312"/>
      <c r="H18" s="312">
        <v>228</v>
      </c>
      <c r="I18" s="312"/>
      <c r="J18" s="312">
        <v>37</v>
      </c>
      <c r="K18" s="312"/>
      <c r="L18" s="312">
        <v>82</v>
      </c>
      <c r="M18" s="312"/>
      <c r="N18" s="312">
        <v>57</v>
      </c>
      <c r="O18" s="312"/>
      <c r="P18" s="301">
        <v>258</v>
      </c>
      <c r="Q18" s="301"/>
      <c r="R18" s="301">
        <f t="shared" si="7"/>
        <v>2216</v>
      </c>
      <c r="S18" s="700"/>
      <c r="T18" s="303">
        <v>2014</v>
      </c>
      <c r="U18" s="128" t="s">
        <v>38</v>
      </c>
    </row>
    <row r="19" spans="2:35" hidden="1">
      <c r="B19" s="342">
        <v>2014</v>
      </c>
      <c r="C19" s="695" t="s">
        <v>39</v>
      </c>
      <c r="D19" s="690">
        <v>499</v>
      </c>
      <c r="E19" s="312"/>
      <c r="F19" s="312">
        <v>366</v>
      </c>
      <c r="G19" s="312"/>
      <c r="H19" s="312">
        <v>255</v>
      </c>
      <c r="I19" s="312"/>
      <c r="J19" s="312">
        <v>8</v>
      </c>
      <c r="K19" s="312"/>
      <c r="L19" s="312">
        <v>65</v>
      </c>
      <c r="M19" s="312"/>
      <c r="N19" s="312">
        <v>51</v>
      </c>
      <c r="O19" s="312"/>
      <c r="P19" s="301">
        <v>145</v>
      </c>
      <c r="Q19" s="301"/>
      <c r="R19" s="301">
        <f t="shared" si="7"/>
        <v>1389</v>
      </c>
      <c r="S19" s="700"/>
      <c r="T19" s="303">
        <v>2014</v>
      </c>
      <c r="U19" s="128" t="s">
        <v>39</v>
      </c>
    </row>
    <row r="20" spans="2:35" hidden="1">
      <c r="B20" s="342">
        <v>2014</v>
      </c>
      <c r="C20" s="695" t="s">
        <v>32</v>
      </c>
      <c r="D20" s="690">
        <v>414</v>
      </c>
      <c r="E20" s="312"/>
      <c r="F20" s="312">
        <v>349</v>
      </c>
      <c r="G20" s="312"/>
      <c r="H20" s="312">
        <v>189</v>
      </c>
      <c r="I20" s="312"/>
      <c r="J20" s="312">
        <v>13</v>
      </c>
      <c r="K20" s="312"/>
      <c r="L20" s="312">
        <v>30</v>
      </c>
      <c r="M20" s="312"/>
      <c r="N20" s="312">
        <v>19</v>
      </c>
      <c r="O20" s="312"/>
      <c r="P20" s="301">
        <v>66</v>
      </c>
      <c r="Q20" s="301"/>
      <c r="R20" s="301">
        <f t="shared" si="7"/>
        <v>1080</v>
      </c>
      <c r="S20" s="700"/>
      <c r="T20" s="303">
        <v>2014</v>
      </c>
      <c r="U20" s="128" t="s">
        <v>32</v>
      </c>
    </row>
    <row r="21" spans="2:35" hidden="1">
      <c r="B21" s="625">
        <v>2015</v>
      </c>
      <c r="C21" s="755" t="s">
        <v>33</v>
      </c>
      <c r="D21" s="701">
        <v>611</v>
      </c>
      <c r="E21" s="626"/>
      <c r="F21" s="626">
        <v>420</v>
      </c>
      <c r="G21" s="626"/>
      <c r="H21" s="626">
        <v>261</v>
      </c>
      <c r="I21" s="626"/>
      <c r="J21" s="626">
        <v>15</v>
      </c>
      <c r="K21" s="626"/>
      <c r="L21" s="626">
        <v>56</v>
      </c>
      <c r="M21" s="626"/>
      <c r="N21" s="626">
        <v>22</v>
      </c>
      <c r="O21" s="626"/>
      <c r="P21" s="627">
        <v>103</v>
      </c>
      <c r="Q21" s="627"/>
      <c r="R21" s="627">
        <f t="shared" si="7"/>
        <v>1488</v>
      </c>
      <c r="S21" s="702"/>
      <c r="T21" s="693">
        <v>2015</v>
      </c>
      <c r="U21" s="628" t="s">
        <v>33</v>
      </c>
    </row>
    <row r="22" spans="2:35" ht="13.9" hidden="1" customHeight="1">
      <c r="B22" s="342">
        <v>2015</v>
      </c>
      <c r="C22" s="695" t="s">
        <v>34</v>
      </c>
      <c r="D22" s="690">
        <v>264</v>
      </c>
      <c r="E22" s="312"/>
      <c r="F22" s="312">
        <v>208</v>
      </c>
      <c r="G22" s="312"/>
      <c r="H22" s="312">
        <v>46</v>
      </c>
      <c r="I22" s="312"/>
      <c r="J22" s="312">
        <v>11</v>
      </c>
      <c r="K22" s="312"/>
      <c r="L22" s="312">
        <v>27</v>
      </c>
      <c r="M22" s="312"/>
      <c r="N22" s="312">
        <v>25</v>
      </c>
      <c r="O22" s="312"/>
      <c r="P22" s="301">
        <v>65</v>
      </c>
      <c r="Q22" s="301"/>
      <c r="R22" s="301">
        <f t="shared" ref="R22:R27" si="8">SUM(D22:P22)</f>
        <v>646</v>
      </c>
      <c r="S22" s="700"/>
      <c r="T22" s="303">
        <v>2015</v>
      </c>
      <c r="U22" s="128" t="s">
        <v>77</v>
      </c>
    </row>
    <row r="23" spans="2:35" hidden="1">
      <c r="B23" s="342">
        <v>2015</v>
      </c>
      <c r="C23" s="695" t="s">
        <v>29</v>
      </c>
      <c r="D23" s="690">
        <v>257</v>
      </c>
      <c r="E23" s="312"/>
      <c r="F23" s="312">
        <v>249</v>
      </c>
      <c r="G23" s="312"/>
      <c r="H23" s="312">
        <v>139</v>
      </c>
      <c r="I23" s="312"/>
      <c r="J23" s="312">
        <v>16</v>
      </c>
      <c r="K23" s="312"/>
      <c r="L23" s="312">
        <v>42</v>
      </c>
      <c r="M23" s="312"/>
      <c r="N23" s="312">
        <v>12</v>
      </c>
      <c r="O23" s="312"/>
      <c r="P23" s="301">
        <v>68</v>
      </c>
      <c r="Q23" s="301"/>
      <c r="R23" s="301">
        <f t="shared" si="8"/>
        <v>783</v>
      </c>
      <c r="S23" s="700"/>
      <c r="T23" s="303">
        <v>2015</v>
      </c>
      <c r="U23" s="128" t="s">
        <v>29</v>
      </c>
    </row>
    <row r="24" spans="2:35" hidden="1">
      <c r="B24" s="342">
        <v>2015</v>
      </c>
      <c r="C24" s="695" t="s">
        <v>35</v>
      </c>
      <c r="D24" s="690">
        <v>352</v>
      </c>
      <c r="E24" s="312"/>
      <c r="F24" s="312">
        <v>327</v>
      </c>
      <c r="G24" s="312"/>
      <c r="H24" s="312">
        <v>254</v>
      </c>
      <c r="I24" s="312"/>
      <c r="J24" s="312">
        <v>59</v>
      </c>
      <c r="K24" s="312"/>
      <c r="L24" s="312">
        <v>30</v>
      </c>
      <c r="M24" s="312"/>
      <c r="N24" s="312">
        <v>38</v>
      </c>
      <c r="O24" s="312"/>
      <c r="P24" s="301">
        <v>136</v>
      </c>
      <c r="Q24" s="301"/>
      <c r="R24" s="301">
        <f t="shared" si="8"/>
        <v>1196</v>
      </c>
      <c r="S24" s="700"/>
      <c r="T24" s="303">
        <v>2015</v>
      </c>
      <c r="U24" s="128" t="s">
        <v>78</v>
      </c>
    </row>
    <row r="25" spans="2:35" hidden="1">
      <c r="B25" s="342">
        <v>2015</v>
      </c>
      <c r="C25" s="695" t="s">
        <v>4</v>
      </c>
      <c r="D25" s="690">
        <v>356</v>
      </c>
      <c r="E25" s="312"/>
      <c r="F25" s="312">
        <v>366</v>
      </c>
      <c r="G25" s="312"/>
      <c r="H25" s="312">
        <v>258</v>
      </c>
      <c r="I25" s="312"/>
      <c r="J25" s="312">
        <v>38</v>
      </c>
      <c r="K25" s="312"/>
      <c r="L25" s="312">
        <v>31</v>
      </c>
      <c r="M25" s="312"/>
      <c r="N25" s="312">
        <v>39</v>
      </c>
      <c r="O25" s="312"/>
      <c r="P25" s="301">
        <v>130</v>
      </c>
      <c r="Q25" s="301"/>
      <c r="R25" s="301">
        <f t="shared" si="8"/>
        <v>1218</v>
      </c>
      <c r="S25" s="700"/>
      <c r="T25" s="303">
        <v>2015</v>
      </c>
      <c r="U25" s="128" t="s">
        <v>79</v>
      </c>
      <c r="AA25" s="318"/>
      <c r="AB25" s="319"/>
      <c r="AC25" s="319"/>
      <c r="AD25" s="319"/>
      <c r="AE25" s="319"/>
      <c r="AF25" s="319"/>
      <c r="AG25" s="319"/>
      <c r="AH25" s="319"/>
      <c r="AI25" s="319"/>
    </row>
    <row r="26" spans="2:35" hidden="1">
      <c r="B26" s="342">
        <v>2015</v>
      </c>
      <c r="C26" s="695" t="s">
        <v>30</v>
      </c>
      <c r="D26" s="690">
        <v>461</v>
      </c>
      <c r="E26" s="312"/>
      <c r="F26" s="312">
        <v>559</v>
      </c>
      <c r="G26" s="312"/>
      <c r="H26" s="312">
        <v>339</v>
      </c>
      <c r="I26" s="312"/>
      <c r="J26" s="312">
        <v>75</v>
      </c>
      <c r="K26" s="312"/>
      <c r="L26" s="312">
        <v>90</v>
      </c>
      <c r="M26" s="312"/>
      <c r="N26" s="312">
        <v>58</v>
      </c>
      <c r="O26" s="312"/>
      <c r="P26" s="301">
        <v>206</v>
      </c>
      <c r="Q26" s="301"/>
      <c r="R26" s="301">
        <f t="shared" si="8"/>
        <v>1788</v>
      </c>
      <c r="S26" s="700"/>
      <c r="T26" s="303">
        <v>2015</v>
      </c>
      <c r="U26" s="128" t="s">
        <v>80</v>
      </c>
      <c r="AA26" s="318"/>
      <c r="AB26" s="319"/>
      <c r="AC26" s="319"/>
      <c r="AD26" s="319"/>
      <c r="AE26" s="319"/>
      <c r="AF26" s="319"/>
      <c r="AG26" s="367"/>
      <c r="AH26" s="367"/>
      <c r="AI26" s="319"/>
    </row>
    <row r="27" spans="2:35" hidden="1">
      <c r="B27" s="342">
        <v>2015</v>
      </c>
      <c r="C27" s="695" t="s">
        <v>36</v>
      </c>
      <c r="D27" s="690">
        <v>634</v>
      </c>
      <c r="E27" s="312"/>
      <c r="F27" s="312">
        <v>663</v>
      </c>
      <c r="G27" s="312"/>
      <c r="H27" s="312">
        <v>534</v>
      </c>
      <c r="I27" s="312"/>
      <c r="J27" s="312">
        <v>43</v>
      </c>
      <c r="K27" s="312"/>
      <c r="L27" s="312">
        <v>87</v>
      </c>
      <c r="M27" s="312"/>
      <c r="N27" s="312">
        <v>79</v>
      </c>
      <c r="O27" s="312"/>
      <c r="P27" s="301">
        <v>256</v>
      </c>
      <c r="Q27" s="301"/>
      <c r="R27" s="301">
        <f t="shared" si="8"/>
        <v>2296</v>
      </c>
      <c r="S27" s="700"/>
      <c r="T27" s="303">
        <v>2015</v>
      </c>
      <c r="U27" s="128" t="s">
        <v>81</v>
      </c>
    </row>
    <row r="28" spans="2:35" hidden="1">
      <c r="B28" s="342">
        <v>2015</v>
      </c>
      <c r="C28" s="695" t="s">
        <v>37</v>
      </c>
      <c r="D28" s="690">
        <v>649</v>
      </c>
      <c r="E28" s="312"/>
      <c r="F28" s="312">
        <v>659</v>
      </c>
      <c r="G28" s="312"/>
      <c r="H28" s="312">
        <v>324</v>
      </c>
      <c r="I28" s="312"/>
      <c r="J28" s="312">
        <v>24</v>
      </c>
      <c r="K28" s="312"/>
      <c r="L28" s="312">
        <v>149</v>
      </c>
      <c r="M28" s="312"/>
      <c r="N28" s="312">
        <v>95</v>
      </c>
      <c r="O28" s="312"/>
      <c r="P28" s="301">
        <v>236</v>
      </c>
      <c r="Q28" s="301"/>
      <c r="R28" s="301">
        <v>2136</v>
      </c>
      <c r="S28" s="700"/>
      <c r="T28" s="303">
        <v>2015</v>
      </c>
      <c r="U28" s="128" t="s">
        <v>82</v>
      </c>
    </row>
    <row r="29" spans="2:35" ht="15" hidden="1" customHeight="1">
      <c r="B29" s="342">
        <v>2015</v>
      </c>
      <c r="C29" s="695" t="s">
        <v>31</v>
      </c>
      <c r="D29" s="690">
        <v>515</v>
      </c>
      <c r="E29" s="312"/>
      <c r="F29" s="312">
        <v>458</v>
      </c>
      <c r="G29" s="312"/>
      <c r="H29" s="312">
        <v>395</v>
      </c>
      <c r="I29" s="312"/>
      <c r="J29" s="312">
        <v>14</v>
      </c>
      <c r="K29" s="312"/>
      <c r="L29" s="312">
        <v>88</v>
      </c>
      <c r="M29" s="312"/>
      <c r="N29" s="312">
        <v>54</v>
      </c>
      <c r="O29" s="312"/>
      <c r="P29" s="312">
        <v>139</v>
      </c>
      <c r="Q29" s="312"/>
      <c r="R29" s="312">
        <v>1663</v>
      </c>
      <c r="S29" s="691"/>
      <c r="T29" s="303">
        <v>2015</v>
      </c>
      <c r="U29" s="128" t="s">
        <v>31</v>
      </c>
    </row>
    <row r="30" spans="2:35" ht="15" hidden="1" customHeight="1">
      <c r="B30" s="342">
        <v>2015</v>
      </c>
      <c r="C30" s="695" t="s">
        <v>38</v>
      </c>
      <c r="D30" s="690">
        <v>650</v>
      </c>
      <c r="E30" s="312"/>
      <c r="F30" s="312">
        <v>649</v>
      </c>
      <c r="G30" s="312"/>
      <c r="H30" s="312">
        <v>543</v>
      </c>
      <c r="I30" s="312"/>
      <c r="J30" s="312">
        <v>24</v>
      </c>
      <c r="K30" s="312"/>
      <c r="L30" s="312">
        <v>76</v>
      </c>
      <c r="M30" s="312"/>
      <c r="N30" s="312">
        <v>116</v>
      </c>
      <c r="O30" s="312"/>
      <c r="P30" s="312">
        <v>214</v>
      </c>
      <c r="Q30" s="312"/>
      <c r="R30" s="312">
        <f>SUM(D30:P30)</f>
        <v>2272</v>
      </c>
      <c r="S30" s="691"/>
      <c r="T30" s="303">
        <v>2015</v>
      </c>
      <c r="U30" s="128" t="s">
        <v>38</v>
      </c>
      <c r="W30" s="368"/>
      <c r="X30" s="368"/>
    </row>
    <row r="31" spans="2:35" hidden="1">
      <c r="B31" s="342">
        <v>2015</v>
      </c>
      <c r="C31" s="695" t="s">
        <v>39</v>
      </c>
      <c r="D31" s="690">
        <v>1472</v>
      </c>
      <c r="E31" s="312"/>
      <c r="F31" s="312">
        <v>415</v>
      </c>
      <c r="G31" s="312"/>
      <c r="H31" s="312">
        <v>65</v>
      </c>
      <c r="I31" s="312"/>
      <c r="J31" s="312">
        <v>441</v>
      </c>
      <c r="K31" s="312"/>
      <c r="L31" s="312">
        <v>142</v>
      </c>
      <c r="M31" s="312"/>
      <c r="N31" s="312">
        <v>63</v>
      </c>
      <c r="O31" s="312"/>
      <c r="P31" s="312">
        <v>9</v>
      </c>
      <c r="Q31" s="312"/>
      <c r="R31" s="312">
        <f>SUM(D31:P31)</f>
        <v>2607</v>
      </c>
      <c r="S31" s="691"/>
      <c r="T31" s="303">
        <v>2015</v>
      </c>
      <c r="U31" s="128" t="s">
        <v>39</v>
      </c>
    </row>
    <row r="32" spans="2:35" ht="15" hidden="1" customHeight="1">
      <c r="B32" s="342">
        <v>2015</v>
      </c>
      <c r="C32" s="695" t="s">
        <v>32</v>
      </c>
      <c r="D32" s="690">
        <v>1074</v>
      </c>
      <c r="E32" s="312"/>
      <c r="F32" s="312">
        <v>369</v>
      </c>
      <c r="G32" s="312"/>
      <c r="H32" s="312">
        <v>43</v>
      </c>
      <c r="I32" s="312"/>
      <c r="J32" s="312">
        <v>333</v>
      </c>
      <c r="K32" s="312"/>
      <c r="L32" s="312">
        <v>127</v>
      </c>
      <c r="M32" s="312"/>
      <c r="N32" s="312">
        <v>174</v>
      </c>
      <c r="O32" s="312"/>
      <c r="P32" s="312">
        <v>10</v>
      </c>
      <c r="Q32" s="312"/>
      <c r="R32" s="312">
        <f>SUM(D32:P32)</f>
        <v>2130</v>
      </c>
      <c r="S32" s="691"/>
      <c r="T32" s="303">
        <v>2015</v>
      </c>
      <c r="U32" s="128" t="s">
        <v>32</v>
      </c>
    </row>
    <row r="33" spans="2:21" ht="15" customHeight="1">
      <c r="B33" s="342">
        <v>2016</v>
      </c>
      <c r="C33" s="695" t="s">
        <v>33</v>
      </c>
      <c r="D33" s="690">
        <v>814</v>
      </c>
      <c r="E33" s="312"/>
      <c r="F33" s="312">
        <v>222</v>
      </c>
      <c r="G33" s="312"/>
      <c r="H33" s="312">
        <v>33</v>
      </c>
      <c r="I33" s="312"/>
      <c r="J33" s="312">
        <v>303</v>
      </c>
      <c r="K33" s="312"/>
      <c r="L33" s="312">
        <v>66</v>
      </c>
      <c r="M33" s="312"/>
      <c r="N33" s="312">
        <v>161</v>
      </c>
      <c r="O33" s="312"/>
      <c r="P33" s="312">
        <v>15</v>
      </c>
      <c r="Q33" s="312"/>
      <c r="R33" s="312">
        <f>SUM(D33:P33)</f>
        <v>1614</v>
      </c>
      <c r="S33" s="691"/>
      <c r="T33" s="303">
        <v>2016</v>
      </c>
      <c r="U33" s="128" t="s">
        <v>33</v>
      </c>
    </row>
    <row r="34" spans="2:21" ht="13.9" hidden="1" customHeight="1">
      <c r="B34" s="342">
        <v>2016</v>
      </c>
      <c r="C34" s="695" t="s">
        <v>34</v>
      </c>
      <c r="D34" s="690">
        <v>359</v>
      </c>
      <c r="E34" s="312"/>
      <c r="F34" s="312">
        <v>342</v>
      </c>
      <c r="G34" s="312"/>
      <c r="H34" s="312">
        <v>200</v>
      </c>
      <c r="I34" s="312"/>
      <c r="J34" s="312">
        <v>13</v>
      </c>
      <c r="K34" s="312"/>
      <c r="L34" s="312">
        <v>44</v>
      </c>
      <c r="M34" s="312"/>
      <c r="N34" s="312">
        <v>29</v>
      </c>
      <c r="O34" s="312"/>
      <c r="P34" s="312">
        <v>69</v>
      </c>
      <c r="Q34" s="312"/>
      <c r="R34" s="312">
        <f>D34+F34+H34+J34+L34+N34+P34</f>
        <v>1056</v>
      </c>
      <c r="S34" s="691"/>
      <c r="T34" s="303">
        <v>2016</v>
      </c>
      <c r="U34" s="128" t="s">
        <v>77</v>
      </c>
    </row>
    <row r="35" spans="2:21" ht="15" hidden="1" customHeight="1">
      <c r="B35" s="342">
        <v>2016</v>
      </c>
      <c r="C35" s="695" t="s">
        <v>29</v>
      </c>
      <c r="D35" s="690">
        <v>100</v>
      </c>
      <c r="E35" s="312"/>
      <c r="F35" s="312">
        <v>108</v>
      </c>
      <c r="G35" s="312"/>
      <c r="H35" s="312">
        <v>83</v>
      </c>
      <c r="I35" s="312"/>
      <c r="J35" s="312">
        <v>5</v>
      </c>
      <c r="K35" s="312"/>
      <c r="L35" s="312">
        <v>24</v>
      </c>
      <c r="M35" s="312"/>
      <c r="N35" s="312">
        <v>7</v>
      </c>
      <c r="O35" s="312"/>
      <c r="P35" s="312">
        <v>32</v>
      </c>
      <c r="Q35" s="312"/>
      <c r="R35" s="312">
        <f>D35+F35+H35+J35+L35+N35+P35</f>
        <v>359</v>
      </c>
      <c r="S35" s="691"/>
      <c r="T35" s="303">
        <v>2016</v>
      </c>
      <c r="U35" s="128" t="s">
        <v>29</v>
      </c>
    </row>
    <row r="36" spans="2:21" ht="15" hidden="1" customHeight="1">
      <c r="B36" s="342">
        <v>2016</v>
      </c>
      <c r="C36" s="695" t="s">
        <v>35</v>
      </c>
      <c r="D36" s="690">
        <v>576</v>
      </c>
      <c r="E36" s="312"/>
      <c r="F36" s="312">
        <v>552</v>
      </c>
      <c r="G36" s="312"/>
      <c r="H36" s="312">
        <v>321</v>
      </c>
      <c r="I36" s="312"/>
      <c r="J36" s="312">
        <v>54</v>
      </c>
      <c r="K36" s="312"/>
      <c r="L36" s="312">
        <v>54</v>
      </c>
      <c r="M36" s="312"/>
      <c r="N36" s="312">
        <v>39</v>
      </c>
      <c r="O36" s="312"/>
      <c r="P36" s="312">
        <v>110</v>
      </c>
      <c r="Q36" s="312"/>
      <c r="R36" s="312">
        <f>SUM(D36:P36)</f>
        <v>1706</v>
      </c>
      <c r="S36" s="691"/>
      <c r="T36" s="303">
        <v>2016</v>
      </c>
      <c r="U36" s="128" t="s">
        <v>78</v>
      </c>
    </row>
    <row r="37" spans="2:21" hidden="1">
      <c r="B37" s="342">
        <v>2016</v>
      </c>
      <c r="C37" s="695" t="s">
        <v>4</v>
      </c>
      <c r="D37" s="690">
        <v>578</v>
      </c>
      <c r="E37" s="312"/>
      <c r="F37" s="312">
        <v>529</v>
      </c>
      <c r="G37" s="312"/>
      <c r="H37" s="312">
        <v>270</v>
      </c>
      <c r="I37" s="312"/>
      <c r="J37" s="312">
        <v>87</v>
      </c>
      <c r="K37" s="312"/>
      <c r="L37" s="312">
        <v>49</v>
      </c>
      <c r="M37" s="312"/>
      <c r="N37" s="312">
        <v>81</v>
      </c>
      <c r="O37" s="312"/>
      <c r="P37" s="312">
        <v>147</v>
      </c>
      <c r="Q37" s="312"/>
      <c r="R37" s="312">
        <f>SUM(D37:P37)</f>
        <v>1741</v>
      </c>
      <c r="S37" s="691"/>
      <c r="T37" s="303">
        <v>2016</v>
      </c>
      <c r="U37" s="128" t="s">
        <v>79</v>
      </c>
    </row>
    <row r="38" spans="2:21" ht="15" hidden="1" customHeight="1">
      <c r="B38" s="342">
        <v>2016</v>
      </c>
      <c r="C38" s="695" t="s">
        <v>30</v>
      </c>
      <c r="D38" s="690">
        <v>800</v>
      </c>
      <c r="E38" s="312"/>
      <c r="F38" s="312">
        <v>745</v>
      </c>
      <c r="G38" s="312"/>
      <c r="H38" s="312">
        <v>490</v>
      </c>
      <c r="I38" s="312"/>
      <c r="J38" s="312">
        <v>190</v>
      </c>
      <c r="K38" s="312"/>
      <c r="L38" s="312">
        <v>113</v>
      </c>
      <c r="M38" s="312"/>
      <c r="N38" s="312">
        <v>97</v>
      </c>
      <c r="O38" s="312"/>
      <c r="P38" s="312">
        <v>238</v>
      </c>
      <c r="Q38" s="312"/>
      <c r="R38" s="312">
        <f>SUM(D38:P38)</f>
        <v>2673</v>
      </c>
      <c r="S38" s="691"/>
      <c r="T38" s="303">
        <v>2016</v>
      </c>
      <c r="U38" s="128" t="s">
        <v>80</v>
      </c>
    </row>
    <row r="39" spans="2:21" hidden="1">
      <c r="B39" s="342">
        <v>2016</v>
      </c>
      <c r="C39" s="695" t="s">
        <v>36</v>
      </c>
      <c r="D39" s="690">
        <v>1225</v>
      </c>
      <c r="E39" s="312"/>
      <c r="F39" s="312">
        <v>1244</v>
      </c>
      <c r="G39" s="312"/>
      <c r="H39" s="312">
        <v>954</v>
      </c>
      <c r="I39" s="312"/>
      <c r="J39" s="312">
        <v>53</v>
      </c>
      <c r="K39" s="312"/>
      <c r="L39" s="312">
        <v>132</v>
      </c>
      <c r="M39" s="312"/>
      <c r="N39" s="312">
        <v>104</v>
      </c>
      <c r="O39" s="312"/>
      <c r="P39" s="312">
        <v>371</v>
      </c>
      <c r="Q39" s="312"/>
      <c r="R39" s="312">
        <f>SUM(D39:P39)</f>
        <v>4083</v>
      </c>
      <c r="S39" s="691"/>
      <c r="T39" s="303">
        <v>2016</v>
      </c>
      <c r="U39" s="128" t="s">
        <v>81</v>
      </c>
    </row>
    <row r="40" spans="2:21" ht="15" hidden="1" customHeight="1">
      <c r="B40" s="342">
        <v>2016</v>
      </c>
      <c r="C40" s="695" t="s">
        <v>37</v>
      </c>
      <c r="D40" s="690">
        <v>1073</v>
      </c>
      <c r="E40" s="312"/>
      <c r="F40" s="312">
        <v>1003</v>
      </c>
      <c r="G40" s="312"/>
      <c r="H40" s="312">
        <v>547</v>
      </c>
      <c r="I40" s="312"/>
      <c r="J40" s="312">
        <v>45</v>
      </c>
      <c r="K40" s="312"/>
      <c r="L40" s="312">
        <v>145</v>
      </c>
      <c r="M40" s="312"/>
      <c r="N40" s="312">
        <v>99</v>
      </c>
      <c r="O40" s="312"/>
      <c r="P40" s="312">
        <v>297</v>
      </c>
      <c r="Q40" s="312"/>
      <c r="R40" s="412">
        <v>3209</v>
      </c>
      <c r="S40" s="691"/>
      <c r="T40" s="303">
        <v>2016</v>
      </c>
      <c r="U40" s="128" t="s">
        <v>82</v>
      </c>
    </row>
    <row r="41" spans="2:21" ht="15" hidden="1" customHeight="1">
      <c r="B41" s="342">
        <v>2016</v>
      </c>
      <c r="C41" s="695" t="s">
        <v>31</v>
      </c>
      <c r="D41" s="690">
        <v>821</v>
      </c>
      <c r="E41" s="312"/>
      <c r="F41" s="312">
        <v>830</v>
      </c>
      <c r="G41" s="312"/>
      <c r="H41" s="312">
        <v>620</v>
      </c>
      <c r="I41" s="312"/>
      <c r="J41" s="312">
        <v>23</v>
      </c>
      <c r="K41" s="312">
        <v>45</v>
      </c>
      <c r="L41" s="312">
        <v>45</v>
      </c>
      <c r="M41" s="312"/>
      <c r="N41" s="312">
        <v>129</v>
      </c>
      <c r="O41" s="312"/>
      <c r="P41" s="312">
        <v>324</v>
      </c>
      <c r="Q41" s="312"/>
      <c r="R41" s="312">
        <v>2792</v>
      </c>
      <c r="S41" s="691"/>
      <c r="T41" s="303">
        <v>2016</v>
      </c>
      <c r="U41" s="128" t="s">
        <v>31</v>
      </c>
    </row>
    <row r="42" spans="2:21" ht="15" hidden="1" customHeight="1">
      <c r="B42" s="342">
        <v>2016</v>
      </c>
      <c r="C42" s="695" t="s">
        <v>38</v>
      </c>
      <c r="D42" s="690">
        <v>363</v>
      </c>
      <c r="E42" s="312"/>
      <c r="F42" s="312">
        <v>334</v>
      </c>
      <c r="G42" s="312"/>
      <c r="H42" s="312">
        <v>250</v>
      </c>
      <c r="I42" s="312"/>
      <c r="J42" s="312">
        <v>11</v>
      </c>
      <c r="K42" s="312"/>
      <c r="L42" s="312">
        <v>41</v>
      </c>
      <c r="M42" s="312"/>
      <c r="N42" s="312">
        <v>40</v>
      </c>
      <c r="O42" s="312"/>
      <c r="P42" s="312">
        <v>145</v>
      </c>
      <c r="Q42" s="312"/>
      <c r="R42" s="312">
        <f t="shared" ref="R42:R51" si="9">SUM(D42:P42)</f>
        <v>1184</v>
      </c>
      <c r="S42" s="691"/>
      <c r="T42" s="303">
        <v>2016</v>
      </c>
      <c r="U42" s="128" t="s">
        <v>38</v>
      </c>
    </row>
    <row r="43" spans="2:21" ht="15" hidden="1" customHeight="1">
      <c r="B43" s="342">
        <v>2016</v>
      </c>
      <c r="C43" s="695" t="s">
        <v>39</v>
      </c>
      <c r="D43" s="690">
        <v>498</v>
      </c>
      <c r="E43" s="312"/>
      <c r="F43" s="312">
        <v>550</v>
      </c>
      <c r="G43" s="312"/>
      <c r="H43" s="312">
        <v>304</v>
      </c>
      <c r="I43" s="312"/>
      <c r="J43" s="312">
        <v>21</v>
      </c>
      <c r="K43" s="312"/>
      <c r="L43" s="312">
        <v>55</v>
      </c>
      <c r="M43" s="312"/>
      <c r="N43" s="312">
        <v>43</v>
      </c>
      <c r="O43" s="312"/>
      <c r="P43" s="312">
        <v>134</v>
      </c>
      <c r="Q43" s="312"/>
      <c r="R43" s="312">
        <f t="shared" si="9"/>
        <v>1605</v>
      </c>
      <c r="S43" s="691"/>
      <c r="T43" s="303">
        <v>2016</v>
      </c>
      <c r="U43" s="128" t="s">
        <v>39</v>
      </c>
    </row>
    <row r="44" spans="2:21" ht="15" hidden="1" customHeight="1">
      <c r="B44" s="342">
        <v>2016</v>
      </c>
      <c r="C44" s="695" t="s">
        <v>32</v>
      </c>
      <c r="D44" s="690">
        <v>567</v>
      </c>
      <c r="E44" s="312"/>
      <c r="F44" s="312">
        <v>402</v>
      </c>
      <c r="G44" s="312"/>
      <c r="H44" s="312">
        <v>256</v>
      </c>
      <c r="I44" s="312"/>
      <c r="J44" s="312">
        <v>15</v>
      </c>
      <c r="K44" s="312"/>
      <c r="L44" s="312">
        <v>167</v>
      </c>
      <c r="M44" s="312"/>
      <c r="N44" s="312">
        <v>34</v>
      </c>
      <c r="O44" s="312"/>
      <c r="P44" s="312">
        <v>91</v>
      </c>
      <c r="Q44" s="312"/>
      <c r="R44" s="312">
        <f t="shared" si="9"/>
        <v>1532</v>
      </c>
      <c r="S44" s="691"/>
      <c r="T44" s="303">
        <v>2016</v>
      </c>
      <c r="U44" s="128" t="s">
        <v>32</v>
      </c>
    </row>
    <row r="45" spans="2:21" ht="15" customHeight="1">
      <c r="B45" s="342">
        <v>2017</v>
      </c>
      <c r="C45" s="695" t="s">
        <v>33</v>
      </c>
      <c r="D45" s="690">
        <v>737</v>
      </c>
      <c r="E45" s="312"/>
      <c r="F45" s="312">
        <v>710</v>
      </c>
      <c r="G45" s="312"/>
      <c r="H45" s="312">
        <v>141</v>
      </c>
      <c r="I45" s="312"/>
      <c r="J45" s="312">
        <v>20</v>
      </c>
      <c r="K45" s="312"/>
      <c r="L45" s="312">
        <v>70</v>
      </c>
      <c r="M45" s="312"/>
      <c r="N45" s="312">
        <v>46</v>
      </c>
      <c r="O45" s="312"/>
      <c r="P45" s="312">
        <v>65</v>
      </c>
      <c r="Q45" s="312"/>
      <c r="R45" s="312">
        <f t="shared" si="9"/>
        <v>1789</v>
      </c>
      <c r="S45" s="691"/>
      <c r="T45" s="303">
        <v>2017</v>
      </c>
      <c r="U45" s="128" t="s">
        <v>33</v>
      </c>
    </row>
    <row r="46" spans="2:21" ht="13.9" hidden="1" customHeight="1">
      <c r="B46" s="342">
        <v>2017</v>
      </c>
      <c r="C46" s="695" t="s">
        <v>34</v>
      </c>
      <c r="D46" s="690">
        <v>349</v>
      </c>
      <c r="E46" s="312"/>
      <c r="F46" s="312">
        <v>311</v>
      </c>
      <c r="G46" s="312"/>
      <c r="H46" s="312">
        <v>65</v>
      </c>
      <c r="I46" s="312"/>
      <c r="J46" s="312">
        <v>11</v>
      </c>
      <c r="K46" s="312"/>
      <c r="L46" s="312">
        <v>36</v>
      </c>
      <c r="M46" s="312"/>
      <c r="N46" s="312">
        <v>21</v>
      </c>
      <c r="O46" s="312"/>
      <c r="P46" s="312">
        <v>72</v>
      </c>
      <c r="Q46" s="312"/>
      <c r="R46" s="312">
        <f t="shared" si="9"/>
        <v>865</v>
      </c>
      <c r="S46" s="691"/>
      <c r="T46" s="303">
        <v>2017</v>
      </c>
      <c r="U46" s="128" t="s">
        <v>77</v>
      </c>
    </row>
    <row r="47" spans="2:21" ht="15" hidden="1" customHeight="1">
      <c r="B47" s="342">
        <v>2017</v>
      </c>
      <c r="C47" s="695" t="s">
        <v>29</v>
      </c>
      <c r="D47" s="690">
        <v>479</v>
      </c>
      <c r="E47" s="312"/>
      <c r="F47" s="312">
        <v>513</v>
      </c>
      <c r="G47" s="312"/>
      <c r="H47" s="312">
        <v>212</v>
      </c>
      <c r="I47" s="312"/>
      <c r="J47" s="312">
        <v>4</v>
      </c>
      <c r="K47" s="312"/>
      <c r="L47" s="312">
        <v>59</v>
      </c>
      <c r="M47" s="312"/>
      <c r="N47" s="312">
        <v>51</v>
      </c>
      <c r="O47" s="312"/>
      <c r="P47" s="312">
        <v>76</v>
      </c>
      <c r="Q47" s="312"/>
      <c r="R47" s="312">
        <f t="shared" si="9"/>
        <v>1394</v>
      </c>
      <c r="S47" s="691"/>
      <c r="T47" s="303">
        <v>2017</v>
      </c>
      <c r="U47" s="128" t="s">
        <v>29</v>
      </c>
    </row>
    <row r="48" spans="2:21" ht="15" hidden="1" customHeight="1">
      <c r="B48" s="342">
        <v>2017</v>
      </c>
      <c r="C48" s="695" t="s">
        <v>35</v>
      </c>
      <c r="D48" s="690">
        <v>850</v>
      </c>
      <c r="E48" s="312"/>
      <c r="F48" s="312">
        <v>618</v>
      </c>
      <c r="G48" s="312"/>
      <c r="H48" s="312">
        <v>410</v>
      </c>
      <c r="I48" s="312"/>
      <c r="J48" s="312">
        <v>76</v>
      </c>
      <c r="K48" s="312"/>
      <c r="L48" s="312">
        <v>64</v>
      </c>
      <c r="M48" s="312"/>
      <c r="N48" s="312">
        <v>54</v>
      </c>
      <c r="O48" s="312"/>
      <c r="P48" s="312">
        <v>163</v>
      </c>
      <c r="Q48" s="312"/>
      <c r="R48" s="312">
        <f t="shared" si="9"/>
        <v>2235</v>
      </c>
      <c r="S48" s="691"/>
      <c r="T48" s="303">
        <v>2017</v>
      </c>
      <c r="U48" s="128" t="s">
        <v>78</v>
      </c>
    </row>
    <row r="49" spans="2:21" ht="15.75" hidden="1" customHeight="1">
      <c r="B49" s="342">
        <v>2017</v>
      </c>
      <c r="C49" s="695" t="s">
        <v>4</v>
      </c>
      <c r="D49" s="690">
        <v>758</v>
      </c>
      <c r="E49" s="312"/>
      <c r="F49" s="312">
        <v>688</v>
      </c>
      <c r="G49" s="312"/>
      <c r="H49" s="312">
        <v>334</v>
      </c>
      <c r="I49" s="312"/>
      <c r="J49" s="312">
        <v>147</v>
      </c>
      <c r="K49" s="312"/>
      <c r="L49" s="312">
        <v>65</v>
      </c>
      <c r="M49" s="312"/>
      <c r="N49" s="312">
        <v>73</v>
      </c>
      <c r="O49" s="312"/>
      <c r="P49" s="312">
        <v>169</v>
      </c>
      <c r="Q49" s="312"/>
      <c r="R49" s="312">
        <f t="shared" si="9"/>
        <v>2234</v>
      </c>
      <c r="S49" s="691"/>
      <c r="T49" s="303">
        <v>2017</v>
      </c>
      <c r="U49" s="128" t="s">
        <v>79</v>
      </c>
    </row>
    <row r="50" spans="2:21" ht="12.95" hidden="1" customHeight="1">
      <c r="B50" s="342">
        <v>2017</v>
      </c>
      <c r="C50" s="695" t="s">
        <v>30</v>
      </c>
      <c r="D50" s="690">
        <v>970</v>
      </c>
      <c r="E50" s="312"/>
      <c r="F50" s="312">
        <v>814</v>
      </c>
      <c r="G50" s="312"/>
      <c r="H50" s="312">
        <v>412</v>
      </c>
      <c r="I50" s="312"/>
      <c r="J50" s="312">
        <v>108</v>
      </c>
      <c r="K50" s="312"/>
      <c r="L50" s="312">
        <v>99</v>
      </c>
      <c r="M50" s="312"/>
      <c r="N50" s="312">
        <v>90</v>
      </c>
      <c r="O50" s="312"/>
      <c r="P50" s="312">
        <v>282</v>
      </c>
      <c r="Q50" s="312"/>
      <c r="R50" s="312">
        <f t="shared" si="9"/>
        <v>2775</v>
      </c>
      <c r="S50" s="691"/>
      <c r="T50" s="303">
        <v>2017</v>
      </c>
      <c r="U50" s="128" t="s">
        <v>80</v>
      </c>
    </row>
    <row r="51" spans="2:21" ht="12.95" hidden="1" customHeight="1">
      <c r="B51" s="342">
        <v>2017</v>
      </c>
      <c r="C51" s="695" t="s">
        <v>36</v>
      </c>
      <c r="D51" s="690">
        <v>1433</v>
      </c>
      <c r="E51" s="382"/>
      <c r="F51" s="312">
        <v>1352</v>
      </c>
      <c r="G51" s="382"/>
      <c r="H51" s="312">
        <v>542</v>
      </c>
      <c r="I51" s="382"/>
      <c r="J51" s="382">
        <v>42</v>
      </c>
      <c r="K51" s="312"/>
      <c r="L51" s="312">
        <v>119</v>
      </c>
      <c r="M51" s="382"/>
      <c r="N51" s="312">
        <v>115</v>
      </c>
      <c r="O51" s="382"/>
      <c r="P51" s="312">
        <v>384</v>
      </c>
      <c r="Q51" s="382"/>
      <c r="R51" s="312">
        <f t="shared" si="9"/>
        <v>3987</v>
      </c>
      <c r="S51" s="703"/>
      <c r="T51" s="303">
        <v>2017</v>
      </c>
      <c r="U51" s="128" t="s">
        <v>81</v>
      </c>
    </row>
    <row r="52" spans="2:21" ht="12.95" hidden="1" customHeight="1">
      <c r="B52" s="342">
        <v>2017</v>
      </c>
      <c r="C52" s="695" t="s">
        <v>37</v>
      </c>
      <c r="D52" s="247">
        <v>994</v>
      </c>
      <c r="E52" s="249"/>
      <c r="F52" s="249">
        <v>753</v>
      </c>
      <c r="G52" s="249"/>
      <c r="H52" s="249">
        <v>262</v>
      </c>
      <c r="I52" s="249"/>
      <c r="J52" s="249">
        <v>21</v>
      </c>
      <c r="K52" s="249"/>
      <c r="L52" s="249">
        <v>117</v>
      </c>
      <c r="M52" s="249"/>
      <c r="N52" s="249">
        <v>99</v>
      </c>
      <c r="O52" s="249"/>
      <c r="P52" s="249">
        <v>264</v>
      </c>
      <c r="Q52" s="383"/>
      <c r="R52" s="312">
        <f t="shared" ref="R52:R57" si="10">SUM(D52:P52)</f>
        <v>2510</v>
      </c>
      <c r="S52" s="691"/>
      <c r="T52" s="303">
        <v>2017</v>
      </c>
      <c r="U52" s="128" t="s">
        <v>82</v>
      </c>
    </row>
    <row r="53" spans="2:21" hidden="1">
      <c r="B53" s="342">
        <v>2017</v>
      </c>
      <c r="C53" s="695" t="s">
        <v>31</v>
      </c>
      <c r="D53" s="247">
        <v>1058</v>
      </c>
      <c r="E53" s="249"/>
      <c r="F53" s="249">
        <v>861</v>
      </c>
      <c r="G53" s="249"/>
      <c r="H53" s="249">
        <v>275</v>
      </c>
      <c r="I53" s="249"/>
      <c r="J53" s="249">
        <v>43</v>
      </c>
      <c r="K53" s="249"/>
      <c r="L53" s="249">
        <v>117</v>
      </c>
      <c r="M53" s="249"/>
      <c r="N53" s="249">
        <v>74</v>
      </c>
      <c r="O53" s="249"/>
      <c r="P53" s="249">
        <v>322</v>
      </c>
      <c r="Q53" s="312"/>
      <c r="R53" s="312">
        <f t="shared" si="10"/>
        <v>2750</v>
      </c>
      <c r="S53" s="691"/>
      <c r="T53" s="303">
        <v>2017</v>
      </c>
      <c r="U53" s="128" t="s">
        <v>31</v>
      </c>
    </row>
    <row r="54" spans="2:21" ht="12.95" hidden="1" customHeight="1">
      <c r="B54" s="342">
        <v>2017</v>
      </c>
      <c r="C54" s="695" t="s">
        <v>38</v>
      </c>
      <c r="D54" s="690">
        <v>1085</v>
      </c>
      <c r="E54" s="312"/>
      <c r="F54" s="312">
        <v>878</v>
      </c>
      <c r="G54" s="312"/>
      <c r="H54" s="312">
        <v>318</v>
      </c>
      <c r="I54" s="312"/>
      <c r="J54" s="312">
        <v>41</v>
      </c>
      <c r="K54" s="312"/>
      <c r="L54" s="312">
        <v>157</v>
      </c>
      <c r="M54" s="312"/>
      <c r="N54" s="312">
        <v>120</v>
      </c>
      <c r="O54" s="312"/>
      <c r="P54" s="312">
        <v>298</v>
      </c>
      <c r="Q54" s="312"/>
      <c r="R54" s="312">
        <f t="shared" si="10"/>
        <v>2897</v>
      </c>
      <c r="S54" s="691"/>
      <c r="T54" s="303">
        <v>2017</v>
      </c>
      <c r="U54" s="128" t="s">
        <v>38</v>
      </c>
    </row>
    <row r="55" spans="2:21" ht="12.95" hidden="1" customHeight="1">
      <c r="B55" s="342">
        <v>2017</v>
      </c>
      <c r="C55" s="695" t="s">
        <v>39</v>
      </c>
      <c r="D55" s="690">
        <v>750</v>
      </c>
      <c r="E55" s="312"/>
      <c r="F55" s="312">
        <v>685</v>
      </c>
      <c r="G55" s="312"/>
      <c r="H55" s="312">
        <v>231</v>
      </c>
      <c r="I55" s="312"/>
      <c r="J55" s="312">
        <v>9</v>
      </c>
      <c r="K55" s="312"/>
      <c r="L55" s="312">
        <v>76</v>
      </c>
      <c r="M55" s="312"/>
      <c r="N55" s="312">
        <v>66</v>
      </c>
      <c r="O55" s="312"/>
      <c r="P55" s="312">
        <v>192</v>
      </c>
      <c r="Q55" s="312"/>
      <c r="R55" s="312">
        <f t="shared" si="10"/>
        <v>2009</v>
      </c>
      <c r="S55" s="691"/>
      <c r="T55" s="303">
        <v>2017</v>
      </c>
      <c r="U55" s="128" t="s">
        <v>39</v>
      </c>
    </row>
    <row r="56" spans="2:21" ht="12.95" hidden="1" customHeight="1">
      <c r="B56" s="342">
        <v>2017</v>
      </c>
      <c r="C56" s="695" t="s">
        <v>32</v>
      </c>
      <c r="D56" s="690">
        <v>838</v>
      </c>
      <c r="E56" s="312"/>
      <c r="F56" s="312">
        <v>657</v>
      </c>
      <c r="G56" s="312"/>
      <c r="H56" s="312">
        <v>131</v>
      </c>
      <c r="I56" s="312"/>
      <c r="J56" s="312">
        <v>28</v>
      </c>
      <c r="K56" s="312"/>
      <c r="L56" s="312">
        <v>92</v>
      </c>
      <c r="M56" s="312"/>
      <c r="N56" s="312">
        <v>28</v>
      </c>
      <c r="O56" s="312"/>
      <c r="P56" s="312">
        <v>129</v>
      </c>
      <c r="Q56" s="312"/>
      <c r="R56" s="312">
        <f t="shared" si="10"/>
        <v>1903</v>
      </c>
      <c r="S56" s="691"/>
      <c r="T56" s="303">
        <v>2017</v>
      </c>
      <c r="U56" s="128" t="s">
        <v>32</v>
      </c>
    </row>
    <row r="57" spans="2:21">
      <c r="B57" s="342">
        <v>2018</v>
      </c>
      <c r="C57" s="695" t="s">
        <v>33</v>
      </c>
      <c r="D57" s="690">
        <v>1080</v>
      </c>
      <c r="E57" s="312"/>
      <c r="F57" s="312">
        <v>1109</v>
      </c>
      <c r="G57" s="312"/>
      <c r="H57" s="312">
        <v>220</v>
      </c>
      <c r="I57" s="312"/>
      <c r="J57" s="312">
        <v>7</v>
      </c>
      <c r="K57" s="312"/>
      <c r="L57" s="312">
        <v>76</v>
      </c>
      <c r="M57" s="312"/>
      <c r="N57" s="312">
        <v>76</v>
      </c>
      <c r="O57" s="312"/>
      <c r="P57" s="312">
        <v>148</v>
      </c>
      <c r="Q57" s="312"/>
      <c r="R57" s="312">
        <f t="shared" si="10"/>
        <v>2716</v>
      </c>
      <c r="S57" s="691"/>
      <c r="T57" s="303">
        <v>2018</v>
      </c>
      <c r="U57" s="128" t="s">
        <v>33</v>
      </c>
    </row>
    <row r="58" spans="2:21" ht="13.9" hidden="1" customHeight="1">
      <c r="B58" s="342">
        <v>2018</v>
      </c>
      <c r="C58" s="695" t="s">
        <v>34</v>
      </c>
      <c r="D58" s="690">
        <v>607</v>
      </c>
      <c r="E58" s="312"/>
      <c r="F58" s="312">
        <v>494</v>
      </c>
      <c r="G58" s="312"/>
      <c r="H58" s="312">
        <v>147</v>
      </c>
      <c r="I58" s="312"/>
      <c r="J58" s="312">
        <v>21</v>
      </c>
      <c r="K58" s="312"/>
      <c r="L58" s="312">
        <v>60</v>
      </c>
      <c r="M58" s="312"/>
      <c r="N58" s="312">
        <v>17</v>
      </c>
      <c r="O58" s="312"/>
      <c r="P58" s="312">
        <v>64</v>
      </c>
      <c r="Q58" s="312"/>
      <c r="R58" s="312">
        <f t="shared" ref="R58:R63" si="11">SUM(D58:P58)</f>
        <v>1410</v>
      </c>
      <c r="S58" s="691"/>
      <c r="T58" s="303">
        <v>2018</v>
      </c>
      <c r="U58" s="128" t="s">
        <v>77</v>
      </c>
    </row>
    <row r="59" spans="2:21" ht="12.95" hidden="1" customHeight="1">
      <c r="B59" s="342">
        <v>2018</v>
      </c>
      <c r="C59" s="695" t="s">
        <v>29</v>
      </c>
      <c r="D59" s="690">
        <v>404</v>
      </c>
      <c r="E59" s="312"/>
      <c r="F59" s="312">
        <v>428</v>
      </c>
      <c r="G59" s="312"/>
      <c r="H59" s="312">
        <v>130</v>
      </c>
      <c r="I59" s="312"/>
      <c r="J59" s="312">
        <v>10</v>
      </c>
      <c r="K59" s="312"/>
      <c r="L59" s="312">
        <v>33</v>
      </c>
      <c r="M59" s="312"/>
      <c r="N59" s="312">
        <v>27</v>
      </c>
      <c r="O59" s="312"/>
      <c r="P59" s="312">
        <v>118</v>
      </c>
      <c r="Q59" s="312"/>
      <c r="R59" s="312">
        <f t="shared" si="11"/>
        <v>1150</v>
      </c>
      <c r="S59" s="691"/>
      <c r="T59" s="303">
        <v>2018</v>
      </c>
      <c r="U59" s="128" t="s">
        <v>29</v>
      </c>
    </row>
    <row r="60" spans="2:21" ht="12.95" hidden="1" customHeight="1">
      <c r="B60" s="342">
        <v>2018</v>
      </c>
      <c r="C60" s="695" t="s">
        <v>35</v>
      </c>
      <c r="D60" s="690">
        <v>872</v>
      </c>
      <c r="E60" s="312"/>
      <c r="F60" s="312">
        <v>660</v>
      </c>
      <c r="G60" s="312"/>
      <c r="H60" s="312">
        <v>417</v>
      </c>
      <c r="I60" s="312"/>
      <c r="J60" s="312">
        <v>63</v>
      </c>
      <c r="K60" s="312"/>
      <c r="L60" s="312">
        <v>59</v>
      </c>
      <c r="M60" s="312"/>
      <c r="N60" s="312">
        <v>56</v>
      </c>
      <c r="O60" s="312"/>
      <c r="P60" s="312">
        <v>217</v>
      </c>
      <c r="Q60" s="312"/>
      <c r="R60" s="312">
        <f t="shared" si="11"/>
        <v>2344</v>
      </c>
      <c r="S60" s="691"/>
      <c r="T60" s="303">
        <v>2018</v>
      </c>
      <c r="U60" s="128" t="s">
        <v>78</v>
      </c>
    </row>
    <row r="61" spans="2:21" ht="12.95" hidden="1" customHeight="1">
      <c r="B61" s="342">
        <v>2018</v>
      </c>
      <c r="C61" s="695" t="s">
        <v>4</v>
      </c>
      <c r="D61" s="690">
        <v>963</v>
      </c>
      <c r="E61" s="312"/>
      <c r="F61" s="312">
        <v>855</v>
      </c>
      <c r="G61" s="312"/>
      <c r="H61" s="312">
        <v>508</v>
      </c>
      <c r="I61" s="312"/>
      <c r="J61" s="312">
        <v>135</v>
      </c>
      <c r="K61" s="312"/>
      <c r="L61" s="312">
        <v>114</v>
      </c>
      <c r="M61" s="312"/>
      <c r="N61" s="312">
        <v>79</v>
      </c>
      <c r="O61" s="312"/>
      <c r="P61" s="312">
        <v>209</v>
      </c>
      <c r="Q61" s="312"/>
      <c r="R61" s="312">
        <f t="shared" si="11"/>
        <v>2863</v>
      </c>
      <c r="S61" s="691"/>
      <c r="T61" s="303">
        <v>2018</v>
      </c>
      <c r="U61" s="128" t="s">
        <v>79</v>
      </c>
    </row>
    <row r="62" spans="2:21" ht="12.95" hidden="1" customHeight="1">
      <c r="B62" s="342">
        <v>2018</v>
      </c>
      <c r="C62" s="695" t="s">
        <v>30</v>
      </c>
      <c r="D62" s="690">
        <v>932</v>
      </c>
      <c r="E62" s="312"/>
      <c r="F62" s="312">
        <v>836</v>
      </c>
      <c r="G62" s="312"/>
      <c r="H62" s="312">
        <v>263</v>
      </c>
      <c r="I62" s="312"/>
      <c r="J62" s="312">
        <v>102</v>
      </c>
      <c r="K62" s="312"/>
      <c r="L62" s="312">
        <v>117</v>
      </c>
      <c r="M62" s="312"/>
      <c r="N62" s="312">
        <v>71</v>
      </c>
      <c r="O62" s="312"/>
      <c r="P62" s="312">
        <v>169</v>
      </c>
      <c r="Q62" s="312"/>
      <c r="R62" s="312">
        <f t="shared" si="11"/>
        <v>2490</v>
      </c>
      <c r="S62" s="691"/>
      <c r="T62" s="303">
        <v>2018</v>
      </c>
      <c r="U62" s="128" t="s">
        <v>80</v>
      </c>
    </row>
    <row r="63" spans="2:21" ht="12.95" hidden="1" customHeight="1">
      <c r="B63" s="342">
        <v>2018</v>
      </c>
      <c r="C63" s="695" t="s">
        <v>36</v>
      </c>
      <c r="D63" s="690">
        <v>1565</v>
      </c>
      <c r="E63" s="312"/>
      <c r="F63" s="312">
        <v>1566</v>
      </c>
      <c r="G63" s="312"/>
      <c r="H63" s="312">
        <v>628</v>
      </c>
      <c r="I63" s="312"/>
      <c r="J63" s="312">
        <v>81</v>
      </c>
      <c r="K63" s="312"/>
      <c r="L63" s="312">
        <v>145</v>
      </c>
      <c r="M63" s="312"/>
      <c r="N63" s="312">
        <v>133</v>
      </c>
      <c r="O63" s="312"/>
      <c r="P63" s="312">
        <v>335</v>
      </c>
      <c r="Q63" s="312"/>
      <c r="R63" s="312">
        <f t="shared" si="11"/>
        <v>4453</v>
      </c>
      <c r="S63" s="691"/>
      <c r="T63" s="303">
        <v>2018</v>
      </c>
      <c r="U63" s="128" t="s">
        <v>81</v>
      </c>
    </row>
    <row r="64" spans="2:21" ht="12.75" hidden="1" customHeight="1">
      <c r="B64" s="342">
        <v>2018</v>
      </c>
      <c r="C64" s="695" t="s">
        <v>271</v>
      </c>
      <c r="D64" s="690">
        <v>1465</v>
      </c>
      <c r="E64" s="312"/>
      <c r="F64" s="312">
        <v>1303</v>
      </c>
      <c r="G64" s="312"/>
      <c r="H64" s="312">
        <v>544</v>
      </c>
      <c r="I64" s="312"/>
      <c r="J64" s="312">
        <v>31</v>
      </c>
      <c r="K64" s="312"/>
      <c r="L64" s="312">
        <v>206</v>
      </c>
      <c r="M64" s="312"/>
      <c r="N64" s="312">
        <v>126</v>
      </c>
      <c r="O64" s="312"/>
      <c r="P64" s="312">
        <v>247</v>
      </c>
      <c r="Q64" s="312"/>
      <c r="R64" s="312">
        <f t="shared" ref="R64:R72" si="12">SUM(D64:P64)</f>
        <v>3922</v>
      </c>
      <c r="S64" s="691"/>
      <c r="T64" s="303">
        <v>2018</v>
      </c>
      <c r="U64" s="411" t="str">
        <f>U52</f>
        <v>Aoû</v>
      </c>
    </row>
    <row r="65" spans="2:21" hidden="1">
      <c r="B65" s="342">
        <v>2018</v>
      </c>
      <c r="C65" s="695" t="s">
        <v>31</v>
      </c>
      <c r="D65" s="690">
        <v>1031</v>
      </c>
      <c r="E65" s="312"/>
      <c r="F65" s="312">
        <v>910</v>
      </c>
      <c r="G65" s="312"/>
      <c r="H65" s="312">
        <v>611</v>
      </c>
      <c r="I65" s="312"/>
      <c r="J65" s="312">
        <v>13</v>
      </c>
      <c r="K65" s="312"/>
      <c r="L65" s="312">
        <v>144</v>
      </c>
      <c r="M65" s="312"/>
      <c r="N65" s="312">
        <v>98</v>
      </c>
      <c r="O65" s="312"/>
      <c r="P65" s="312">
        <v>345</v>
      </c>
      <c r="Q65" s="312"/>
      <c r="R65" s="312">
        <f t="shared" si="12"/>
        <v>3152</v>
      </c>
      <c r="S65" s="691"/>
      <c r="T65" s="303">
        <v>2018</v>
      </c>
      <c r="U65" s="411" t="s">
        <v>31</v>
      </c>
    </row>
    <row r="66" spans="2:21" ht="12.75" hidden="1" customHeight="1">
      <c r="B66" s="342">
        <v>2018</v>
      </c>
      <c r="C66" s="695" t="s">
        <v>38</v>
      </c>
      <c r="D66" s="690">
        <v>1221</v>
      </c>
      <c r="E66" s="312"/>
      <c r="F66" s="312">
        <v>1146</v>
      </c>
      <c r="G66" s="312"/>
      <c r="H66" s="312">
        <v>586</v>
      </c>
      <c r="I66" s="312"/>
      <c r="J66" s="312">
        <v>33</v>
      </c>
      <c r="K66" s="312"/>
      <c r="L66" s="312">
        <v>160</v>
      </c>
      <c r="M66" s="312"/>
      <c r="N66" s="312">
        <v>130</v>
      </c>
      <c r="O66" s="312"/>
      <c r="P66" s="312">
        <v>413</v>
      </c>
      <c r="Q66" s="312"/>
      <c r="R66" s="312">
        <f t="shared" si="12"/>
        <v>3689</v>
      </c>
      <c r="S66" s="691"/>
      <c r="T66" s="303">
        <v>2018</v>
      </c>
      <c r="U66" s="411" t="s">
        <v>38</v>
      </c>
    </row>
    <row r="67" spans="2:21" ht="12.75" hidden="1" customHeight="1">
      <c r="B67" s="342">
        <v>2018</v>
      </c>
      <c r="C67" s="695" t="s">
        <v>39</v>
      </c>
      <c r="D67" s="690">
        <v>755</v>
      </c>
      <c r="E67" s="312"/>
      <c r="F67" s="312">
        <v>707</v>
      </c>
      <c r="G67" s="312"/>
      <c r="H67" s="312">
        <v>289</v>
      </c>
      <c r="I67" s="312"/>
      <c r="J67" s="312">
        <v>27</v>
      </c>
      <c r="K67" s="312"/>
      <c r="L67" s="312">
        <v>75</v>
      </c>
      <c r="M67" s="312"/>
      <c r="N67" s="312">
        <v>54</v>
      </c>
      <c r="O67" s="312"/>
      <c r="P67" s="312">
        <v>135</v>
      </c>
      <c r="Q67" s="312"/>
      <c r="R67" s="312">
        <f t="shared" si="12"/>
        <v>2042</v>
      </c>
      <c r="S67" s="691"/>
      <c r="T67" s="303">
        <v>2018</v>
      </c>
      <c r="U67" s="411" t="s">
        <v>39</v>
      </c>
    </row>
    <row r="68" spans="2:21" ht="12.75" hidden="1" customHeight="1">
      <c r="B68" s="342">
        <v>2018</v>
      </c>
      <c r="C68" s="695" t="s">
        <v>32</v>
      </c>
      <c r="D68" s="690">
        <v>363</v>
      </c>
      <c r="E68" s="312"/>
      <c r="F68" s="312">
        <v>335</v>
      </c>
      <c r="G68" s="312"/>
      <c r="H68" s="312">
        <v>76</v>
      </c>
      <c r="I68" s="312"/>
      <c r="J68" s="312">
        <v>4</v>
      </c>
      <c r="K68" s="312"/>
      <c r="L68" s="312">
        <v>31</v>
      </c>
      <c r="M68" s="312"/>
      <c r="N68" s="312">
        <v>7</v>
      </c>
      <c r="O68" s="312"/>
      <c r="P68" s="312">
        <v>60</v>
      </c>
      <c r="Q68" s="312"/>
      <c r="R68" s="312">
        <f t="shared" si="12"/>
        <v>876</v>
      </c>
      <c r="S68" s="691"/>
      <c r="T68" s="303">
        <v>2018</v>
      </c>
      <c r="U68" s="411" t="s">
        <v>32</v>
      </c>
    </row>
    <row r="69" spans="2:21" ht="12.75" customHeight="1">
      <c r="B69" s="342">
        <v>2019</v>
      </c>
      <c r="C69" s="695" t="s">
        <v>295</v>
      </c>
      <c r="D69" s="690">
        <f>779</f>
        <v>779</v>
      </c>
      <c r="E69" s="312"/>
      <c r="F69" s="312">
        <v>873</v>
      </c>
      <c r="G69" s="312"/>
      <c r="H69" s="312">
        <v>192</v>
      </c>
      <c r="I69" s="312"/>
      <c r="J69" s="312">
        <v>13</v>
      </c>
      <c r="K69" s="312"/>
      <c r="L69" s="312">
        <v>60</v>
      </c>
      <c r="M69" s="312"/>
      <c r="N69" s="312">
        <v>4</v>
      </c>
      <c r="O69" s="312"/>
      <c r="P69" s="312">
        <v>158</v>
      </c>
      <c r="Q69" s="312"/>
      <c r="R69" s="312">
        <f t="shared" si="12"/>
        <v>2079</v>
      </c>
      <c r="S69" s="691"/>
      <c r="T69" s="303">
        <v>2019</v>
      </c>
      <c r="U69" s="93" t="s">
        <v>295</v>
      </c>
    </row>
    <row r="70" spans="2:21" ht="12" hidden="1" customHeight="1">
      <c r="B70" s="342">
        <v>2019</v>
      </c>
      <c r="C70" s="695" t="s">
        <v>296</v>
      </c>
      <c r="D70" s="690">
        <v>503</v>
      </c>
      <c r="E70" s="312"/>
      <c r="F70" s="312">
        <v>375</v>
      </c>
      <c r="G70" s="312"/>
      <c r="H70" s="312">
        <v>236</v>
      </c>
      <c r="I70" s="312"/>
      <c r="J70" s="312">
        <v>7</v>
      </c>
      <c r="K70" s="312"/>
      <c r="L70" s="312">
        <v>41</v>
      </c>
      <c r="M70" s="312"/>
      <c r="N70" s="312">
        <v>8</v>
      </c>
      <c r="O70" s="312"/>
      <c r="P70" s="312">
        <f>1222-SUM(D70:N70)</f>
        <v>52</v>
      </c>
      <c r="Q70" s="312"/>
      <c r="R70" s="312">
        <f t="shared" si="12"/>
        <v>1222</v>
      </c>
      <c r="S70" s="691"/>
      <c r="T70" s="303">
        <v>2019</v>
      </c>
      <c r="U70" s="93" t="s">
        <v>298</v>
      </c>
    </row>
    <row r="71" spans="2:21" ht="12" hidden="1" customHeight="1">
      <c r="B71" s="342">
        <v>2019</v>
      </c>
      <c r="C71" s="695" t="s">
        <v>297</v>
      </c>
      <c r="D71" s="690">
        <v>487</v>
      </c>
      <c r="E71" s="312"/>
      <c r="F71" s="312">
        <v>482</v>
      </c>
      <c r="G71" s="312"/>
      <c r="H71" s="312">
        <v>292</v>
      </c>
      <c r="I71" s="312"/>
      <c r="J71" s="312">
        <v>20</v>
      </c>
      <c r="K71" s="312"/>
      <c r="L71" s="312">
        <v>60</v>
      </c>
      <c r="M71" s="312"/>
      <c r="N71" s="312">
        <v>29</v>
      </c>
      <c r="O71" s="312"/>
      <c r="P71" s="312">
        <v>172</v>
      </c>
      <c r="Q71" s="312"/>
      <c r="R71" s="312">
        <f t="shared" si="12"/>
        <v>1542</v>
      </c>
      <c r="S71" s="691"/>
      <c r="T71" s="303">
        <v>2019</v>
      </c>
      <c r="U71" s="93" t="s">
        <v>297</v>
      </c>
    </row>
    <row r="72" spans="2:21" ht="12" hidden="1" customHeight="1">
      <c r="B72" s="342">
        <v>2019</v>
      </c>
      <c r="C72" s="695" t="s">
        <v>300</v>
      </c>
      <c r="D72" s="690">
        <v>1012</v>
      </c>
      <c r="E72" s="312"/>
      <c r="F72" s="312">
        <v>906</v>
      </c>
      <c r="G72" s="312"/>
      <c r="H72" s="312">
        <v>531</v>
      </c>
      <c r="I72" s="312"/>
      <c r="J72" s="312">
        <v>102</v>
      </c>
      <c r="K72" s="312"/>
      <c r="L72" s="312">
        <v>86</v>
      </c>
      <c r="M72" s="312"/>
      <c r="N72" s="312">
        <v>37</v>
      </c>
      <c r="O72" s="312"/>
      <c r="P72" s="312">
        <v>234</v>
      </c>
      <c r="Q72" s="312"/>
      <c r="R72" s="312">
        <f t="shared" si="12"/>
        <v>2908</v>
      </c>
      <c r="S72" s="691"/>
      <c r="T72" s="303">
        <v>2019</v>
      </c>
      <c r="U72" s="93" t="s">
        <v>301</v>
      </c>
    </row>
    <row r="73" spans="2:21" ht="12" hidden="1" customHeight="1">
      <c r="B73" s="342">
        <v>2019</v>
      </c>
      <c r="C73" s="695" t="s">
        <v>302</v>
      </c>
      <c r="D73" s="690">
        <v>922</v>
      </c>
      <c r="E73" s="312"/>
      <c r="F73" s="312">
        <v>950</v>
      </c>
      <c r="G73" s="312"/>
      <c r="H73" s="312">
        <v>352</v>
      </c>
      <c r="I73" s="312"/>
      <c r="J73" s="312">
        <v>153</v>
      </c>
      <c r="K73" s="312"/>
      <c r="L73" s="312">
        <v>74</v>
      </c>
      <c r="M73" s="312"/>
      <c r="N73" s="312">
        <v>50</v>
      </c>
      <c r="O73" s="312"/>
      <c r="P73" s="312">
        <v>201</v>
      </c>
      <c r="Q73" s="312"/>
      <c r="R73" s="312">
        <f>SUM(D73:P73)</f>
        <v>2702</v>
      </c>
      <c r="S73" s="691"/>
      <c r="T73" s="303">
        <v>2019</v>
      </c>
      <c r="U73" s="93" t="s">
        <v>303</v>
      </c>
    </row>
    <row r="74" spans="2:21" ht="12" hidden="1" customHeight="1">
      <c r="B74" s="342">
        <v>2019</v>
      </c>
      <c r="C74" s="695" t="s">
        <v>310</v>
      </c>
      <c r="D74" s="690">
        <v>910</v>
      </c>
      <c r="E74" s="312"/>
      <c r="F74" s="312">
        <v>796</v>
      </c>
      <c r="G74" s="312"/>
      <c r="H74" s="312">
        <v>385</v>
      </c>
      <c r="I74" s="312"/>
      <c r="J74" s="312">
        <v>109</v>
      </c>
      <c r="K74" s="312"/>
      <c r="L74" s="312">
        <v>82</v>
      </c>
      <c r="M74" s="312"/>
      <c r="N74" s="312">
        <v>70</v>
      </c>
      <c r="O74" s="312"/>
      <c r="P74" s="312">
        <v>174</v>
      </c>
      <c r="Q74" s="312"/>
      <c r="R74" s="312">
        <f>SUM(D74:P74)</f>
        <v>2526</v>
      </c>
      <c r="S74" s="691"/>
      <c r="T74" s="303">
        <v>2019</v>
      </c>
      <c r="U74" s="93" t="s">
        <v>311</v>
      </c>
    </row>
    <row r="75" spans="2:21" ht="12" hidden="1" customHeight="1">
      <c r="B75" s="342">
        <v>2019</v>
      </c>
      <c r="C75" s="695" t="s">
        <v>314</v>
      </c>
      <c r="D75" s="690">
        <v>1594</v>
      </c>
      <c r="E75" s="312"/>
      <c r="F75" s="312">
        <v>1584</v>
      </c>
      <c r="G75" s="312"/>
      <c r="H75" s="312">
        <v>906</v>
      </c>
      <c r="I75" s="312"/>
      <c r="J75" s="312">
        <v>65</v>
      </c>
      <c r="K75" s="312"/>
      <c r="L75" s="312">
        <v>123</v>
      </c>
      <c r="M75" s="312"/>
      <c r="N75" s="312">
        <v>50</v>
      </c>
      <c r="O75" s="312"/>
      <c r="P75" s="312">
        <v>414</v>
      </c>
      <c r="Q75" s="312"/>
      <c r="R75" s="312">
        <v>4736</v>
      </c>
      <c r="S75" s="691"/>
      <c r="T75" s="303">
        <v>2019</v>
      </c>
      <c r="U75" s="93" t="s">
        <v>315</v>
      </c>
    </row>
    <row r="76" spans="2:21" ht="12" hidden="1" customHeight="1">
      <c r="B76" s="342">
        <v>2019</v>
      </c>
      <c r="C76" s="695" t="s">
        <v>317</v>
      </c>
      <c r="D76" s="690">
        <v>1012</v>
      </c>
      <c r="E76" s="312"/>
      <c r="F76" s="312">
        <v>906</v>
      </c>
      <c r="G76" s="312"/>
      <c r="H76" s="312">
        <v>531</v>
      </c>
      <c r="I76" s="312"/>
      <c r="J76" s="312">
        <v>102</v>
      </c>
      <c r="K76" s="312"/>
      <c r="L76" s="312">
        <v>86</v>
      </c>
      <c r="M76" s="312"/>
      <c r="N76" s="312">
        <v>37</v>
      </c>
      <c r="O76" s="312"/>
      <c r="P76" s="312">
        <v>234</v>
      </c>
      <c r="Q76" s="312"/>
      <c r="R76" s="312">
        <f t="shared" ref="R76:R81" si="13">SUM(D76:P76)</f>
        <v>2908</v>
      </c>
      <c r="S76" s="691"/>
      <c r="T76" s="303"/>
      <c r="U76" s="93" t="s">
        <v>318</v>
      </c>
    </row>
    <row r="77" spans="2:21" ht="12" hidden="1" customHeight="1">
      <c r="B77" s="342">
        <v>2019</v>
      </c>
      <c r="C77" s="695" t="s">
        <v>326</v>
      </c>
      <c r="D77" s="690">
        <v>1020</v>
      </c>
      <c r="E77" s="312"/>
      <c r="F77" s="312">
        <v>993</v>
      </c>
      <c r="G77" s="312"/>
      <c r="H77" s="312">
        <v>376</v>
      </c>
      <c r="I77" s="312"/>
      <c r="J77" s="312">
        <v>25</v>
      </c>
      <c r="K77" s="312"/>
      <c r="L77" s="312">
        <v>80</v>
      </c>
      <c r="M77" s="312"/>
      <c r="N77" s="312">
        <v>35</v>
      </c>
      <c r="O77" s="312"/>
      <c r="P77" s="312">
        <v>238</v>
      </c>
      <c r="Q77" s="312"/>
      <c r="R77" s="312">
        <f t="shared" si="13"/>
        <v>2767</v>
      </c>
      <c r="S77" s="691"/>
      <c r="T77" s="303"/>
      <c r="U77" s="93" t="s">
        <v>326</v>
      </c>
    </row>
    <row r="78" spans="2:21" ht="12" hidden="1" customHeight="1">
      <c r="B78" s="342">
        <v>2019</v>
      </c>
      <c r="C78" s="695" t="s">
        <v>330</v>
      </c>
      <c r="D78" s="690">
        <v>1040</v>
      </c>
      <c r="E78" s="312"/>
      <c r="F78" s="312">
        <v>1045</v>
      </c>
      <c r="G78" s="312"/>
      <c r="H78" s="312">
        <v>418</v>
      </c>
      <c r="I78" s="312"/>
      <c r="J78" s="312">
        <v>29</v>
      </c>
      <c r="K78" s="312"/>
      <c r="L78" s="312">
        <v>80</v>
      </c>
      <c r="M78" s="312"/>
      <c r="N78" s="312">
        <v>37</v>
      </c>
      <c r="O78" s="312"/>
      <c r="P78" s="312">
        <v>308</v>
      </c>
      <c r="Q78" s="312"/>
      <c r="R78" s="312">
        <f t="shared" si="13"/>
        <v>2957</v>
      </c>
      <c r="S78" s="691"/>
      <c r="T78" s="303">
        <v>2019</v>
      </c>
      <c r="U78" s="93" t="s">
        <v>330</v>
      </c>
    </row>
    <row r="79" spans="2:21" ht="12" hidden="1" customHeight="1">
      <c r="B79" s="342">
        <v>2019</v>
      </c>
      <c r="C79" s="695" t="s">
        <v>331</v>
      </c>
      <c r="D79" s="690">
        <v>852</v>
      </c>
      <c r="E79" s="312"/>
      <c r="F79" s="312">
        <v>705</v>
      </c>
      <c r="G79" s="312"/>
      <c r="H79" s="312">
        <v>282</v>
      </c>
      <c r="I79" s="312"/>
      <c r="J79" s="312">
        <v>17</v>
      </c>
      <c r="K79" s="312"/>
      <c r="L79" s="312">
        <v>64</v>
      </c>
      <c r="M79" s="312"/>
      <c r="N79" s="312">
        <v>21</v>
      </c>
      <c r="O79" s="312"/>
      <c r="P79" s="312">
        <v>124</v>
      </c>
      <c r="Q79" s="312"/>
      <c r="R79" s="312">
        <f t="shared" si="13"/>
        <v>2065</v>
      </c>
      <c r="S79" s="691"/>
      <c r="T79" s="303">
        <v>2019</v>
      </c>
      <c r="U79" s="93" t="s">
        <v>331</v>
      </c>
    </row>
    <row r="80" spans="2:21" ht="12" hidden="1" customHeight="1">
      <c r="B80" s="342">
        <v>2019</v>
      </c>
      <c r="C80" s="695" t="s">
        <v>333</v>
      </c>
      <c r="D80" s="690">
        <v>717</v>
      </c>
      <c r="E80" s="312"/>
      <c r="F80" s="312">
        <v>640</v>
      </c>
      <c r="G80" s="312"/>
      <c r="H80" s="312">
        <v>250</v>
      </c>
      <c r="I80" s="312"/>
      <c r="J80" s="312">
        <v>18</v>
      </c>
      <c r="K80" s="312"/>
      <c r="L80" s="312">
        <v>63</v>
      </c>
      <c r="M80" s="312"/>
      <c r="N80" s="312">
        <v>26</v>
      </c>
      <c r="O80" s="312"/>
      <c r="P80" s="312">
        <v>133</v>
      </c>
      <c r="Q80" s="312"/>
      <c r="R80" s="312">
        <f t="shared" si="13"/>
        <v>1847</v>
      </c>
      <c r="S80" s="691"/>
      <c r="T80" s="303">
        <v>2019</v>
      </c>
      <c r="U80" s="93" t="s">
        <v>333</v>
      </c>
    </row>
    <row r="81" spans="2:21" ht="13.5" customHeight="1">
      <c r="B81" s="342">
        <v>2020</v>
      </c>
      <c r="C81" s="695" t="s">
        <v>295</v>
      </c>
      <c r="D81" s="690">
        <v>1338</v>
      </c>
      <c r="E81" s="312"/>
      <c r="F81" s="312">
        <v>1211</v>
      </c>
      <c r="G81" s="312"/>
      <c r="H81" s="312">
        <v>350</v>
      </c>
      <c r="I81" s="312"/>
      <c r="J81" s="312">
        <v>30</v>
      </c>
      <c r="K81" s="312"/>
      <c r="L81" s="312">
        <v>78</v>
      </c>
      <c r="M81" s="312"/>
      <c r="N81" s="312">
        <v>26</v>
      </c>
      <c r="O81" s="312"/>
      <c r="P81" s="312">
        <v>258</v>
      </c>
      <c r="Q81" s="312"/>
      <c r="R81" s="312">
        <f t="shared" si="13"/>
        <v>3291</v>
      </c>
      <c r="S81" s="691"/>
      <c r="T81" s="303">
        <v>2020</v>
      </c>
      <c r="U81" s="411" t="s">
        <v>295</v>
      </c>
    </row>
    <row r="82" spans="2:21" ht="12" customHeight="1">
      <c r="B82" s="381"/>
      <c r="C82" s="695" t="s">
        <v>296</v>
      </c>
      <c r="D82" s="690">
        <v>592</v>
      </c>
      <c r="E82" s="312"/>
      <c r="F82" s="312">
        <v>666</v>
      </c>
      <c r="G82" s="312"/>
      <c r="H82" s="312">
        <v>115</v>
      </c>
      <c r="I82" s="312"/>
      <c r="J82" s="312">
        <v>16</v>
      </c>
      <c r="K82" s="312"/>
      <c r="L82" s="312">
        <v>54</v>
      </c>
      <c r="M82" s="312"/>
      <c r="N82" s="312">
        <v>15</v>
      </c>
      <c r="O82" s="312"/>
      <c r="P82" s="312">
        <v>96</v>
      </c>
      <c r="Q82" s="312"/>
      <c r="R82" s="312">
        <f t="shared" ref="R82:R87" si="14">SUM(D82:P82)</f>
        <v>1554</v>
      </c>
      <c r="S82" s="691"/>
      <c r="T82" s="303"/>
      <c r="U82" s="411" t="s">
        <v>298</v>
      </c>
    </row>
    <row r="83" spans="2:21" ht="12" customHeight="1">
      <c r="B83" s="381"/>
      <c r="C83" s="695" t="s">
        <v>338</v>
      </c>
      <c r="D83" s="690">
        <v>304</v>
      </c>
      <c r="E83" s="312"/>
      <c r="F83" s="312">
        <v>496</v>
      </c>
      <c r="G83" s="312"/>
      <c r="H83" s="312">
        <v>167</v>
      </c>
      <c r="I83" s="312"/>
      <c r="J83" s="312">
        <v>14</v>
      </c>
      <c r="K83" s="312"/>
      <c r="L83" s="312">
        <v>52</v>
      </c>
      <c r="M83" s="312"/>
      <c r="N83" s="312">
        <v>5</v>
      </c>
      <c r="O83" s="312"/>
      <c r="P83" s="312">
        <v>129</v>
      </c>
      <c r="Q83" s="312"/>
      <c r="R83" s="312">
        <f t="shared" si="14"/>
        <v>1167</v>
      </c>
      <c r="S83" s="691"/>
      <c r="T83" s="303"/>
      <c r="U83" s="411" t="s">
        <v>297</v>
      </c>
    </row>
    <row r="84" spans="2:21" ht="12" customHeight="1">
      <c r="B84" s="381"/>
      <c r="C84" s="695" t="s">
        <v>300</v>
      </c>
      <c r="D84" s="690">
        <v>35</v>
      </c>
      <c r="E84" s="312"/>
      <c r="F84" s="312">
        <v>79</v>
      </c>
      <c r="G84" s="312"/>
      <c r="H84" s="312">
        <v>1</v>
      </c>
      <c r="I84" s="312"/>
      <c r="J84" s="312">
        <v>0</v>
      </c>
      <c r="K84" s="312"/>
      <c r="L84" s="312">
        <v>17</v>
      </c>
      <c r="M84" s="312"/>
      <c r="N84" s="312">
        <v>1</v>
      </c>
      <c r="O84" s="312"/>
      <c r="P84" s="312">
        <v>18</v>
      </c>
      <c r="Q84" s="312"/>
      <c r="R84" s="312">
        <f t="shared" si="14"/>
        <v>151</v>
      </c>
      <c r="S84" s="691"/>
      <c r="T84" s="303"/>
      <c r="U84" s="93" t="s">
        <v>301</v>
      </c>
    </row>
    <row r="85" spans="2:21" ht="12" customHeight="1">
      <c r="B85" s="381"/>
      <c r="C85" s="695" t="s">
        <v>302</v>
      </c>
      <c r="D85" s="690">
        <v>4</v>
      </c>
      <c r="E85" s="312"/>
      <c r="F85" s="312">
        <v>13</v>
      </c>
      <c r="G85" s="312"/>
      <c r="H85" s="312" t="s">
        <v>344</v>
      </c>
      <c r="I85" s="312"/>
      <c r="J85" s="312">
        <v>0</v>
      </c>
      <c r="K85" s="312"/>
      <c r="L85" s="312">
        <v>2</v>
      </c>
      <c r="M85" s="312"/>
      <c r="N85" s="312">
        <v>0</v>
      </c>
      <c r="O85" s="312"/>
      <c r="P85" s="312">
        <v>7</v>
      </c>
      <c r="Q85" s="312"/>
      <c r="R85" s="312">
        <f t="shared" si="14"/>
        <v>26</v>
      </c>
      <c r="S85" s="691"/>
      <c r="T85" s="303"/>
      <c r="U85" s="411" t="s">
        <v>303</v>
      </c>
    </row>
    <row r="86" spans="2:21" ht="12" customHeight="1">
      <c r="B86" s="381"/>
      <c r="C86" s="695" t="s">
        <v>310</v>
      </c>
      <c r="D86" s="690">
        <v>10</v>
      </c>
      <c r="E86" s="312"/>
      <c r="F86" s="312">
        <v>19</v>
      </c>
      <c r="G86" s="312"/>
      <c r="H86" s="312">
        <v>1</v>
      </c>
      <c r="I86" s="312"/>
      <c r="J86" s="312">
        <v>4</v>
      </c>
      <c r="K86" s="312"/>
      <c r="L86" s="312">
        <v>1</v>
      </c>
      <c r="M86" s="312"/>
      <c r="N86" s="312">
        <v>0</v>
      </c>
      <c r="O86" s="312"/>
      <c r="P86" s="312">
        <v>4</v>
      </c>
      <c r="Q86" s="312"/>
      <c r="R86" s="312">
        <f t="shared" si="14"/>
        <v>39</v>
      </c>
      <c r="S86" s="691"/>
      <c r="T86" s="303"/>
      <c r="U86" s="411" t="s">
        <v>311</v>
      </c>
    </row>
    <row r="87" spans="2:21" ht="12" customHeight="1">
      <c r="B87" s="381"/>
      <c r="C87" s="695" t="s">
        <v>314</v>
      </c>
      <c r="D87" s="690">
        <v>0</v>
      </c>
      <c r="E87" s="312"/>
      <c r="F87" s="312">
        <v>5</v>
      </c>
      <c r="G87" s="312"/>
      <c r="H87" s="312">
        <v>0</v>
      </c>
      <c r="I87" s="312"/>
      <c r="J87" s="312">
        <v>0</v>
      </c>
      <c r="K87" s="312"/>
      <c r="L87" s="312">
        <v>1</v>
      </c>
      <c r="M87" s="312"/>
      <c r="N87" s="312">
        <v>0</v>
      </c>
      <c r="O87" s="312"/>
      <c r="P87" s="312">
        <v>0</v>
      </c>
      <c r="Q87" s="312"/>
      <c r="R87" s="312">
        <f t="shared" si="14"/>
        <v>6</v>
      </c>
      <c r="S87" s="691"/>
      <c r="T87" s="303"/>
      <c r="U87" s="411" t="s">
        <v>315</v>
      </c>
    </row>
    <row r="88" spans="2:21" ht="12" customHeight="1">
      <c r="B88" s="381"/>
      <c r="C88" s="695" t="s">
        <v>317</v>
      </c>
      <c r="D88" s="690">
        <v>0</v>
      </c>
      <c r="E88" s="312"/>
      <c r="F88" s="312">
        <v>0</v>
      </c>
      <c r="G88" s="312"/>
      <c r="H88" s="312">
        <v>0</v>
      </c>
      <c r="I88" s="312"/>
      <c r="J88" s="312">
        <v>0</v>
      </c>
      <c r="K88" s="312"/>
      <c r="L88" s="312">
        <v>0</v>
      </c>
      <c r="M88" s="312"/>
      <c r="N88" s="312">
        <v>0</v>
      </c>
      <c r="O88" s="312"/>
      <c r="P88" s="312">
        <v>0</v>
      </c>
      <c r="Q88" s="312"/>
      <c r="R88" s="312">
        <v>0</v>
      </c>
      <c r="S88" s="691"/>
      <c r="T88" s="303"/>
      <c r="U88" s="93" t="s">
        <v>318</v>
      </c>
    </row>
    <row r="89" spans="2:21" ht="12" customHeight="1">
      <c r="B89" s="381"/>
      <c r="C89" s="695" t="s">
        <v>326</v>
      </c>
      <c r="D89" s="690">
        <v>0</v>
      </c>
      <c r="E89" s="312"/>
      <c r="F89" s="312">
        <v>0</v>
      </c>
      <c r="G89" s="312"/>
      <c r="H89" s="312">
        <v>0</v>
      </c>
      <c r="I89" s="312"/>
      <c r="J89" s="312">
        <v>0</v>
      </c>
      <c r="K89" s="312"/>
      <c r="L89" s="312">
        <v>0</v>
      </c>
      <c r="M89" s="312"/>
      <c r="N89" s="312">
        <v>0</v>
      </c>
      <c r="O89" s="312"/>
      <c r="P89" s="312">
        <v>0</v>
      </c>
      <c r="Q89" s="312"/>
      <c r="R89" s="312">
        <v>0</v>
      </c>
      <c r="S89" s="691"/>
      <c r="T89" s="303"/>
      <c r="U89" s="93" t="s">
        <v>326</v>
      </c>
    </row>
    <row r="90" spans="2:21" ht="12" customHeight="1">
      <c r="B90" s="381"/>
      <c r="C90" s="695" t="s">
        <v>330</v>
      </c>
      <c r="D90" s="690">
        <v>0</v>
      </c>
      <c r="E90" s="312"/>
      <c r="F90" s="312">
        <v>0</v>
      </c>
      <c r="G90" s="312"/>
      <c r="H90" s="312">
        <v>0</v>
      </c>
      <c r="I90" s="312"/>
      <c r="J90" s="312">
        <v>0</v>
      </c>
      <c r="K90" s="312"/>
      <c r="L90" s="312">
        <v>0</v>
      </c>
      <c r="M90" s="312"/>
      <c r="N90" s="312">
        <v>0</v>
      </c>
      <c r="O90" s="312"/>
      <c r="P90" s="312">
        <v>0</v>
      </c>
      <c r="Q90" s="312"/>
      <c r="R90" s="312">
        <f>SUM(D90:P90)</f>
        <v>0</v>
      </c>
      <c r="S90" s="691"/>
      <c r="T90" s="303"/>
      <c r="U90" s="93" t="s">
        <v>330</v>
      </c>
    </row>
    <row r="91" spans="2:21" ht="12" customHeight="1">
      <c r="B91" s="381"/>
      <c r="C91" s="695" t="s">
        <v>331</v>
      </c>
      <c r="D91" s="690">
        <v>0</v>
      </c>
      <c r="E91" s="312"/>
      <c r="F91" s="312">
        <v>0</v>
      </c>
      <c r="G91" s="312"/>
      <c r="H91" s="312">
        <v>0</v>
      </c>
      <c r="I91" s="312"/>
      <c r="J91" s="312">
        <v>0</v>
      </c>
      <c r="K91" s="312"/>
      <c r="L91" s="312">
        <v>0</v>
      </c>
      <c r="M91" s="312"/>
      <c r="N91" s="312">
        <v>0</v>
      </c>
      <c r="O91" s="312"/>
      <c r="P91" s="312">
        <v>0</v>
      </c>
      <c r="Q91" s="312"/>
      <c r="R91" s="312">
        <v>0</v>
      </c>
      <c r="S91" s="691"/>
      <c r="T91" s="303"/>
      <c r="U91" s="93" t="s">
        <v>331</v>
      </c>
    </row>
    <row r="92" spans="2:21" ht="12" customHeight="1">
      <c r="B92" s="381"/>
      <c r="C92" s="695" t="s">
        <v>333</v>
      </c>
      <c r="D92" s="690">
        <v>0</v>
      </c>
      <c r="E92" s="312"/>
      <c r="F92" s="312">
        <v>0</v>
      </c>
      <c r="G92" s="312"/>
      <c r="H92" s="312">
        <v>0</v>
      </c>
      <c r="I92" s="312">
        <v>0</v>
      </c>
      <c r="J92" s="312">
        <v>0</v>
      </c>
      <c r="K92" s="312"/>
      <c r="L92" s="312">
        <v>0</v>
      </c>
      <c r="M92" s="312"/>
      <c r="N92" s="312">
        <v>0</v>
      </c>
      <c r="O92" s="312"/>
      <c r="P92" s="312">
        <v>0</v>
      </c>
      <c r="Q92" s="312"/>
      <c r="R92" s="312">
        <v>0</v>
      </c>
      <c r="S92" s="691"/>
      <c r="T92" s="303"/>
      <c r="U92" s="93" t="s">
        <v>333</v>
      </c>
    </row>
    <row r="93" spans="2:21" ht="12" customHeight="1">
      <c r="B93" s="375">
        <v>2021</v>
      </c>
      <c r="C93" s="694" t="s">
        <v>295</v>
      </c>
      <c r="D93" s="704">
        <v>0</v>
      </c>
      <c r="E93" s="366"/>
      <c r="F93" s="366">
        <v>0</v>
      </c>
      <c r="G93" s="366"/>
      <c r="H93" s="366">
        <v>0</v>
      </c>
      <c r="I93" s="366"/>
      <c r="J93" s="366">
        <v>0</v>
      </c>
      <c r="K93" s="366"/>
      <c r="L93" s="366">
        <v>0</v>
      </c>
      <c r="M93" s="366"/>
      <c r="N93" s="366">
        <v>0</v>
      </c>
      <c r="O93" s="366"/>
      <c r="P93" s="366">
        <v>0</v>
      </c>
      <c r="Q93" s="366"/>
      <c r="R93" s="366">
        <v>0</v>
      </c>
      <c r="S93" s="756"/>
      <c r="T93" s="692">
        <v>2021</v>
      </c>
      <c r="U93" s="99" t="s">
        <v>295</v>
      </c>
    </row>
    <row r="94" spans="2:21">
      <c r="B94" s="302" t="s">
        <v>313</v>
      </c>
      <c r="C94" s="12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</row>
    <row r="95" spans="2:21">
      <c r="B95" s="304" t="s">
        <v>257</v>
      </c>
      <c r="C95" s="414" t="s">
        <v>272</v>
      </c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</row>
    <row r="96" spans="2:21">
      <c r="B96" s="291"/>
      <c r="C96" s="1" t="s">
        <v>299</v>
      </c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</row>
    <row r="97" spans="4:22">
      <c r="D97" s="550">
        <f>D93/D81-1</f>
        <v>-1</v>
      </c>
      <c r="E97" s="550"/>
      <c r="F97" s="550">
        <f>F93/F81-1</f>
        <v>-1</v>
      </c>
      <c r="G97" s="550"/>
      <c r="H97" s="550">
        <f t="shared" ref="H97:R97" si="15">H93/H81-1</f>
        <v>-1</v>
      </c>
      <c r="I97" s="550"/>
      <c r="J97" s="550">
        <f t="shared" si="15"/>
        <v>-1</v>
      </c>
      <c r="K97" s="550"/>
      <c r="L97" s="550">
        <f t="shared" si="15"/>
        <v>-1</v>
      </c>
      <c r="M97" s="550"/>
      <c r="N97" s="550">
        <f t="shared" si="15"/>
        <v>-1</v>
      </c>
      <c r="O97" s="550"/>
      <c r="P97" s="550">
        <f t="shared" si="15"/>
        <v>-1</v>
      </c>
      <c r="Q97" s="550"/>
      <c r="R97" s="550">
        <f t="shared" si="15"/>
        <v>-1</v>
      </c>
      <c r="S97" s="550"/>
      <c r="T97" s="551" t="s">
        <v>328</v>
      </c>
      <c r="U97" s="552"/>
      <c r="V97" s="306"/>
    </row>
    <row r="98" spans="4:22">
      <c r="D98" s="553" t="e">
        <f>D93/D92-1</f>
        <v>#DIV/0!</v>
      </c>
      <c r="E98" s="553"/>
      <c r="F98" s="553" t="e">
        <f t="shared" ref="F98:R98" si="16">F93/F92-1</f>
        <v>#DIV/0!</v>
      </c>
      <c r="G98" s="553"/>
      <c r="H98" s="553" t="e">
        <f t="shared" si="16"/>
        <v>#DIV/0!</v>
      </c>
      <c r="I98" s="553"/>
      <c r="J98" s="553" t="e">
        <f>J93/J92-1</f>
        <v>#DIV/0!</v>
      </c>
      <c r="K98" s="553"/>
      <c r="L98" s="553" t="e">
        <f t="shared" si="16"/>
        <v>#DIV/0!</v>
      </c>
      <c r="M98" s="553"/>
      <c r="N98" s="553" t="e">
        <f t="shared" si="16"/>
        <v>#DIV/0!</v>
      </c>
      <c r="O98" s="553"/>
      <c r="P98" s="553" t="e">
        <f t="shared" si="16"/>
        <v>#DIV/0!</v>
      </c>
      <c r="Q98" s="553"/>
      <c r="R98" s="553" t="e">
        <f t="shared" si="16"/>
        <v>#DIV/0!</v>
      </c>
      <c r="S98" s="553"/>
      <c r="T98" s="554" t="s">
        <v>329</v>
      </c>
      <c r="U98" s="552"/>
      <c r="V98" s="306"/>
    </row>
    <row r="99" spans="4:22">
      <c r="D99" s="555" t="e">
        <f>(D93/$R93)*100</f>
        <v>#DIV/0!</v>
      </c>
      <c r="E99" s="555"/>
      <c r="F99" s="555" t="e">
        <f t="shared" ref="F99:R99" si="17">(F93/$R93)*100</f>
        <v>#DIV/0!</v>
      </c>
      <c r="G99" s="555"/>
      <c r="H99" s="555" t="e">
        <f t="shared" si="17"/>
        <v>#DIV/0!</v>
      </c>
      <c r="I99" s="555"/>
      <c r="J99" s="555" t="e">
        <f t="shared" si="17"/>
        <v>#DIV/0!</v>
      </c>
      <c r="K99" s="555"/>
      <c r="L99" s="555" t="e">
        <f t="shared" si="17"/>
        <v>#DIV/0!</v>
      </c>
      <c r="M99" s="555"/>
      <c r="N99" s="555" t="e">
        <f t="shared" si="17"/>
        <v>#DIV/0!</v>
      </c>
      <c r="O99" s="555"/>
      <c r="P99" s="555" t="e">
        <f t="shared" si="17"/>
        <v>#DIV/0!</v>
      </c>
      <c r="Q99" s="555"/>
      <c r="R99" s="555" t="e">
        <f t="shared" si="17"/>
        <v>#DIV/0!</v>
      </c>
      <c r="S99" s="555"/>
      <c r="T99" s="556" t="s">
        <v>258</v>
      </c>
      <c r="U99" s="556"/>
      <c r="V99" s="307"/>
    </row>
    <row r="100" spans="4:22">
      <c r="D100" s="557" t="e">
        <f>D93/$R$93</f>
        <v>#DIV/0!</v>
      </c>
      <c r="E100" s="557"/>
      <c r="F100" s="557" t="e">
        <f>F93/$R$93</f>
        <v>#DIV/0!</v>
      </c>
      <c r="G100" s="557"/>
      <c r="H100" s="557" t="e">
        <f>H93/$R$93</f>
        <v>#DIV/0!</v>
      </c>
      <c r="I100" s="557"/>
      <c r="J100" s="557" t="e">
        <f>J93/$R$93</f>
        <v>#DIV/0!</v>
      </c>
      <c r="K100" s="557"/>
      <c r="L100" s="557" t="e">
        <f>L93/$R$93</f>
        <v>#DIV/0!</v>
      </c>
      <c r="M100" s="557"/>
      <c r="N100" s="557" t="e">
        <f>N93/$R$93</f>
        <v>#DIV/0!</v>
      </c>
      <c r="O100" s="557"/>
      <c r="P100" s="557" t="e">
        <f>P93/$R$93</f>
        <v>#DIV/0!</v>
      </c>
      <c r="Q100" s="557"/>
      <c r="R100" s="557" t="e">
        <f>R93/$R$93</f>
        <v>#DIV/0!</v>
      </c>
      <c r="S100" s="557"/>
      <c r="T100" s="556" t="s">
        <v>261</v>
      </c>
      <c r="U100" s="558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2.75"/>
  <cols>
    <col min="1" max="1" width="6.85546875" customWidth="1"/>
    <col min="2" max="2" width="24.5703125" customWidth="1"/>
    <col min="3" max="3" width="2" customWidth="1"/>
    <col min="4" max="4" width="18.28515625" customWidth="1"/>
    <col min="5" max="5" width="7.7109375" customWidth="1"/>
    <col min="6" max="6" width="14.7109375" customWidth="1"/>
    <col min="7" max="7" width="7.7109375" customWidth="1"/>
    <col min="8" max="8" width="14.7109375" customWidth="1"/>
    <col min="9" max="9" width="7.7109375" customWidth="1"/>
    <col min="10" max="10" width="14.7109375" customWidth="1"/>
    <col min="11" max="11" width="7.7109375" customWidth="1"/>
    <col min="12" max="12" width="11.85546875" customWidth="1"/>
  </cols>
  <sheetData>
    <row r="2" spans="2:12" ht="14.25">
      <c r="B2" s="428" t="s">
        <v>293</v>
      </c>
      <c r="C2" s="428"/>
    </row>
    <row r="3" spans="2:12" ht="14.25">
      <c r="B3" s="428" t="s">
        <v>294</v>
      </c>
      <c r="C3" s="428"/>
    </row>
    <row r="4" spans="2:12" ht="5.25" customHeight="1">
      <c r="B4" s="427"/>
      <c r="C4" s="427"/>
    </row>
    <row r="5" spans="2:12" ht="25.5">
      <c r="B5" s="415" t="s">
        <v>277</v>
      </c>
      <c r="C5" s="440"/>
      <c r="D5" s="453" t="s">
        <v>190</v>
      </c>
      <c r="E5" s="416"/>
      <c r="F5" s="416" t="s">
        <v>172</v>
      </c>
      <c r="G5" s="416"/>
      <c r="H5" s="416" t="s">
        <v>178</v>
      </c>
      <c r="I5" s="416"/>
      <c r="J5" s="416" t="s">
        <v>278</v>
      </c>
      <c r="K5" s="440"/>
      <c r="L5" s="1286" t="s">
        <v>225</v>
      </c>
    </row>
    <row r="6" spans="2:12" ht="25.5">
      <c r="B6" s="486" t="s">
        <v>283</v>
      </c>
      <c r="C6" s="452"/>
      <c r="D6" s="454" t="s">
        <v>279</v>
      </c>
      <c r="E6" s="451" t="s">
        <v>242</v>
      </c>
      <c r="F6" s="451" t="s">
        <v>99</v>
      </c>
      <c r="G6" s="451" t="s">
        <v>242</v>
      </c>
      <c r="H6" s="451" t="s">
        <v>281</v>
      </c>
      <c r="I6" s="451" t="s">
        <v>242</v>
      </c>
      <c r="J6" s="451" t="s">
        <v>282</v>
      </c>
      <c r="K6" s="452" t="s">
        <v>242</v>
      </c>
      <c r="L6" s="1287"/>
    </row>
    <row r="7" spans="2:12" ht="6.75" customHeight="1">
      <c r="B7" s="491"/>
      <c r="C7" s="443"/>
      <c r="D7" s="441"/>
      <c r="E7" s="441"/>
      <c r="F7" s="441"/>
      <c r="G7" s="441"/>
      <c r="H7" s="441"/>
      <c r="I7" s="441"/>
      <c r="J7" s="441"/>
      <c r="K7" s="442"/>
      <c r="L7" s="443"/>
    </row>
    <row r="8" spans="2:12" ht="30" customHeight="1">
      <c r="B8" s="486" t="s">
        <v>290</v>
      </c>
      <c r="C8" s="452"/>
      <c r="D8" s="502">
        <v>0</v>
      </c>
      <c r="E8" s="456" t="e">
        <f>D8/L8</f>
        <v>#DIV/0!</v>
      </c>
      <c r="F8" s="455">
        <v>0</v>
      </c>
      <c r="G8" s="456" t="e">
        <f>F8/L8</f>
        <v>#DIV/0!</v>
      </c>
      <c r="H8" s="455">
        <v>0</v>
      </c>
      <c r="I8" s="456" t="e">
        <f>H8/L8</f>
        <v>#DIV/0!</v>
      </c>
      <c r="J8" s="455">
        <v>0</v>
      </c>
      <c r="K8" s="457" t="e">
        <f>J8/L8</f>
        <v>#DIV/0!</v>
      </c>
      <c r="L8" s="458">
        <f>SUM(J8+H8+F8+D8)</f>
        <v>0</v>
      </c>
    </row>
    <row r="9" spans="2:12" ht="30" customHeight="1">
      <c r="B9" s="487" t="s">
        <v>291</v>
      </c>
      <c r="C9" s="488"/>
      <c r="D9" s="502">
        <v>0</v>
      </c>
      <c r="E9" s="456" t="e">
        <f t="shared" ref="E9:E16" si="0">D9/L9</f>
        <v>#DIV/0!</v>
      </c>
      <c r="F9" s="455">
        <v>0</v>
      </c>
      <c r="G9" s="456" t="e">
        <f t="shared" ref="G9:G15" si="1">F9/L9</f>
        <v>#DIV/0!</v>
      </c>
      <c r="H9" s="455">
        <v>0</v>
      </c>
      <c r="I9" s="456" t="e">
        <f t="shared" ref="I9:I16" si="2">H9/L9</f>
        <v>#DIV/0!</v>
      </c>
      <c r="J9" s="455">
        <v>0</v>
      </c>
      <c r="K9" s="457" t="e">
        <f t="shared" ref="K9:K16" si="3">J9/L9</f>
        <v>#DIV/0!</v>
      </c>
      <c r="L9" s="458">
        <f t="shared" ref="L9:L16" si="4">SUM(J9+H9+F9+D9)</f>
        <v>0</v>
      </c>
    </row>
    <row r="10" spans="2:12" ht="30" customHeight="1">
      <c r="B10" s="487" t="s">
        <v>305</v>
      </c>
      <c r="C10" s="488"/>
      <c r="D10" s="502">
        <v>0</v>
      </c>
      <c r="E10" s="456" t="e">
        <f t="shared" si="0"/>
        <v>#DIV/0!</v>
      </c>
      <c r="F10" s="455">
        <v>0</v>
      </c>
      <c r="G10" s="456" t="e">
        <f t="shared" si="1"/>
        <v>#DIV/0!</v>
      </c>
      <c r="H10" s="455">
        <v>0</v>
      </c>
      <c r="I10" s="456" t="e">
        <f t="shared" si="2"/>
        <v>#DIV/0!</v>
      </c>
      <c r="J10" s="455">
        <v>0</v>
      </c>
      <c r="K10" s="457" t="e">
        <f t="shared" si="3"/>
        <v>#DIV/0!</v>
      </c>
      <c r="L10" s="458">
        <f t="shared" si="4"/>
        <v>0</v>
      </c>
    </row>
    <row r="11" spans="2:12" ht="30" customHeight="1">
      <c r="B11" s="486" t="s">
        <v>292</v>
      </c>
      <c r="C11" s="452"/>
      <c r="D11" s="502">
        <v>0</v>
      </c>
      <c r="E11" s="456" t="e">
        <f t="shared" si="0"/>
        <v>#DIV/0!</v>
      </c>
      <c r="F11" s="455">
        <v>0</v>
      </c>
      <c r="G11" s="456" t="e">
        <f t="shared" si="1"/>
        <v>#DIV/0!</v>
      </c>
      <c r="H11" s="455">
        <v>0</v>
      </c>
      <c r="I11" s="456" t="e">
        <f t="shared" si="2"/>
        <v>#DIV/0!</v>
      </c>
      <c r="J11" s="455">
        <v>0</v>
      </c>
      <c r="K11" s="457" t="e">
        <f t="shared" si="3"/>
        <v>#DIV/0!</v>
      </c>
      <c r="L11" s="458">
        <f t="shared" si="4"/>
        <v>0</v>
      </c>
    </row>
    <row r="12" spans="2:12" ht="30" customHeight="1">
      <c r="B12" s="487" t="s">
        <v>304</v>
      </c>
      <c r="C12" s="452"/>
      <c r="D12" s="502">
        <v>0</v>
      </c>
      <c r="E12" s="456" t="e">
        <f t="shared" si="0"/>
        <v>#DIV/0!</v>
      </c>
      <c r="F12" s="455">
        <v>0</v>
      </c>
      <c r="G12" s="456" t="e">
        <f t="shared" si="1"/>
        <v>#DIV/0!</v>
      </c>
      <c r="H12" s="455">
        <v>0</v>
      </c>
      <c r="I12" s="456" t="e">
        <f t="shared" si="2"/>
        <v>#DIV/0!</v>
      </c>
      <c r="J12" s="455">
        <v>0</v>
      </c>
      <c r="K12" s="457" t="e">
        <f t="shared" si="3"/>
        <v>#DIV/0!</v>
      </c>
      <c r="L12" s="458">
        <f t="shared" si="4"/>
        <v>0</v>
      </c>
    </row>
    <row r="13" spans="2:12" ht="30" customHeight="1">
      <c r="B13" s="487" t="s">
        <v>306</v>
      </c>
      <c r="C13" s="488"/>
      <c r="D13" s="502">
        <v>0</v>
      </c>
      <c r="E13" s="456" t="e">
        <f t="shared" si="0"/>
        <v>#DIV/0!</v>
      </c>
      <c r="F13" s="455">
        <v>0</v>
      </c>
      <c r="G13" s="456" t="e">
        <f t="shared" si="1"/>
        <v>#DIV/0!</v>
      </c>
      <c r="H13" s="455">
        <v>0</v>
      </c>
      <c r="I13" s="456" t="e">
        <f t="shared" si="2"/>
        <v>#DIV/0!</v>
      </c>
      <c r="J13" s="455">
        <v>0</v>
      </c>
      <c r="K13" s="457" t="e">
        <f t="shared" si="3"/>
        <v>#DIV/0!</v>
      </c>
      <c r="L13" s="458">
        <f t="shared" si="4"/>
        <v>0</v>
      </c>
    </row>
    <row r="14" spans="2:12" ht="30" customHeight="1">
      <c r="B14" s="487" t="s">
        <v>307</v>
      </c>
      <c r="C14" s="488"/>
      <c r="D14" s="502">
        <v>0</v>
      </c>
      <c r="E14" s="456" t="e">
        <f t="shared" si="0"/>
        <v>#DIV/0!</v>
      </c>
      <c r="F14" s="455">
        <v>0</v>
      </c>
      <c r="G14" s="456" t="e">
        <f>F14/L14</f>
        <v>#DIV/0!</v>
      </c>
      <c r="H14" s="455">
        <v>0</v>
      </c>
      <c r="I14" s="456" t="e">
        <f t="shared" si="2"/>
        <v>#DIV/0!</v>
      </c>
      <c r="J14" s="455">
        <v>0</v>
      </c>
      <c r="K14" s="457" t="e">
        <f t="shared" si="3"/>
        <v>#DIV/0!</v>
      </c>
      <c r="L14" s="458">
        <f t="shared" si="4"/>
        <v>0</v>
      </c>
    </row>
    <row r="15" spans="2:12" ht="30" customHeight="1">
      <c r="B15" s="487" t="s">
        <v>308</v>
      </c>
      <c r="C15" s="488"/>
      <c r="D15" s="502">
        <v>0</v>
      </c>
      <c r="E15" s="456" t="e">
        <f t="shared" si="0"/>
        <v>#DIV/0!</v>
      </c>
      <c r="F15" s="455">
        <v>0</v>
      </c>
      <c r="G15" s="456" t="e">
        <f t="shared" si="1"/>
        <v>#DIV/0!</v>
      </c>
      <c r="H15" s="455">
        <v>0</v>
      </c>
      <c r="I15" s="456" t="e">
        <f t="shared" si="2"/>
        <v>#DIV/0!</v>
      </c>
      <c r="J15" s="455">
        <v>0</v>
      </c>
      <c r="K15" s="457" t="e">
        <f t="shared" si="3"/>
        <v>#DIV/0!</v>
      </c>
      <c r="L15" s="458">
        <f t="shared" si="4"/>
        <v>0</v>
      </c>
    </row>
    <row r="16" spans="2:12" ht="30" customHeight="1">
      <c r="B16" s="547" t="s">
        <v>309</v>
      </c>
      <c r="C16" s="490"/>
      <c r="D16" s="502">
        <v>0</v>
      </c>
      <c r="E16" s="456" t="e">
        <f t="shared" si="0"/>
        <v>#DIV/0!</v>
      </c>
      <c r="F16" s="455">
        <v>0</v>
      </c>
      <c r="G16" s="456" t="e">
        <f>F16/L16</f>
        <v>#DIV/0!</v>
      </c>
      <c r="H16" s="455">
        <v>0</v>
      </c>
      <c r="I16" s="456" t="e">
        <f t="shared" si="2"/>
        <v>#DIV/0!</v>
      </c>
      <c r="J16" s="455">
        <v>0</v>
      </c>
      <c r="K16" s="457" t="e">
        <f t="shared" si="3"/>
        <v>#DIV/0!</v>
      </c>
      <c r="L16" s="458">
        <f t="shared" si="4"/>
        <v>0</v>
      </c>
    </row>
    <row r="17" spans="2:12" ht="30" customHeight="1">
      <c r="B17" s="489" t="s">
        <v>225</v>
      </c>
      <c r="C17" s="490"/>
      <c r="D17" s="463">
        <f>SUM(D8:D16)</f>
        <v>0</v>
      </c>
      <c r="E17" s="464"/>
      <c r="F17" s="463">
        <f>SUM(F8:F16)</f>
        <v>0</v>
      </c>
      <c r="G17" s="464"/>
      <c r="H17" s="463">
        <f>SUM(H8:H16)</f>
        <v>0</v>
      </c>
      <c r="I17" s="464"/>
      <c r="J17" s="463">
        <f>SUM(J8:J16)</f>
        <v>0</v>
      </c>
      <c r="K17" s="465"/>
      <c r="L17" s="466">
        <f>SUM(D17:K17)</f>
        <v>0</v>
      </c>
    </row>
    <row r="18" spans="2:12">
      <c r="B18" s="123" t="s">
        <v>313</v>
      </c>
      <c r="C18" s="122"/>
    </row>
    <row r="19" spans="2:12">
      <c r="L19" s="636"/>
    </row>
    <row r="20" spans="2:12">
      <c r="B20" s="454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2.75"/>
  <cols>
    <col min="2" max="2" width="8.140625" customWidth="1"/>
    <col min="3" max="3" width="7.42578125" bestFit="1" customWidth="1"/>
    <col min="5" max="5" width="8.28515625" bestFit="1" customWidth="1"/>
    <col min="7" max="7" width="8.28515625" bestFit="1" customWidth="1"/>
    <col min="9" max="9" width="1.7109375" customWidth="1"/>
  </cols>
  <sheetData>
    <row r="2" spans="2:11" ht="14.25">
      <c r="B2" s="297" t="s">
        <v>276</v>
      </c>
    </row>
    <row r="3" spans="2:11" ht="14.25">
      <c r="B3" s="297" t="s">
        <v>280</v>
      </c>
      <c r="C3" s="297"/>
      <c r="D3" s="297"/>
      <c r="E3" s="297"/>
    </row>
    <row r="4" spans="2:11" ht="6.75" customHeight="1"/>
    <row r="5" spans="2:11" ht="21" customHeight="1">
      <c r="B5" s="1260" t="s">
        <v>75</v>
      </c>
      <c r="C5" s="1258" t="s">
        <v>120</v>
      </c>
      <c r="D5" s="1277" t="s">
        <v>273</v>
      </c>
      <c r="E5" s="1277"/>
      <c r="F5" s="1277"/>
      <c r="G5" s="1277"/>
      <c r="H5" s="1277"/>
      <c r="I5" s="419"/>
      <c r="J5" s="1265" t="s">
        <v>76</v>
      </c>
      <c r="K5" s="1256" t="s">
        <v>121</v>
      </c>
    </row>
    <row r="6" spans="2:11" ht="21" customHeight="1">
      <c r="B6" s="1261"/>
      <c r="C6" s="1259"/>
      <c r="D6" s="243" t="s">
        <v>274</v>
      </c>
      <c r="E6" s="243" t="s">
        <v>242</v>
      </c>
      <c r="F6" s="243" t="s">
        <v>275</v>
      </c>
      <c r="G6" s="243" t="s">
        <v>242</v>
      </c>
      <c r="H6" s="243" t="s">
        <v>170</v>
      </c>
      <c r="I6" s="243"/>
      <c r="J6" s="1266"/>
      <c r="K6" s="1257"/>
    </row>
    <row r="7" spans="2:11" s="421" customFormat="1">
      <c r="B7" s="255"/>
      <c r="C7" s="420"/>
      <c r="D7" s="253"/>
      <c r="E7" s="253"/>
      <c r="F7" s="253"/>
      <c r="G7" s="253"/>
      <c r="H7" s="253"/>
      <c r="I7" s="253"/>
      <c r="J7" s="255"/>
      <c r="K7" s="420"/>
    </row>
    <row r="8" spans="2:11" s="421" customFormat="1">
      <c r="B8" s="425">
        <v>2019</v>
      </c>
      <c r="C8" s="420" t="s">
        <v>33</v>
      </c>
      <c r="D8" s="253">
        <v>4561</v>
      </c>
      <c r="E8" s="426">
        <f>D8/H8</f>
        <v>0.49340112505408912</v>
      </c>
      <c r="F8" s="249">
        <v>4683</v>
      </c>
      <c r="G8" s="426">
        <f>F8/H8</f>
        <v>0.50659887494591083</v>
      </c>
      <c r="H8" s="253">
        <f>F8+D8</f>
        <v>9244</v>
      </c>
      <c r="I8" s="253"/>
      <c r="J8" s="425">
        <v>2019</v>
      </c>
      <c r="K8" s="420" t="s">
        <v>33</v>
      </c>
    </row>
    <row r="9" spans="2:11" s="421" customFormat="1">
      <c r="B9" s="255"/>
      <c r="C9" s="420" t="s">
        <v>34</v>
      </c>
      <c r="D9" s="253"/>
      <c r="E9" s="426"/>
      <c r="F9" s="253"/>
      <c r="G9" s="426"/>
      <c r="H9" s="253"/>
      <c r="I9" s="253"/>
      <c r="J9" s="255"/>
      <c r="K9" s="420" t="s">
        <v>288</v>
      </c>
    </row>
    <row r="10" spans="2:11" s="421" customFormat="1">
      <c r="B10" s="255"/>
      <c r="C10" s="420" t="s">
        <v>29</v>
      </c>
      <c r="D10" s="253">
        <v>3661</v>
      </c>
      <c r="E10" s="426">
        <f>D10/H10</f>
        <v>0.52973520474605706</v>
      </c>
      <c r="F10" s="253">
        <v>3250</v>
      </c>
      <c r="G10" s="426">
        <f>F10/H10</f>
        <v>0.47026479525394299</v>
      </c>
      <c r="H10" s="253">
        <v>6911</v>
      </c>
      <c r="I10" s="253"/>
      <c r="J10" s="255"/>
      <c r="K10" s="420" t="s">
        <v>29</v>
      </c>
    </row>
    <row r="11" spans="2:11" s="421" customFormat="1">
      <c r="B11" s="255"/>
      <c r="C11" s="420" t="s">
        <v>35</v>
      </c>
      <c r="D11" s="253"/>
      <c r="E11" s="253"/>
      <c r="F11" s="253"/>
      <c r="G11" s="253"/>
      <c r="H11" s="253"/>
      <c r="I11" s="253"/>
      <c r="J11" s="255"/>
      <c r="K11" s="420" t="s">
        <v>78</v>
      </c>
    </row>
    <row r="12" spans="2:11" s="421" customFormat="1">
      <c r="B12" s="255"/>
      <c r="C12" s="420" t="s">
        <v>4</v>
      </c>
      <c r="D12" s="253"/>
      <c r="E12" s="253"/>
      <c r="F12" s="253"/>
      <c r="G12" s="253"/>
      <c r="H12" s="253"/>
      <c r="I12" s="253"/>
      <c r="J12" s="255"/>
      <c r="K12" s="420" t="s">
        <v>79</v>
      </c>
    </row>
    <row r="13" spans="2:11" s="421" customFormat="1">
      <c r="B13" s="255"/>
      <c r="C13" s="420" t="s">
        <v>30</v>
      </c>
      <c r="D13" s="253"/>
      <c r="E13" s="253"/>
      <c r="F13" s="253"/>
      <c r="G13" s="253"/>
      <c r="H13" s="253"/>
      <c r="I13" s="253"/>
      <c r="J13" s="255"/>
      <c r="K13" s="420" t="s">
        <v>80</v>
      </c>
    </row>
    <row r="14" spans="2:11" s="421" customFormat="1">
      <c r="B14" s="255"/>
      <c r="C14" s="420" t="s">
        <v>36</v>
      </c>
      <c r="D14" s="253"/>
      <c r="E14" s="253"/>
      <c r="F14" s="253"/>
      <c r="G14" s="253"/>
      <c r="H14" s="253"/>
      <c r="I14" s="253"/>
      <c r="J14" s="255"/>
      <c r="K14" s="420" t="s">
        <v>81</v>
      </c>
    </row>
    <row r="15" spans="2:11" s="421" customFormat="1">
      <c r="B15" s="255"/>
      <c r="C15" s="420" t="s">
        <v>37</v>
      </c>
      <c r="D15" s="253"/>
      <c r="E15" s="253"/>
      <c r="F15" s="253"/>
      <c r="G15" s="253"/>
      <c r="H15" s="253"/>
      <c r="I15" s="253"/>
      <c r="J15" s="255"/>
      <c r="K15" s="420" t="s">
        <v>289</v>
      </c>
    </row>
    <row r="16" spans="2:11" s="421" customFormat="1">
      <c r="B16" s="255"/>
      <c r="C16" s="420" t="s">
        <v>31</v>
      </c>
      <c r="D16" s="253"/>
      <c r="E16" s="253"/>
      <c r="F16" s="253"/>
      <c r="G16" s="253"/>
      <c r="H16" s="253"/>
      <c r="I16" s="253"/>
      <c r="J16" s="255"/>
      <c r="K16" s="420" t="s">
        <v>31</v>
      </c>
    </row>
    <row r="17" spans="2:11" s="421" customFormat="1">
      <c r="B17" s="255"/>
      <c r="C17" s="420" t="s">
        <v>38</v>
      </c>
      <c r="D17" s="253"/>
      <c r="E17" s="253"/>
      <c r="F17" s="253"/>
      <c r="G17" s="253"/>
      <c r="H17" s="253"/>
      <c r="I17" s="253"/>
      <c r="J17" s="255"/>
      <c r="K17" s="420" t="s">
        <v>38</v>
      </c>
    </row>
    <row r="18" spans="2:11" s="421" customFormat="1">
      <c r="B18" s="255"/>
      <c r="C18" s="420" t="s">
        <v>39</v>
      </c>
      <c r="D18" s="253"/>
      <c r="E18" s="253"/>
      <c r="F18" s="253"/>
      <c r="G18" s="253"/>
      <c r="H18" s="253"/>
      <c r="I18" s="253"/>
      <c r="J18" s="255"/>
      <c r="K18" s="420" t="s">
        <v>39</v>
      </c>
    </row>
    <row r="19" spans="2:11" s="421" customFormat="1">
      <c r="B19" s="255"/>
      <c r="C19" s="420" t="s">
        <v>32</v>
      </c>
      <c r="D19" s="253"/>
      <c r="E19" s="253"/>
      <c r="F19" s="253"/>
      <c r="G19" s="253"/>
      <c r="H19" s="253"/>
      <c r="I19" s="253"/>
      <c r="J19" s="255"/>
      <c r="K19" s="420" t="s">
        <v>32</v>
      </c>
    </row>
    <row r="20" spans="2:11" s="421" customFormat="1">
      <c r="B20" s="425">
        <v>2020</v>
      </c>
      <c r="C20" s="420"/>
      <c r="D20" s="253"/>
      <c r="E20" s="253"/>
      <c r="F20" s="253"/>
      <c r="G20" s="253"/>
      <c r="H20" s="253"/>
      <c r="I20" s="253"/>
      <c r="J20" s="425">
        <v>2020</v>
      </c>
      <c r="K20" s="420"/>
    </row>
    <row r="21" spans="2:11" s="421" customFormat="1">
      <c r="B21" s="255"/>
      <c r="C21" s="420"/>
      <c r="D21" s="253"/>
      <c r="E21" s="253"/>
      <c r="F21" s="253"/>
      <c r="G21" s="253"/>
      <c r="H21" s="253"/>
      <c r="I21" s="253"/>
      <c r="J21" s="255"/>
      <c r="K21" s="420"/>
    </row>
    <row r="22" spans="2:11" s="421" customFormat="1">
      <c r="B22" s="255"/>
      <c r="C22" s="420"/>
      <c r="D22" s="253"/>
      <c r="E22" s="253"/>
      <c r="F22" s="253"/>
      <c r="G22" s="253"/>
      <c r="H22" s="253"/>
      <c r="I22" s="253"/>
      <c r="J22" s="255"/>
      <c r="K22" s="420"/>
    </row>
    <row r="23" spans="2:11" s="421" customFormat="1">
      <c r="B23" s="255"/>
      <c r="C23" s="420"/>
      <c r="D23" s="253"/>
      <c r="E23" s="253"/>
      <c r="F23" s="253"/>
      <c r="G23" s="253"/>
      <c r="H23" s="253"/>
      <c r="I23" s="253"/>
      <c r="J23" s="255"/>
      <c r="K23" s="420"/>
    </row>
    <row r="24" spans="2:11" s="421" customFormat="1">
      <c r="B24" s="255"/>
      <c r="C24" s="420"/>
      <c r="D24" s="253"/>
      <c r="E24" s="253"/>
      <c r="F24" s="253"/>
      <c r="G24" s="253"/>
      <c r="H24" s="253"/>
      <c r="I24" s="253"/>
      <c r="J24" s="255"/>
      <c r="K24" s="420"/>
    </row>
    <row r="25" spans="2:11" s="421" customFormat="1">
      <c r="B25" s="255"/>
      <c r="C25" s="420"/>
      <c r="D25" s="253"/>
      <c r="E25" s="253"/>
      <c r="F25" s="253"/>
      <c r="G25" s="253"/>
      <c r="H25" s="253"/>
      <c r="I25" s="253"/>
      <c r="J25" s="255"/>
      <c r="K25" s="420"/>
    </row>
    <row r="26" spans="2:11" s="421" customFormat="1">
      <c r="B26" s="255"/>
      <c r="C26" s="420"/>
      <c r="D26" s="253"/>
      <c r="E26" s="253"/>
      <c r="F26" s="253"/>
      <c r="G26" s="253"/>
      <c r="H26" s="253"/>
      <c r="I26" s="253"/>
      <c r="J26" s="255"/>
      <c r="K26" s="420"/>
    </row>
    <row r="27" spans="2:11" s="421" customFormat="1">
      <c r="B27" s="255"/>
      <c r="C27" s="420"/>
      <c r="D27" s="253"/>
      <c r="E27" s="253"/>
      <c r="F27" s="253"/>
      <c r="G27" s="253"/>
      <c r="H27" s="253"/>
      <c r="I27" s="253"/>
      <c r="J27" s="255"/>
      <c r="K27" s="420"/>
    </row>
    <row r="28" spans="2:11" s="421" customFormat="1">
      <c r="B28" s="255"/>
      <c r="C28" s="420"/>
      <c r="D28" s="253"/>
      <c r="E28" s="253"/>
      <c r="F28" s="253"/>
      <c r="G28" s="253"/>
      <c r="H28" s="253"/>
      <c r="I28" s="253"/>
      <c r="J28" s="255"/>
      <c r="K28" s="420"/>
    </row>
    <row r="29" spans="2:11" s="421" customFormat="1">
      <c r="B29" s="255"/>
      <c r="C29" s="420"/>
      <c r="D29" s="253"/>
      <c r="E29" s="253"/>
      <c r="F29" s="253"/>
      <c r="G29" s="253"/>
      <c r="H29" s="253"/>
      <c r="I29" s="253"/>
      <c r="J29" s="255"/>
      <c r="K29" s="420"/>
    </row>
    <row r="30" spans="2:11" s="421" customFormat="1">
      <c r="B30" s="255"/>
      <c r="C30" s="420"/>
      <c r="D30" s="253"/>
      <c r="E30" s="253"/>
      <c r="F30" s="253"/>
      <c r="G30" s="253"/>
      <c r="H30" s="253"/>
      <c r="I30" s="253"/>
      <c r="J30" s="255"/>
      <c r="K30" s="420"/>
    </row>
    <row r="31" spans="2:11" s="421" customFormat="1">
      <c r="B31" s="423"/>
      <c r="C31" s="424"/>
      <c r="D31" s="422"/>
      <c r="E31" s="422"/>
      <c r="F31" s="422"/>
      <c r="G31" s="422"/>
      <c r="H31" s="422"/>
      <c r="I31" s="422"/>
      <c r="J31" s="423"/>
      <c r="K31" s="424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tabColor rgb="FF7030A0"/>
  </sheetPr>
  <dimension ref="B2:M262"/>
  <sheetViews>
    <sheetView topLeftCell="A6" workbookViewId="0">
      <selection activeCell="P235" sqref="P235"/>
    </sheetView>
  </sheetViews>
  <sheetFormatPr defaultColWidth="9.140625" defaultRowHeight="12.75"/>
  <cols>
    <col min="1" max="1" width="4.140625" style="864" customWidth="1"/>
    <col min="2" max="2" width="11.85546875" style="864" customWidth="1"/>
    <col min="3" max="3" width="7.42578125" style="864" customWidth="1"/>
    <col min="4" max="4" width="23.42578125" style="937" customWidth="1"/>
    <col min="5" max="5" width="2.7109375" style="937" bestFit="1" customWidth="1"/>
    <col min="6" max="6" width="18.85546875" style="937" customWidth="1"/>
    <col min="7" max="7" width="4.7109375" style="937" customWidth="1"/>
    <col min="8" max="8" width="20.140625" style="937" customWidth="1"/>
    <col min="9" max="9" width="5.28515625" style="937" customWidth="1"/>
    <col min="10" max="10" width="1.42578125" style="864" customWidth="1"/>
    <col min="11" max="11" width="8.140625" style="863" customWidth="1"/>
    <col min="12" max="12" width="0.140625" style="863" hidden="1" customWidth="1"/>
    <col min="13" max="13" width="9.140625" style="864" bestFit="1"/>
    <col min="14" max="16384" width="9.140625" style="864"/>
  </cols>
  <sheetData>
    <row r="2" spans="2:13" ht="15.75">
      <c r="B2" s="859" t="s">
        <v>220</v>
      </c>
      <c r="C2" s="859"/>
      <c r="D2" s="860"/>
      <c r="E2" s="860"/>
      <c r="F2" s="860"/>
      <c r="G2" s="860"/>
      <c r="H2" s="861"/>
      <c r="I2" s="861"/>
      <c r="J2" s="862"/>
    </row>
    <row r="3" spans="2:13" ht="15.75">
      <c r="B3" s="859" t="s">
        <v>181</v>
      </c>
      <c r="C3" s="859"/>
      <c r="D3" s="860"/>
      <c r="E3" s="860"/>
      <c r="F3" s="860"/>
      <c r="G3" s="860"/>
      <c r="H3" s="861"/>
      <c r="I3" s="861"/>
      <c r="J3" s="862"/>
      <c r="K3" s="863" t="s">
        <v>141</v>
      </c>
    </row>
    <row r="4" spans="2:13">
      <c r="B4" s="865"/>
      <c r="C4" s="865"/>
      <c r="D4" s="866"/>
      <c r="E4" s="866"/>
      <c r="F4" s="866"/>
      <c r="G4" s="866"/>
      <c r="H4" s="866"/>
      <c r="I4" s="866"/>
    </row>
    <row r="5" spans="2:13" s="370" customFormat="1" ht="37.5" customHeight="1">
      <c r="B5" s="1290" t="s">
        <v>75</v>
      </c>
      <c r="C5" s="1292" t="s">
        <v>120</v>
      </c>
      <c r="D5" s="1294" t="s">
        <v>188</v>
      </c>
      <c r="E5" s="1295"/>
      <c r="F5" s="1295"/>
      <c r="G5" s="1295"/>
      <c r="H5" s="1295"/>
      <c r="I5" s="868"/>
      <c r="J5" s="1295"/>
      <c r="K5" s="1292" t="s">
        <v>76</v>
      </c>
      <c r="L5" s="867"/>
      <c r="M5" s="1288" t="s">
        <v>121</v>
      </c>
    </row>
    <row r="6" spans="2:13" s="370" customFormat="1" ht="19.5" customHeight="1">
      <c r="B6" s="1291"/>
      <c r="C6" s="1293"/>
      <c r="D6" s="870" t="s">
        <v>155</v>
      </c>
      <c r="E6" s="871"/>
      <c r="F6" s="871" t="s">
        <v>156</v>
      </c>
      <c r="G6" s="871"/>
      <c r="H6" s="871" t="s">
        <v>170</v>
      </c>
      <c r="I6" s="872"/>
      <c r="J6" s="1296"/>
      <c r="K6" s="1297"/>
      <c r="L6" s="873"/>
      <c r="M6" s="1289"/>
    </row>
    <row r="7" spans="2:13" s="370" customFormat="1" hidden="1">
      <c r="B7" s="874">
        <v>2009</v>
      </c>
      <c r="C7" s="867"/>
      <c r="D7" s="875">
        <f>AVERAGE(D25:D36)</f>
        <v>5.5305877117875957</v>
      </c>
      <c r="E7" s="876"/>
      <c r="F7" s="877">
        <f>AVERAGE(F25:F36)</f>
        <v>5.4667440801457197</v>
      </c>
      <c r="G7" s="876"/>
      <c r="H7" s="877">
        <f t="shared" ref="H7:H14" si="0">AVERAGE(D7:F7)</f>
        <v>5.4986658959666581</v>
      </c>
      <c r="I7" s="878"/>
      <c r="J7" s="879"/>
      <c r="K7" s="874">
        <v>2009</v>
      </c>
      <c r="L7" s="880"/>
      <c r="M7" s="881"/>
    </row>
    <row r="8" spans="2:13" s="370" customFormat="1" hidden="1">
      <c r="B8" s="874">
        <v>2010</v>
      </c>
      <c r="C8" s="882"/>
      <c r="D8" s="875">
        <f>AVERAGE(D37:D48)</f>
        <v>9.5168338804688926</v>
      </c>
      <c r="E8" s="876"/>
      <c r="F8" s="877">
        <f>AVERAGE(F37:F48)</f>
        <v>10.869158639472607</v>
      </c>
      <c r="G8" s="876"/>
      <c r="H8" s="877">
        <f t="shared" si="0"/>
        <v>10.19299625997075</v>
      </c>
      <c r="I8" s="878"/>
      <c r="J8" s="879"/>
      <c r="K8" s="874">
        <v>2010</v>
      </c>
      <c r="L8" s="880"/>
      <c r="M8" s="881"/>
    </row>
    <row r="9" spans="2:13" s="370" customFormat="1" hidden="1">
      <c r="B9" s="874">
        <v>2011</v>
      </c>
      <c r="C9" s="882"/>
      <c r="D9" s="875">
        <f>AVERAGE(D49:D60)</f>
        <v>8.8828463396819792</v>
      </c>
      <c r="E9" s="876"/>
      <c r="F9" s="877">
        <f>AVERAGE(F49:F60)</f>
        <v>10.866038926344972</v>
      </c>
      <c r="G9" s="876"/>
      <c r="H9" s="877">
        <f t="shared" si="0"/>
        <v>9.8744426330134765</v>
      </c>
      <c r="I9" s="878"/>
      <c r="J9" s="879"/>
      <c r="K9" s="874">
        <v>2011</v>
      </c>
      <c r="L9" s="880"/>
      <c r="M9" s="881"/>
    </row>
    <row r="10" spans="2:13" s="370" customFormat="1" hidden="1">
      <c r="B10" s="874">
        <v>2012</v>
      </c>
      <c r="C10" s="882"/>
      <c r="D10" s="875">
        <f>AVERAGE(D61:D72)</f>
        <v>9.8286884036761055</v>
      </c>
      <c r="E10" s="876"/>
      <c r="F10" s="877">
        <f>AVERAGE(F61:F72)</f>
        <v>11.107752796834228</v>
      </c>
      <c r="G10" s="876"/>
      <c r="H10" s="877">
        <f t="shared" si="0"/>
        <v>10.468220600255167</v>
      </c>
      <c r="I10" s="878"/>
      <c r="J10" s="879"/>
      <c r="K10" s="874">
        <v>2012</v>
      </c>
      <c r="L10" s="880"/>
      <c r="M10" s="881"/>
    </row>
    <row r="11" spans="2:13" s="370" customFormat="1" hidden="1">
      <c r="B11" s="874">
        <v>2013</v>
      </c>
      <c r="C11" s="882"/>
      <c r="D11" s="875">
        <f>AVERAGE(D73:D84)</f>
        <v>10.831738601175141</v>
      </c>
      <c r="E11" s="876"/>
      <c r="F11" s="877">
        <f>AVERAGE(F73:F109)</f>
        <v>11.600488626507167</v>
      </c>
      <c r="G11" s="876"/>
      <c r="H11" s="877">
        <f t="shared" si="0"/>
        <v>11.216113613841154</v>
      </c>
      <c r="I11" s="878"/>
      <c r="J11" s="879"/>
      <c r="K11" s="874">
        <v>2013</v>
      </c>
      <c r="L11" s="880"/>
      <c r="M11" s="881"/>
    </row>
    <row r="12" spans="2:13" s="370" customFormat="1" hidden="1">
      <c r="B12" s="874">
        <v>2014</v>
      </c>
      <c r="C12" s="882"/>
      <c r="D12" s="875">
        <f>AVERAGE(D85:D96)</f>
        <v>9.5099705421195893</v>
      </c>
      <c r="E12" s="877"/>
      <c r="F12" s="877">
        <f>AVERAGE(F85:F96)</f>
        <v>11.542342607571925</v>
      </c>
      <c r="G12" s="877"/>
      <c r="H12" s="877">
        <f t="shared" si="0"/>
        <v>10.526156574845757</v>
      </c>
      <c r="I12" s="878"/>
      <c r="J12" s="879"/>
      <c r="K12" s="874">
        <v>2014</v>
      </c>
      <c r="L12" s="880"/>
      <c r="M12" s="881"/>
    </row>
    <row r="13" spans="2:13" s="370" customFormat="1" hidden="1">
      <c r="B13" s="874">
        <v>2015</v>
      </c>
      <c r="C13" s="882"/>
      <c r="D13" s="875">
        <f>AVERAGE(D97:D108)</f>
        <v>10.514445261333849</v>
      </c>
      <c r="E13" s="877"/>
      <c r="F13" s="877">
        <f>AVERAGE(F97:F108)</f>
        <v>11.678483874160143</v>
      </c>
      <c r="G13" s="877"/>
      <c r="H13" s="877">
        <f t="shared" si="0"/>
        <v>11.096464567746995</v>
      </c>
      <c r="I13" s="878"/>
      <c r="J13" s="879"/>
      <c r="K13" s="883">
        <v>2015</v>
      </c>
      <c r="L13" s="880"/>
      <c r="M13" s="881"/>
    </row>
    <row r="14" spans="2:13" s="370" customFormat="1" hidden="1">
      <c r="B14" s="874">
        <v>2016</v>
      </c>
      <c r="C14" s="882"/>
      <c r="D14" s="875">
        <f>AVERAGE(D109:D120)</f>
        <v>10.243508251805192</v>
      </c>
      <c r="E14" s="877"/>
      <c r="F14" s="877">
        <f>AVERAGE(F109:F120)</f>
        <v>11.613256356113117</v>
      </c>
      <c r="G14" s="877"/>
      <c r="H14" s="877">
        <f t="shared" si="0"/>
        <v>10.928382303959154</v>
      </c>
      <c r="I14" s="878"/>
      <c r="J14" s="879"/>
      <c r="K14" s="883">
        <v>2016</v>
      </c>
      <c r="L14" s="880"/>
      <c r="M14" s="881"/>
    </row>
    <row r="15" spans="2:13" s="370" customFormat="1" hidden="1">
      <c r="B15" s="874">
        <v>2017</v>
      </c>
      <c r="C15" s="882"/>
      <c r="D15" s="875">
        <f>AVERAGE(D121:D132)</f>
        <v>10.432829689460046</v>
      </c>
      <c r="E15" s="877"/>
      <c r="F15" s="877">
        <f>AVERAGE(F121:F132)</f>
        <v>12.26803025503669</v>
      </c>
      <c r="G15" s="877"/>
      <c r="H15" s="877">
        <f>AVERAGE(H121:H132)</f>
        <v>11.448797966572782</v>
      </c>
      <c r="I15" s="878"/>
      <c r="J15" s="879"/>
      <c r="K15" s="883">
        <v>2017</v>
      </c>
      <c r="L15" s="880"/>
      <c r="M15" s="881"/>
    </row>
    <row r="16" spans="2:13" s="370" customFormat="1" hidden="1">
      <c r="B16" s="874">
        <v>2018</v>
      </c>
      <c r="C16" s="882"/>
      <c r="D16" s="875">
        <f>AVERAGE(D133:D144)</f>
        <v>9.9000474818717503</v>
      </c>
      <c r="E16" s="877"/>
      <c r="F16" s="877">
        <f>AVERAGE(F133:F144)</f>
        <v>11.945375566402388</v>
      </c>
      <c r="G16" s="877"/>
      <c r="H16" s="877">
        <f>AVERAGE(H133:H144)</f>
        <v>10.922711524137069</v>
      </c>
      <c r="I16" s="878"/>
      <c r="J16" s="879"/>
      <c r="K16" s="883">
        <v>2018</v>
      </c>
      <c r="L16" s="880"/>
      <c r="M16" s="881"/>
    </row>
    <row r="17" spans="2:13" s="370" customFormat="1" hidden="1">
      <c r="B17" s="874">
        <v>2019</v>
      </c>
      <c r="C17" s="884"/>
      <c r="D17" s="875">
        <f>AVERAGE(D145:D156)</f>
        <v>10.350410776915165</v>
      </c>
      <c r="E17" s="877"/>
      <c r="F17" s="877">
        <f>AVERAGE(F145:F156)</f>
        <v>13.441752661205086</v>
      </c>
      <c r="G17" s="877"/>
      <c r="H17" s="877">
        <f>AVERAGE(H145:H156)</f>
        <v>11.896081719060122</v>
      </c>
      <c r="I17" s="878"/>
      <c r="J17" s="879"/>
      <c r="K17" s="883">
        <v>2019</v>
      </c>
      <c r="L17" s="880"/>
      <c r="M17" s="881"/>
    </row>
    <row r="18" spans="2:13" s="370" customFormat="1" hidden="1">
      <c r="B18" s="874">
        <v>2020</v>
      </c>
      <c r="C18" s="884"/>
      <c r="D18" s="875">
        <f>AVERAGE(D157:D159)</f>
        <v>11.37663844240339</v>
      </c>
      <c r="E18" s="877" t="s">
        <v>41</v>
      </c>
      <c r="F18" s="877">
        <f>AVERAGE(F157)</f>
        <v>17.481865284974095</v>
      </c>
      <c r="G18" s="877" t="s">
        <v>41</v>
      </c>
      <c r="H18" s="877">
        <f>AVERAGE(H157:H159)</f>
        <v>12.322460434343517</v>
      </c>
      <c r="I18" s="878"/>
      <c r="J18" s="879"/>
      <c r="K18" s="883">
        <v>2020</v>
      </c>
      <c r="L18" s="880"/>
      <c r="M18" s="881"/>
    </row>
    <row r="19" spans="2:13" s="370" customFormat="1">
      <c r="B19" s="874">
        <v>2021</v>
      </c>
      <c r="C19" s="884"/>
      <c r="D19" s="875">
        <f>AVERAGE(D169:D180)</f>
        <v>0</v>
      </c>
      <c r="E19" s="877" t="s">
        <v>41</v>
      </c>
      <c r="F19" s="1143">
        <f>AVERAGE(F169:F180)</f>
        <v>0</v>
      </c>
      <c r="G19" s="1144"/>
      <c r="H19" s="877">
        <f>AVERAGE(H169:H180)</f>
        <v>0</v>
      </c>
      <c r="I19" s="878"/>
      <c r="J19" s="879"/>
      <c r="K19" s="883">
        <v>2021</v>
      </c>
      <c r="L19" s="880"/>
      <c r="M19" s="881"/>
    </row>
    <row r="20" spans="2:13" s="370" customFormat="1">
      <c r="B20" s="874">
        <v>2022</v>
      </c>
      <c r="C20" s="884"/>
      <c r="D20" s="875">
        <f>AVERAGE(D187:D192)</f>
        <v>13.766666666666666</v>
      </c>
      <c r="E20" s="877"/>
      <c r="F20" s="877">
        <f>AVERAGE(F181:F192)</f>
        <v>0</v>
      </c>
      <c r="G20" s="877"/>
      <c r="H20" s="877">
        <f>AVERAGE(H187:H192)</f>
        <v>13.766666666666666</v>
      </c>
      <c r="I20" s="878"/>
      <c r="J20" s="879"/>
      <c r="K20" s="883">
        <v>2022</v>
      </c>
      <c r="L20" s="880"/>
      <c r="M20" s="881"/>
    </row>
    <row r="21" spans="2:13" s="370" customFormat="1">
      <c r="B21" s="874">
        <v>2023</v>
      </c>
      <c r="C21" s="884"/>
      <c r="D21" s="875">
        <f>AVERAGE(D193:D204)</f>
        <v>10.118837256493821</v>
      </c>
      <c r="E21" s="877"/>
      <c r="F21" s="877">
        <f>AVERAGE(F198:F204)</f>
        <v>13.215612374448542</v>
      </c>
      <c r="G21" s="877"/>
      <c r="H21" s="877">
        <f>AVERAGE(H193:H204)</f>
        <v>11.21604848356843</v>
      </c>
      <c r="I21" s="878"/>
      <c r="J21" s="879"/>
      <c r="K21" s="883">
        <v>2023</v>
      </c>
      <c r="L21" s="880"/>
      <c r="M21" s="881"/>
    </row>
    <row r="22" spans="2:13" s="370" customFormat="1">
      <c r="B22" s="874">
        <v>2024</v>
      </c>
      <c r="C22" s="884"/>
      <c r="D22" s="875">
        <f>AVERAGE(D205:D216)</f>
        <v>9.7916426686138873</v>
      </c>
      <c r="E22" s="877"/>
      <c r="F22" s="877">
        <f>AVERAGE(F205:F216)</f>
        <v>12.460785560522959</v>
      </c>
      <c r="G22" s="877"/>
      <c r="H22" s="877">
        <f>AVERAGE(H205:H216)</f>
        <v>9.9247369414864171</v>
      </c>
      <c r="I22" s="878"/>
      <c r="J22" s="879"/>
      <c r="K22" s="883">
        <v>2024</v>
      </c>
      <c r="L22" s="880"/>
      <c r="M22" s="881"/>
    </row>
    <row r="23" spans="2:13" s="370" customFormat="1">
      <c r="B23" s="874">
        <v>2025</v>
      </c>
      <c r="C23" s="884"/>
      <c r="D23" s="875">
        <f>AVERAGE(D217:D228)</f>
        <v>8.7571164202210579</v>
      </c>
      <c r="E23" s="877"/>
      <c r="F23" s="877">
        <f t="shared" ref="F23:H23" si="1">AVERAGE(F217:F228)</f>
        <v>12.46660071652987</v>
      </c>
      <c r="G23" s="877"/>
      <c r="H23" s="877">
        <f t="shared" si="1"/>
        <v>8.8125284031534523</v>
      </c>
      <c r="I23" s="878"/>
      <c r="J23" s="879"/>
      <c r="K23" s="883">
        <v>2025</v>
      </c>
      <c r="L23" s="880"/>
      <c r="M23" s="881"/>
    </row>
    <row r="24" spans="2:13" s="370" customFormat="1">
      <c r="B24" s="874"/>
      <c r="C24" s="884"/>
      <c r="D24" s="875"/>
      <c r="E24" s="877"/>
      <c r="F24" s="877"/>
      <c r="G24" s="877"/>
      <c r="H24" s="877"/>
      <c r="I24" s="878"/>
      <c r="J24" s="879"/>
      <c r="K24" s="883"/>
      <c r="L24" s="880"/>
      <c r="M24" s="881"/>
    </row>
    <row r="25" spans="2:13" s="893" customFormat="1" hidden="1">
      <c r="B25" s="885">
        <v>2009</v>
      </c>
      <c r="C25" s="370" t="s">
        <v>33</v>
      </c>
      <c r="D25" s="886">
        <v>0</v>
      </c>
      <c r="E25" s="887"/>
      <c r="F25" s="888">
        <v>0</v>
      </c>
      <c r="G25" s="888"/>
      <c r="H25" s="888">
        <f t="shared" ref="H25:H69" si="2">(D25+F25)/2</f>
        <v>0</v>
      </c>
      <c r="I25" s="889"/>
      <c r="J25" s="890"/>
      <c r="K25" s="885">
        <v>2009</v>
      </c>
      <c r="L25" s="891"/>
      <c r="M25" s="892" t="s">
        <v>33</v>
      </c>
    </row>
    <row r="26" spans="2:13" s="893" customFormat="1" hidden="1">
      <c r="B26" s="885">
        <v>2009</v>
      </c>
      <c r="C26" s="370" t="s">
        <v>34</v>
      </c>
      <c r="D26" s="886">
        <v>0</v>
      </c>
      <c r="E26" s="887"/>
      <c r="F26" s="888">
        <v>0</v>
      </c>
      <c r="G26" s="888"/>
      <c r="H26" s="888">
        <f t="shared" si="2"/>
        <v>0</v>
      </c>
      <c r="I26" s="889"/>
      <c r="J26" s="890"/>
      <c r="K26" s="885">
        <v>2009</v>
      </c>
      <c r="L26" s="891"/>
      <c r="M26" s="892" t="s">
        <v>77</v>
      </c>
    </row>
    <row r="27" spans="2:13" s="893" customFormat="1" hidden="1">
      <c r="B27" s="885">
        <v>2009</v>
      </c>
      <c r="C27" s="370" t="s">
        <v>29</v>
      </c>
      <c r="D27" s="886">
        <v>0</v>
      </c>
      <c r="E27" s="887"/>
      <c r="F27" s="888">
        <v>0</v>
      </c>
      <c r="G27" s="888"/>
      <c r="H27" s="888">
        <f t="shared" si="2"/>
        <v>0</v>
      </c>
      <c r="I27" s="889"/>
      <c r="J27" s="890"/>
      <c r="K27" s="885">
        <v>2009</v>
      </c>
      <c r="L27" s="891"/>
      <c r="M27" s="892" t="s">
        <v>29</v>
      </c>
    </row>
    <row r="28" spans="2:13" s="893" customFormat="1" hidden="1">
      <c r="B28" s="885">
        <v>2009</v>
      </c>
      <c r="C28" s="370" t="s">
        <v>35</v>
      </c>
      <c r="D28" s="886">
        <v>0</v>
      </c>
      <c r="E28" s="887"/>
      <c r="F28" s="888">
        <v>0</v>
      </c>
      <c r="G28" s="888"/>
      <c r="H28" s="888">
        <f t="shared" si="2"/>
        <v>0</v>
      </c>
      <c r="I28" s="889"/>
      <c r="J28" s="890"/>
      <c r="K28" s="885">
        <v>2009</v>
      </c>
      <c r="L28" s="891"/>
      <c r="M28" s="892" t="s">
        <v>78</v>
      </c>
    </row>
    <row r="29" spans="2:13" s="893" customFormat="1" hidden="1">
      <c r="B29" s="885">
        <v>2009</v>
      </c>
      <c r="C29" s="370" t="s">
        <v>4</v>
      </c>
      <c r="D29" s="886">
        <v>0</v>
      </c>
      <c r="E29" s="887"/>
      <c r="F29" s="888">
        <v>0</v>
      </c>
      <c r="G29" s="888"/>
      <c r="H29" s="888">
        <f t="shared" si="2"/>
        <v>0</v>
      </c>
      <c r="I29" s="889"/>
      <c r="J29" s="890"/>
      <c r="K29" s="885">
        <v>2009</v>
      </c>
      <c r="L29" s="891"/>
      <c r="M29" s="892" t="s">
        <v>79</v>
      </c>
    </row>
    <row r="30" spans="2:13" s="893" customFormat="1" hidden="1">
      <c r="B30" s="885">
        <v>2009</v>
      </c>
      <c r="C30" s="370" t="s">
        <v>30</v>
      </c>
      <c r="D30" s="894">
        <v>9.4</v>
      </c>
      <c r="E30" s="895"/>
      <c r="F30" s="895">
        <v>0</v>
      </c>
      <c r="G30" s="895"/>
      <c r="H30" s="895">
        <f t="shared" si="2"/>
        <v>4.7</v>
      </c>
      <c r="I30" s="889"/>
      <c r="J30" s="896" t="str">
        <f t="shared" ref="J30:J70" si="3">REPT("|",H30)</f>
        <v>||||</v>
      </c>
      <c r="K30" s="885">
        <v>2009</v>
      </c>
      <c r="L30" s="891"/>
      <c r="M30" s="892" t="s">
        <v>80</v>
      </c>
    </row>
    <row r="31" spans="2:13" s="893" customFormat="1" hidden="1">
      <c r="B31" s="885">
        <v>2009</v>
      </c>
      <c r="C31" s="370" t="s">
        <v>36</v>
      </c>
      <c r="D31" s="894">
        <v>10.5</v>
      </c>
      <c r="E31" s="895"/>
      <c r="F31" s="895">
        <v>11.83</v>
      </c>
      <c r="G31" s="895"/>
      <c r="H31" s="895">
        <f t="shared" si="2"/>
        <v>11.164999999999999</v>
      </c>
      <c r="I31" s="889"/>
      <c r="J31" s="896" t="str">
        <f t="shared" si="3"/>
        <v>|||||||||||</v>
      </c>
      <c r="K31" s="885">
        <v>2009</v>
      </c>
      <c r="L31" s="891"/>
      <c r="M31" s="892" t="s">
        <v>81</v>
      </c>
    </row>
    <row r="32" spans="2:13" s="893" customFormat="1" hidden="1">
      <c r="B32" s="885">
        <v>2009</v>
      </c>
      <c r="C32" s="370" t="s">
        <v>37</v>
      </c>
      <c r="D32" s="894">
        <v>10.3</v>
      </c>
      <c r="E32" s="895"/>
      <c r="F32" s="895">
        <v>11.44</v>
      </c>
      <c r="G32" s="895"/>
      <c r="H32" s="895">
        <f t="shared" si="2"/>
        <v>10.870000000000001</v>
      </c>
      <c r="I32" s="889"/>
      <c r="J32" s="896" t="str">
        <f t="shared" si="3"/>
        <v>||||||||||</v>
      </c>
      <c r="K32" s="347">
        <v>2009</v>
      </c>
      <c r="L32" s="891"/>
      <c r="M32" s="892" t="s">
        <v>82</v>
      </c>
    </row>
    <row r="33" spans="2:13" s="893" customFormat="1" hidden="1">
      <c r="B33" s="885">
        <v>2009</v>
      </c>
      <c r="C33" s="370" t="s">
        <v>31</v>
      </c>
      <c r="D33" s="894">
        <v>8.7268670038678966</v>
      </c>
      <c r="E33" s="895"/>
      <c r="F33" s="895">
        <v>11.010928961748634</v>
      </c>
      <c r="G33" s="895"/>
      <c r="H33" s="895">
        <f t="shared" si="2"/>
        <v>9.8688979828082655</v>
      </c>
      <c r="I33" s="889"/>
      <c r="J33" s="896" t="str">
        <f t="shared" si="3"/>
        <v>|||||||||</v>
      </c>
      <c r="K33" s="347">
        <v>2009</v>
      </c>
      <c r="L33" s="891"/>
      <c r="M33" s="892" t="s">
        <v>31</v>
      </c>
    </row>
    <row r="34" spans="2:13" s="902" customFormat="1" hidden="1">
      <c r="B34" s="885">
        <v>2009</v>
      </c>
      <c r="C34" s="370" t="s">
        <v>38</v>
      </c>
      <c r="D34" s="894">
        <v>8.51</v>
      </c>
      <c r="E34" s="895"/>
      <c r="F34" s="895">
        <v>10</v>
      </c>
      <c r="G34" s="895"/>
      <c r="H34" s="897">
        <f t="shared" si="2"/>
        <v>9.254999999999999</v>
      </c>
      <c r="I34" s="898"/>
      <c r="J34" s="899" t="str">
        <f t="shared" si="3"/>
        <v>|||||||||</v>
      </c>
      <c r="K34" s="900">
        <v>2009</v>
      </c>
      <c r="L34" s="901"/>
      <c r="M34" s="892" t="s">
        <v>49</v>
      </c>
    </row>
    <row r="35" spans="2:13" s="902" customFormat="1" hidden="1">
      <c r="B35" s="885">
        <v>2009</v>
      </c>
      <c r="C35" s="370" t="s">
        <v>39</v>
      </c>
      <c r="D35" s="894">
        <v>8.5</v>
      </c>
      <c r="E35" s="895"/>
      <c r="F35" s="895">
        <v>9.42</v>
      </c>
      <c r="G35" s="895"/>
      <c r="H35" s="897">
        <f t="shared" si="2"/>
        <v>8.9600000000000009</v>
      </c>
      <c r="I35" s="898"/>
      <c r="J35" s="369" t="str">
        <f t="shared" si="3"/>
        <v>||||||||</v>
      </c>
      <c r="K35" s="900">
        <v>2009</v>
      </c>
      <c r="L35" s="901"/>
      <c r="M35" s="892" t="s">
        <v>39</v>
      </c>
    </row>
    <row r="36" spans="2:13" s="902" customFormat="1" hidden="1">
      <c r="B36" s="885">
        <v>2009</v>
      </c>
      <c r="C36" s="370" t="s">
        <v>32</v>
      </c>
      <c r="D36" s="894">
        <v>10.430185537583254</v>
      </c>
      <c r="E36" s="895"/>
      <c r="F36" s="895">
        <v>11.9</v>
      </c>
      <c r="G36" s="895"/>
      <c r="H36" s="897">
        <f t="shared" si="2"/>
        <v>11.165092768791627</v>
      </c>
      <c r="I36" s="898"/>
      <c r="J36" s="369" t="str">
        <f t="shared" si="3"/>
        <v>|||||||||||</v>
      </c>
      <c r="K36" s="885">
        <v>2009</v>
      </c>
      <c r="L36" s="901"/>
      <c r="M36" s="892" t="s">
        <v>32</v>
      </c>
    </row>
    <row r="37" spans="2:13" s="902" customFormat="1" hidden="1">
      <c r="B37" s="874">
        <v>2010</v>
      </c>
      <c r="C37" s="370" t="s">
        <v>33</v>
      </c>
      <c r="D37" s="903">
        <v>9.31</v>
      </c>
      <c r="E37" s="904"/>
      <c r="F37" s="904">
        <v>11.4</v>
      </c>
      <c r="G37" s="904"/>
      <c r="H37" s="905">
        <f t="shared" si="2"/>
        <v>10.355</v>
      </c>
      <c r="I37" s="906"/>
      <c r="J37" s="369" t="str">
        <f t="shared" si="3"/>
        <v>||||||||||</v>
      </c>
      <c r="K37" s="874">
        <v>2010</v>
      </c>
      <c r="L37" s="768"/>
      <c r="M37" s="892" t="s">
        <v>33</v>
      </c>
    </row>
    <row r="38" spans="2:13" s="902" customFormat="1" hidden="1">
      <c r="B38" s="874">
        <v>2010</v>
      </c>
      <c r="C38" s="370" t="s">
        <v>34</v>
      </c>
      <c r="D38" s="903">
        <v>11.951534733441035</v>
      </c>
      <c r="E38" s="904"/>
      <c r="F38" s="904">
        <v>11.447674418604651</v>
      </c>
      <c r="G38" s="904"/>
      <c r="H38" s="905">
        <f t="shared" si="2"/>
        <v>11.699604576022843</v>
      </c>
      <c r="I38" s="906"/>
      <c r="J38" s="369" t="str">
        <f t="shared" si="3"/>
        <v>|||||||||||</v>
      </c>
      <c r="K38" s="874"/>
      <c r="L38" s="768"/>
      <c r="M38" s="892" t="s">
        <v>77</v>
      </c>
    </row>
    <row r="39" spans="2:13" s="902" customFormat="1" hidden="1">
      <c r="B39" s="874">
        <v>2010</v>
      </c>
      <c r="C39" s="370" t="s">
        <v>29</v>
      </c>
      <c r="D39" s="903">
        <v>9.6127982650000003</v>
      </c>
      <c r="E39" s="904"/>
      <c r="F39" s="904">
        <v>8.8333329999999997</v>
      </c>
      <c r="G39" s="904"/>
      <c r="H39" s="905">
        <f t="shared" si="2"/>
        <v>9.2230656324999991</v>
      </c>
      <c r="I39" s="906"/>
      <c r="J39" s="369" t="str">
        <f t="shared" si="3"/>
        <v>|||||||||</v>
      </c>
      <c r="K39" s="874">
        <v>2010</v>
      </c>
      <c r="L39" s="768"/>
      <c r="M39" s="892" t="s">
        <v>29</v>
      </c>
    </row>
    <row r="40" spans="2:13" s="902" customFormat="1" hidden="1">
      <c r="B40" s="874">
        <v>2010</v>
      </c>
      <c r="C40" s="370" t="s">
        <v>35</v>
      </c>
      <c r="D40" s="903">
        <v>9.882734145965129</v>
      </c>
      <c r="E40" s="904"/>
      <c r="F40" s="904">
        <v>8.8333329999999997</v>
      </c>
      <c r="G40" s="904"/>
      <c r="H40" s="905">
        <f t="shared" si="2"/>
        <v>9.3580335729825634</v>
      </c>
      <c r="I40" s="906"/>
      <c r="J40" s="369" t="str">
        <f t="shared" si="3"/>
        <v>|||||||||</v>
      </c>
      <c r="K40" s="874">
        <v>2010</v>
      </c>
      <c r="L40" s="768"/>
      <c r="M40" s="892" t="s">
        <v>78</v>
      </c>
    </row>
    <row r="41" spans="2:13" s="902" customFormat="1" hidden="1">
      <c r="B41" s="874">
        <v>2010</v>
      </c>
      <c r="C41" s="370" t="s">
        <v>4</v>
      </c>
      <c r="D41" s="903">
        <v>9.0723498888065226</v>
      </c>
      <c r="E41" s="904"/>
      <c r="F41" s="904">
        <v>12.55</v>
      </c>
      <c r="G41" s="904"/>
      <c r="H41" s="905">
        <f t="shared" si="2"/>
        <v>10.811174944403263</v>
      </c>
      <c r="I41" s="906"/>
      <c r="J41" s="369" t="str">
        <f t="shared" si="3"/>
        <v>||||||||||</v>
      </c>
      <c r="K41" s="874">
        <v>2010</v>
      </c>
      <c r="L41" s="768"/>
      <c r="M41" s="892" t="s">
        <v>79</v>
      </c>
    </row>
    <row r="42" spans="2:13" s="902" customFormat="1" hidden="1">
      <c r="B42" s="874">
        <v>2010</v>
      </c>
      <c r="C42" s="370" t="s">
        <v>30</v>
      </c>
      <c r="D42" s="903">
        <v>9.249548387096775</v>
      </c>
      <c r="E42" s="904"/>
      <c r="F42" s="904">
        <v>15.15789</v>
      </c>
      <c r="G42" s="904"/>
      <c r="H42" s="905">
        <f t="shared" si="2"/>
        <v>12.203719193548388</v>
      </c>
      <c r="I42" s="906"/>
      <c r="J42" s="369" t="str">
        <f t="shared" si="3"/>
        <v>||||||||||||</v>
      </c>
      <c r="K42" s="874">
        <v>2010</v>
      </c>
      <c r="L42" s="768"/>
      <c r="M42" s="892" t="s">
        <v>80</v>
      </c>
    </row>
    <row r="43" spans="2:13" s="902" customFormat="1" hidden="1">
      <c r="B43" s="874">
        <v>2010</v>
      </c>
      <c r="C43" s="370" t="s">
        <v>36</v>
      </c>
      <c r="D43" s="903">
        <v>9.1481030859418198</v>
      </c>
      <c r="E43" s="904"/>
      <c r="F43" s="904">
        <v>11.44772</v>
      </c>
      <c r="G43" s="904"/>
      <c r="H43" s="905">
        <f t="shared" si="2"/>
        <v>10.29791154297091</v>
      </c>
      <c r="I43" s="906"/>
      <c r="J43" s="369" t="str">
        <f t="shared" si="3"/>
        <v>||||||||||</v>
      </c>
      <c r="K43" s="874">
        <v>2010</v>
      </c>
      <c r="L43" s="768"/>
      <c r="M43" s="892" t="s">
        <v>81</v>
      </c>
    </row>
    <row r="44" spans="2:13" s="902" customFormat="1" hidden="1">
      <c r="B44" s="874">
        <v>2010</v>
      </c>
      <c r="C44" s="370" t="s">
        <v>37</v>
      </c>
      <c r="D44" s="903">
        <v>8.4186246110932306</v>
      </c>
      <c r="E44" s="904"/>
      <c r="F44" s="904">
        <v>8.9558167202572303</v>
      </c>
      <c r="G44" s="904"/>
      <c r="H44" s="905">
        <f t="shared" si="2"/>
        <v>8.6872206656752304</v>
      </c>
      <c r="I44" s="906"/>
      <c r="J44" s="369" t="str">
        <f t="shared" si="3"/>
        <v>||||||||</v>
      </c>
      <c r="K44" s="874">
        <v>2010</v>
      </c>
      <c r="L44" s="768"/>
      <c r="M44" s="892" t="s">
        <v>82</v>
      </c>
    </row>
    <row r="45" spans="2:13" s="902" customFormat="1" hidden="1">
      <c r="B45" s="874">
        <v>2010</v>
      </c>
      <c r="C45" s="370" t="s">
        <v>31</v>
      </c>
      <c r="D45" s="903">
        <v>8.2608357412758391</v>
      </c>
      <c r="E45" s="904"/>
      <c r="F45" s="904">
        <v>11.6920415224913</v>
      </c>
      <c r="G45" s="904"/>
      <c r="H45" s="905">
        <f t="shared" si="2"/>
        <v>9.9764386318835694</v>
      </c>
      <c r="I45" s="906"/>
      <c r="J45" s="369" t="str">
        <f t="shared" si="3"/>
        <v>|||||||||</v>
      </c>
      <c r="K45" s="874">
        <v>2010</v>
      </c>
      <c r="L45" s="768"/>
      <c r="M45" s="892" t="s">
        <v>31</v>
      </c>
    </row>
    <row r="46" spans="2:13" s="902" customFormat="1" hidden="1">
      <c r="B46" s="874">
        <v>2010</v>
      </c>
      <c r="C46" s="370" t="s">
        <v>38</v>
      </c>
      <c r="D46" s="903">
        <v>10</v>
      </c>
      <c r="E46" s="904"/>
      <c r="F46" s="904">
        <v>11</v>
      </c>
      <c r="G46" s="904"/>
      <c r="H46" s="905">
        <f t="shared" si="2"/>
        <v>10.5</v>
      </c>
      <c r="I46" s="906"/>
      <c r="J46" s="369" t="str">
        <f t="shared" si="3"/>
        <v>||||||||||</v>
      </c>
      <c r="K46" s="874">
        <v>2010</v>
      </c>
      <c r="L46" s="768"/>
      <c r="M46" s="892" t="s">
        <v>49</v>
      </c>
    </row>
    <row r="47" spans="2:13" s="902" customFormat="1" hidden="1">
      <c r="B47" s="874">
        <v>2010</v>
      </c>
      <c r="C47" s="370" t="s">
        <v>39</v>
      </c>
      <c r="D47" s="903">
        <v>9.42</v>
      </c>
      <c r="E47" s="904"/>
      <c r="F47" s="904">
        <v>7.8069306930693072</v>
      </c>
      <c r="G47" s="904"/>
      <c r="H47" s="905">
        <f t="shared" si="2"/>
        <v>8.6134653465346531</v>
      </c>
      <c r="I47" s="906"/>
      <c r="J47" s="369" t="str">
        <f t="shared" si="3"/>
        <v>||||||||</v>
      </c>
      <c r="K47" s="874">
        <v>2010</v>
      </c>
      <c r="L47" s="768"/>
      <c r="M47" s="892" t="s">
        <v>39</v>
      </c>
    </row>
    <row r="48" spans="2:13" s="902" customFormat="1" hidden="1">
      <c r="B48" s="874">
        <v>2010</v>
      </c>
      <c r="C48" s="370" t="s">
        <v>32</v>
      </c>
      <c r="D48" s="903">
        <v>9.87547770700637</v>
      </c>
      <c r="E48" s="904"/>
      <c r="F48" s="904">
        <v>11.305164319248799</v>
      </c>
      <c r="G48" s="904"/>
      <c r="H48" s="905">
        <f t="shared" si="2"/>
        <v>10.590321013127586</v>
      </c>
      <c r="I48" s="906"/>
      <c r="J48" s="369" t="str">
        <f t="shared" si="3"/>
        <v>||||||||||</v>
      </c>
      <c r="K48" s="874">
        <v>2010</v>
      </c>
      <c r="L48" s="768"/>
      <c r="M48" s="892" t="s">
        <v>32</v>
      </c>
    </row>
    <row r="49" spans="2:13" s="902" customFormat="1" hidden="1">
      <c r="B49" s="874">
        <v>2011</v>
      </c>
      <c r="C49" s="370" t="s">
        <v>33</v>
      </c>
      <c r="D49" s="903">
        <v>8.638004896</v>
      </c>
      <c r="E49" s="904"/>
      <c r="F49" s="904">
        <v>9.3602941176470598</v>
      </c>
      <c r="G49" s="904"/>
      <c r="H49" s="905">
        <f t="shared" si="2"/>
        <v>8.9991495068235299</v>
      </c>
      <c r="I49" s="906"/>
      <c r="J49" s="369" t="str">
        <f t="shared" si="3"/>
        <v>||||||||</v>
      </c>
      <c r="K49" s="874">
        <v>2011</v>
      </c>
      <c r="L49" s="768"/>
      <c r="M49" s="892" t="s">
        <v>33</v>
      </c>
    </row>
    <row r="50" spans="2:13" s="902" customFormat="1" hidden="1">
      <c r="B50" s="874">
        <v>2011</v>
      </c>
      <c r="C50" s="370" t="s">
        <v>34</v>
      </c>
      <c r="D50" s="903">
        <v>8.3964082347788001</v>
      </c>
      <c r="E50" s="904"/>
      <c r="F50" s="904">
        <v>11.448275862068966</v>
      </c>
      <c r="G50" s="904"/>
      <c r="H50" s="905">
        <f t="shared" si="2"/>
        <v>9.9223420484238822</v>
      </c>
      <c r="I50" s="906"/>
      <c r="J50" s="369" t="str">
        <f t="shared" si="3"/>
        <v>|||||||||</v>
      </c>
      <c r="K50" s="874">
        <v>2011</v>
      </c>
      <c r="L50" s="768"/>
      <c r="M50" s="892" t="s">
        <v>77</v>
      </c>
    </row>
    <row r="51" spans="2:13" s="902" customFormat="1" hidden="1">
      <c r="B51" s="874">
        <v>2011</v>
      </c>
      <c r="C51" s="370" t="s">
        <v>29</v>
      </c>
      <c r="D51" s="903">
        <v>8.797364834166288</v>
      </c>
      <c r="E51" s="904"/>
      <c r="F51" s="904">
        <v>8.3440860220000008</v>
      </c>
      <c r="G51" s="904"/>
      <c r="H51" s="905">
        <f t="shared" si="2"/>
        <v>8.5707254280831435</v>
      </c>
      <c r="I51" s="906"/>
      <c r="J51" s="369" t="str">
        <f t="shared" si="3"/>
        <v>||||||||</v>
      </c>
      <c r="K51" s="874">
        <v>2011</v>
      </c>
      <c r="L51" s="768"/>
      <c r="M51" s="892" t="s">
        <v>29</v>
      </c>
    </row>
    <row r="52" spans="2:13" s="902" customFormat="1" hidden="1">
      <c r="B52" s="874">
        <v>2011</v>
      </c>
      <c r="C52" s="370" t="s">
        <v>35</v>
      </c>
      <c r="D52" s="903">
        <v>8.2138628158844771</v>
      </c>
      <c r="E52" s="904"/>
      <c r="F52" s="904">
        <v>13.838983050847499</v>
      </c>
      <c r="G52" s="904"/>
      <c r="H52" s="905">
        <f t="shared" si="2"/>
        <v>11.026422933365989</v>
      </c>
      <c r="I52" s="906"/>
      <c r="J52" s="369" t="str">
        <f t="shared" si="3"/>
        <v>|||||||||||</v>
      </c>
      <c r="K52" s="874">
        <v>2011</v>
      </c>
      <c r="L52" s="768"/>
      <c r="M52" s="892" t="s">
        <v>78</v>
      </c>
    </row>
    <row r="53" spans="2:13" s="902" customFormat="1" hidden="1">
      <c r="B53" s="874">
        <v>2011</v>
      </c>
      <c r="C53" s="370" t="s">
        <v>4</v>
      </c>
      <c r="D53" s="903">
        <v>9.1427655824387113</v>
      </c>
      <c r="E53" s="904"/>
      <c r="F53" s="904">
        <v>10.446700507614214</v>
      </c>
      <c r="G53" s="904"/>
      <c r="H53" s="905">
        <f t="shared" si="2"/>
        <v>9.7947330450264616</v>
      </c>
      <c r="I53" s="906"/>
      <c r="J53" s="369" t="str">
        <f t="shared" si="3"/>
        <v>|||||||||</v>
      </c>
      <c r="K53" s="874">
        <v>2011</v>
      </c>
      <c r="L53" s="768"/>
      <c r="M53" s="892" t="s">
        <v>79</v>
      </c>
    </row>
    <row r="54" spans="2:13" s="902" customFormat="1" hidden="1">
      <c r="B54" s="874">
        <v>2011</v>
      </c>
      <c r="C54" s="370" t="s">
        <v>30</v>
      </c>
      <c r="D54" s="903">
        <v>8.589365037888685</v>
      </c>
      <c r="E54" s="904"/>
      <c r="F54" s="904">
        <v>12.584905660377359</v>
      </c>
      <c r="G54" s="904"/>
      <c r="H54" s="905">
        <f t="shared" si="2"/>
        <v>10.587135349133021</v>
      </c>
      <c r="I54" s="906"/>
      <c r="J54" s="369" t="str">
        <f t="shared" si="3"/>
        <v>||||||||||</v>
      </c>
      <c r="K54" s="874">
        <v>2011</v>
      </c>
      <c r="L54" s="768"/>
      <c r="M54" s="892" t="s">
        <v>80</v>
      </c>
    </row>
    <row r="55" spans="2:13" s="902" customFormat="1" hidden="1">
      <c r="B55" s="874">
        <v>2011</v>
      </c>
      <c r="C55" s="370" t="s">
        <v>36</v>
      </c>
      <c r="D55" s="903">
        <v>8.9597811480130538</v>
      </c>
      <c r="E55" s="904"/>
      <c r="F55" s="904">
        <v>10.425806451612903</v>
      </c>
      <c r="G55" s="904"/>
      <c r="H55" s="905">
        <f t="shared" si="2"/>
        <v>9.6927937998129785</v>
      </c>
      <c r="I55" s="906"/>
      <c r="J55" s="369" t="str">
        <f t="shared" si="3"/>
        <v>|||||||||</v>
      </c>
      <c r="K55" s="347">
        <v>2011</v>
      </c>
      <c r="L55" s="768"/>
      <c r="M55" s="892" t="s">
        <v>81</v>
      </c>
    </row>
    <row r="56" spans="2:13" s="902" customFormat="1" hidden="1">
      <c r="B56" s="874">
        <v>2011</v>
      </c>
      <c r="C56" s="370" t="s">
        <v>37</v>
      </c>
      <c r="D56" s="903">
        <v>8.9640038914711919</v>
      </c>
      <c r="E56" s="904"/>
      <c r="F56" s="904">
        <v>10.8283378746594</v>
      </c>
      <c r="G56" s="904"/>
      <c r="H56" s="905">
        <f t="shared" si="2"/>
        <v>9.8961708830652952</v>
      </c>
      <c r="I56" s="906"/>
      <c r="J56" s="369" t="str">
        <f t="shared" si="3"/>
        <v>|||||||||</v>
      </c>
      <c r="K56" s="874">
        <v>2011</v>
      </c>
      <c r="L56" s="768"/>
      <c r="M56" s="892" t="s">
        <v>82</v>
      </c>
    </row>
    <row r="57" spans="2:13" s="902" customFormat="1" hidden="1">
      <c r="B57" s="874">
        <v>2011</v>
      </c>
      <c r="C57" s="370" t="s">
        <v>31</v>
      </c>
      <c r="D57" s="903">
        <v>8.7441051830924703</v>
      </c>
      <c r="E57" s="904"/>
      <c r="F57" s="904">
        <v>9.5801749271137027</v>
      </c>
      <c r="G57" s="904"/>
      <c r="H57" s="905">
        <f t="shared" si="2"/>
        <v>9.1621400551030874</v>
      </c>
      <c r="I57" s="906"/>
      <c r="J57" s="369" t="str">
        <f t="shared" si="3"/>
        <v>|||||||||</v>
      </c>
      <c r="K57" s="874">
        <v>2011</v>
      </c>
      <c r="L57" s="768"/>
      <c r="M57" s="892" t="s">
        <v>31</v>
      </c>
    </row>
    <row r="58" spans="2:13" s="902" customFormat="1" hidden="1">
      <c r="B58" s="874">
        <v>2011</v>
      </c>
      <c r="C58" s="370" t="s">
        <v>38</v>
      </c>
      <c r="D58" s="903">
        <v>8.0182057731464802</v>
      </c>
      <c r="E58" s="904"/>
      <c r="F58" s="904">
        <v>9.039007092198581</v>
      </c>
      <c r="G58" s="904"/>
      <c r="H58" s="905">
        <f t="shared" si="2"/>
        <v>8.5286064326725306</v>
      </c>
      <c r="I58" s="906"/>
      <c r="J58" s="369" t="str">
        <f t="shared" si="3"/>
        <v>||||||||</v>
      </c>
      <c r="K58" s="874">
        <v>2011</v>
      </c>
      <c r="L58" s="768"/>
      <c r="M58" s="892" t="s">
        <v>49</v>
      </c>
    </row>
    <row r="59" spans="2:13" s="902" customFormat="1" hidden="1">
      <c r="B59" s="874">
        <v>2011</v>
      </c>
      <c r="C59" s="370" t="s">
        <v>39</v>
      </c>
      <c r="D59" s="903">
        <v>8.1449945593035906</v>
      </c>
      <c r="E59" s="904"/>
      <c r="F59" s="904">
        <v>10.963576160000001</v>
      </c>
      <c r="G59" s="904"/>
      <c r="H59" s="905">
        <f t="shared" si="2"/>
        <v>9.5542853596517965</v>
      </c>
      <c r="I59" s="906"/>
      <c r="J59" s="369" t="str">
        <f t="shared" si="3"/>
        <v>|||||||||</v>
      </c>
      <c r="K59" s="874">
        <v>2011</v>
      </c>
      <c r="L59" s="768"/>
      <c r="M59" s="892" t="s">
        <v>39</v>
      </c>
    </row>
    <row r="60" spans="2:13" s="902" customFormat="1" hidden="1">
      <c r="B60" s="874">
        <v>2011</v>
      </c>
      <c r="C60" s="370" t="s">
        <v>32</v>
      </c>
      <c r="D60" s="903">
        <v>11.985294120000001</v>
      </c>
      <c r="E60" s="904"/>
      <c r="F60" s="904">
        <v>13.53231939</v>
      </c>
      <c r="G60" s="904"/>
      <c r="H60" s="905">
        <f t="shared" si="2"/>
        <v>12.758806755</v>
      </c>
      <c r="I60" s="906"/>
      <c r="J60" s="369" t="str">
        <f t="shared" si="3"/>
        <v>||||||||||||</v>
      </c>
      <c r="K60" s="874">
        <v>2011</v>
      </c>
      <c r="L60" s="768"/>
      <c r="M60" s="892" t="s">
        <v>32</v>
      </c>
    </row>
    <row r="61" spans="2:13" s="902" customFormat="1" hidden="1">
      <c r="B61" s="874">
        <v>2012</v>
      </c>
      <c r="C61" s="370" t="s">
        <v>33</v>
      </c>
      <c r="D61" s="903">
        <v>10.287258792938278</v>
      </c>
      <c r="E61" s="904"/>
      <c r="F61" s="904">
        <v>11.109756097560975</v>
      </c>
      <c r="G61" s="904"/>
      <c r="H61" s="905">
        <f t="shared" si="2"/>
        <v>10.698507445249627</v>
      </c>
      <c r="I61" s="906"/>
      <c r="J61" s="369" t="str">
        <f t="shared" si="3"/>
        <v>||||||||||</v>
      </c>
      <c r="K61" s="347">
        <v>2012</v>
      </c>
      <c r="L61" s="768"/>
      <c r="M61" s="892" t="s">
        <v>33</v>
      </c>
    </row>
    <row r="62" spans="2:13" s="902" customFormat="1" hidden="1">
      <c r="B62" s="874">
        <v>2012</v>
      </c>
      <c r="C62" s="370" t="s">
        <v>34</v>
      </c>
      <c r="D62" s="903">
        <v>9.2880630630630634</v>
      </c>
      <c r="E62" s="904"/>
      <c r="F62" s="904">
        <v>10.655172413793103</v>
      </c>
      <c r="G62" s="904"/>
      <c r="H62" s="905">
        <f t="shared" si="2"/>
        <v>9.9716177384280833</v>
      </c>
      <c r="I62" s="906"/>
      <c r="J62" s="369" t="str">
        <f t="shared" si="3"/>
        <v>|||||||||</v>
      </c>
      <c r="K62" s="347">
        <v>2012</v>
      </c>
      <c r="L62" s="768"/>
      <c r="M62" s="892" t="s">
        <v>77</v>
      </c>
    </row>
    <row r="63" spans="2:13" s="902" customFormat="1" hidden="1">
      <c r="B63" s="874">
        <v>2012</v>
      </c>
      <c r="C63" s="369" t="s">
        <v>29</v>
      </c>
      <c r="D63" s="903">
        <v>9.7463827019996749</v>
      </c>
      <c r="E63" s="904"/>
      <c r="F63" s="904">
        <v>11.178010471204189</v>
      </c>
      <c r="G63" s="904"/>
      <c r="H63" s="877">
        <f>AVERAGE(D63:F63)</f>
        <v>10.462196586601932</v>
      </c>
      <c r="I63" s="906"/>
      <c r="J63" s="369" t="str">
        <f t="shared" si="3"/>
        <v>||||||||||</v>
      </c>
      <c r="K63" s="347">
        <v>2012</v>
      </c>
      <c r="L63" s="768"/>
      <c r="M63" s="892" t="s">
        <v>29</v>
      </c>
    </row>
    <row r="64" spans="2:13" s="902" customFormat="1" hidden="1">
      <c r="B64" s="874">
        <v>2012</v>
      </c>
      <c r="C64" s="369" t="s">
        <v>35</v>
      </c>
      <c r="D64" s="903">
        <v>9.6733892090099527</v>
      </c>
      <c r="E64" s="904"/>
      <c r="F64" s="904">
        <v>10.79372197309417</v>
      </c>
      <c r="G64" s="904"/>
      <c r="H64" s="905">
        <f t="shared" si="2"/>
        <v>10.233555591052061</v>
      </c>
      <c r="I64" s="906"/>
      <c r="J64" s="369" t="str">
        <f t="shared" si="3"/>
        <v>||||||||||</v>
      </c>
      <c r="K64" s="347">
        <v>2012</v>
      </c>
      <c r="L64" s="768"/>
      <c r="M64" s="892" t="s">
        <v>78</v>
      </c>
    </row>
    <row r="65" spans="2:13" s="902" customFormat="1" hidden="1">
      <c r="B65" s="874">
        <v>2012</v>
      </c>
      <c r="C65" s="369" t="s">
        <v>4</v>
      </c>
      <c r="D65" s="903">
        <v>9.8192021636240696</v>
      </c>
      <c r="E65" s="904"/>
      <c r="F65" s="904">
        <v>12.575342465753424</v>
      </c>
      <c r="G65" s="904"/>
      <c r="H65" s="905">
        <f t="shared" si="2"/>
        <v>11.197272314688746</v>
      </c>
      <c r="I65" s="906"/>
      <c r="J65" s="369" t="str">
        <f t="shared" si="3"/>
        <v>|||||||||||</v>
      </c>
      <c r="K65" s="347">
        <v>2012</v>
      </c>
      <c r="L65" s="768"/>
      <c r="M65" s="892" t="s">
        <v>79</v>
      </c>
    </row>
    <row r="66" spans="2:13" s="902" customFormat="1" hidden="1">
      <c r="B66" s="874">
        <v>2012</v>
      </c>
      <c r="C66" s="369" t="s">
        <v>30</v>
      </c>
      <c r="D66" s="903">
        <v>9.5336464821811493</v>
      </c>
      <c r="E66" s="904"/>
      <c r="F66" s="904">
        <v>11.744047619047619</v>
      </c>
      <c r="G66" s="904"/>
      <c r="H66" s="905">
        <f t="shared" si="2"/>
        <v>10.638847050614384</v>
      </c>
      <c r="I66" s="906"/>
      <c r="J66" s="369" t="str">
        <f t="shared" si="3"/>
        <v>||||||||||</v>
      </c>
      <c r="K66" s="347">
        <v>2012</v>
      </c>
      <c r="L66" s="768"/>
      <c r="M66" s="892" t="s">
        <v>80</v>
      </c>
    </row>
    <row r="67" spans="2:13" s="902" customFormat="1" hidden="1">
      <c r="B67" s="874">
        <v>2012</v>
      </c>
      <c r="C67" s="369" t="s">
        <v>36</v>
      </c>
      <c r="D67" s="903">
        <v>11.368008363826451</v>
      </c>
      <c r="E67" s="904"/>
      <c r="F67" s="904">
        <v>11.535031847133759</v>
      </c>
      <c r="G67" s="904"/>
      <c r="H67" s="905">
        <f t="shared" si="2"/>
        <v>11.451520105480105</v>
      </c>
      <c r="I67" s="906"/>
      <c r="J67" s="369" t="str">
        <f t="shared" si="3"/>
        <v>|||||||||||</v>
      </c>
      <c r="K67" s="347">
        <v>2012</v>
      </c>
      <c r="L67" s="768"/>
      <c r="M67" s="892" t="s">
        <v>81</v>
      </c>
    </row>
    <row r="68" spans="2:13" s="902" customFormat="1" hidden="1">
      <c r="B68" s="874">
        <v>2012</v>
      </c>
      <c r="C68" s="369" t="s">
        <v>37</v>
      </c>
      <c r="D68" s="903">
        <v>10.445090121146459</v>
      </c>
      <c r="E68" s="904"/>
      <c r="F68" s="904">
        <v>10.50199203187251</v>
      </c>
      <c r="G68" s="904"/>
      <c r="H68" s="905">
        <f t="shared" si="2"/>
        <v>10.473541076509484</v>
      </c>
      <c r="I68" s="906"/>
      <c r="J68" s="369" t="str">
        <f t="shared" si="3"/>
        <v>||||||||||</v>
      </c>
      <c r="K68" s="347">
        <v>2012</v>
      </c>
      <c r="L68" s="768"/>
      <c r="M68" s="892" t="s">
        <v>82</v>
      </c>
    </row>
    <row r="69" spans="2:13" s="902" customFormat="1" hidden="1">
      <c r="B69" s="874">
        <v>2012</v>
      </c>
      <c r="C69" s="369" t="s">
        <v>31</v>
      </c>
      <c r="D69" s="903">
        <v>9.5212454842594187</v>
      </c>
      <c r="E69" s="904"/>
      <c r="F69" s="904">
        <v>11.020338983050847</v>
      </c>
      <c r="G69" s="904"/>
      <c r="H69" s="905">
        <f t="shared" si="2"/>
        <v>10.270792233655133</v>
      </c>
      <c r="I69" s="906"/>
      <c r="J69" s="369" t="str">
        <f t="shared" si="3"/>
        <v>||||||||||</v>
      </c>
      <c r="K69" s="347">
        <v>2012</v>
      </c>
      <c r="L69" s="768"/>
      <c r="M69" s="892" t="s">
        <v>31</v>
      </c>
    </row>
    <row r="70" spans="2:13" s="902" customFormat="1" hidden="1">
      <c r="B70" s="874">
        <v>2012</v>
      </c>
      <c r="C70" s="369" t="s">
        <v>38</v>
      </c>
      <c r="D70" s="903">
        <v>10.445090121146459</v>
      </c>
      <c r="E70" s="904"/>
      <c r="F70" s="904">
        <v>10.50199203187251</v>
      </c>
      <c r="G70" s="904"/>
      <c r="H70" s="905">
        <f>(D70+F70)/2</f>
        <v>10.473541076509484</v>
      </c>
      <c r="I70" s="906"/>
      <c r="J70" s="369" t="str">
        <f t="shared" si="3"/>
        <v>||||||||||</v>
      </c>
      <c r="K70" s="347">
        <v>2012</v>
      </c>
      <c r="L70" s="768"/>
      <c r="M70" s="892" t="s">
        <v>49</v>
      </c>
    </row>
    <row r="71" spans="2:13" s="902" customFormat="1" hidden="1">
      <c r="B71" s="874">
        <v>2012</v>
      </c>
      <c r="C71" s="369" t="s">
        <v>39</v>
      </c>
      <c r="D71" s="903">
        <v>8.9084421704591357</v>
      </c>
      <c r="E71" s="904"/>
      <c r="F71" s="904">
        <v>9.0222222222222221</v>
      </c>
      <c r="G71" s="904"/>
      <c r="H71" s="905">
        <f>(D71+F71)/2</f>
        <v>8.9653321963406789</v>
      </c>
      <c r="I71" s="906"/>
      <c r="J71" s="369" t="str">
        <f>REPT("|",H71)</f>
        <v>||||||||</v>
      </c>
      <c r="K71" s="347">
        <v>2012</v>
      </c>
      <c r="L71" s="768"/>
      <c r="M71" s="892" t="s">
        <v>39</v>
      </c>
    </row>
    <row r="72" spans="2:13" s="902" customFormat="1" hidden="1">
      <c r="B72" s="874">
        <v>2012</v>
      </c>
      <c r="C72" s="369" t="s">
        <v>32</v>
      </c>
      <c r="D72" s="903">
        <v>8.9084421704591357</v>
      </c>
      <c r="E72" s="904"/>
      <c r="F72" s="904">
        <v>12.655405405405405</v>
      </c>
      <c r="G72" s="904"/>
      <c r="H72" s="905">
        <f>(D72+F72)/2</f>
        <v>10.781923787932271</v>
      </c>
      <c r="I72" s="906"/>
      <c r="J72" s="369"/>
      <c r="K72" s="347">
        <v>2012</v>
      </c>
      <c r="L72" s="768"/>
      <c r="M72" s="892" t="s">
        <v>32</v>
      </c>
    </row>
    <row r="73" spans="2:13" s="902" customFormat="1" hidden="1">
      <c r="B73" s="874">
        <v>2013</v>
      </c>
      <c r="C73" s="369" t="s">
        <v>33</v>
      </c>
      <c r="D73" s="903">
        <v>11.640572276960453</v>
      </c>
      <c r="E73" s="904"/>
      <c r="F73" s="904">
        <v>11.17258883248731</v>
      </c>
      <c r="G73" s="904"/>
      <c r="H73" s="904">
        <f t="shared" ref="H73:H80" si="4">SUM(D73:F73)/2</f>
        <v>11.406580554723881</v>
      </c>
      <c r="I73" s="907"/>
      <c r="J73" s="908"/>
      <c r="K73" s="768">
        <v>2013</v>
      </c>
      <c r="L73" s="768"/>
      <c r="M73" s="892" t="s">
        <v>33</v>
      </c>
    </row>
    <row r="74" spans="2:13" s="902" customFormat="1" hidden="1">
      <c r="B74" s="874">
        <v>2013</v>
      </c>
      <c r="C74" s="369" t="s">
        <v>34</v>
      </c>
      <c r="D74" s="903">
        <v>15.593008739076154</v>
      </c>
      <c r="E74" s="909"/>
      <c r="F74" s="904">
        <v>9.3524590163934427</v>
      </c>
      <c r="G74" s="909"/>
      <c r="H74" s="904">
        <f t="shared" si="4"/>
        <v>12.472733877734798</v>
      </c>
      <c r="I74" s="910"/>
      <c r="J74" s="908"/>
      <c r="K74" s="768">
        <v>2013</v>
      </c>
      <c r="L74" s="768"/>
      <c r="M74" s="892" t="s">
        <v>77</v>
      </c>
    </row>
    <row r="75" spans="2:13" s="902" customFormat="1" hidden="1">
      <c r="B75" s="874">
        <v>2013</v>
      </c>
      <c r="C75" s="369" t="s">
        <v>29</v>
      </c>
      <c r="D75" s="903">
        <v>10.053048065650644</v>
      </c>
      <c r="E75" s="904"/>
      <c r="F75" s="904">
        <v>11.153333333333334</v>
      </c>
      <c r="G75" s="904"/>
      <c r="H75" s="877">
        <f>AVERAGE(D75:F75)</f>
        <v>10.603190699491989</v>
      </c>
      <c r="I75" s="907"/>
      <c r="J75" s="908"/>
      <c r="K75" s="768">
        <v>2013</v>
      </c>
      <c r="L75" s="768"/>
      <c r="M75" s="892" t="s">
        <v>29</v>
      </c>
    </row>
    <row r="76" spans="2:13" s="902" customFormat="1" hidden="1">
      <c r="B76" s="874">
        <v>2013</v>
      </c>
      <c r="C76" s="369" t="s">
        <v>35</v>
      </c>
      <c r="D76" s="903">
        <v>10.743887530562347</v>
      </c>
      <c r="E76" s="904"/>
      <c r="F76" s="904">
        <v>10.818371607515658</v>
      </c>
      <c r="G76" s="904"/>
      <c r="H76" s="904">
        <f t="shared" si="4"/>
        <v>10.781129569039003</v>
      </c>
      <c r="I76" s="907"/>
      <c r="J76" s="908"/>
      <c r="K76" s="768">
        <v>2013</v>
      </c>
      <c r="L76" s="768"/>
      <c r="M76" s="892" t="s">
        <v>78</v>
      </c>
    </row>
    <row r="77" spans="2:13" s="902" customFormat="1" hidden="1">
      <c r="B77" s="874">
        <v>2013</v>
      </c>
      <c r="C77" s="369" t="s">
        <v>4</v>
      </c>
      <c r="D77" s="903">
        <v>9.4632914847161569</v>
      </c>
      <c r="E77" s="904"/>
      <c r="F77" s="904">
        <v>12.58600583090379</v>
      </c>
      <c r="G77" s="904"/>
      <c r="H77" s="904">
        <f t="shared" si="4"/>
        <v>11.024648657809973</v>
      </c>
      <c r="I77" s="907"/>
      <c r="J77" s="908"/>
      <c r="K77" s="768">
        <v>2013</v>
      </c>
      <c r="L77" s="768"/>
      <c r="M77" s="892" t="s">
        <v>79</v>
      </c>
    </row>
    <row r="78" spans="2:13" s="902" customFormat="1" hidden="1">
      <c r="B78" s="874">
        <v>2013</v>
      </c>
      <c r="C78" s="369" t="s">
        <v>30</v>
      </c>
      <c r="D78" s="903">
        <v>9.1576268048870784</v>
      </c>
      <c r="E78" s="904"/>
      <c r="F78" s="904">
        <v>11.6525</v>
      </c>
      <c r="G78" s="904"/>
      <c r="H78" s="904">
        <f t="shared" si="4"/>
        <v>10.405063402443538</v>
      </c>
      <c r="I78" s="907"/>
      <c r="J78" s="908"/>
      <c r="K78" s="768">
        <v>2013</v>
      </c>
      <c r="L78" s="768"/>
      <c r="M78" s="892" t="s">
        <v>80</v>
      </c>
    </row>
    <row r="79" spans="2:13" s="902" customFormat="1" hidden="1">
      <c r="B79" s="874">
        <v>2013</v>
      </c>
      <c r="C79" s="369" t="s">
        <v>36</v>
      </c>
      <c r="D79" s="903">
        <v>9.9892888498683057</v>
      </c>
      <c r="E79" s="904"/>
      <c r="F79" s="904">
        <v>12</v>
      </c>
      <c r="G79" s="904"/>
      <c r="H79" s="904">
        <f t="shared" si="4"/>
        <v>10.994644424934153</v>
      </c>
      <c r="I79" s="907"/>
      <c r="J79" s="908"/>
      <c r="K79" s="768">
        <v>2013</v>
      </c>
      <c r="L79" s="768"/>
      <c r="M79" s="892" t="s">
        <v>81</v>
      </c>
    </row>
    <row r="80" spans="2:13" s="902" customFormat="1" hidden="1">
      <c r="B80" s="874">
        <v>2013</v>
      </c>
      <c r="C80" s="369" t="s">
        <v>37</v>
      </c>
      <c r="D80" s="903">
        <v>9.5376837374777637</v>
      </c>
      <c r="E80" s="904"/>
      <c r="F80" s="904">
        <v>13.150442477876107</v>
      </c>
      <c r="G80" s="904"/>
      <c r="H80" s="904">
        <f t="shared" si="4"/>
        <v>11.344063107676934</v>
      </c>
      <c r="I80" s="907"/>
      <c r="J80" s="908"/>
      <c r="K80" s="768">
        <v>2013</v>
      </c>
      <c r="L80" s="768"/>
      <c r="M80" s="892" t="s">
        <v>82</v>
      </c>
    </row>
    <row r="81" spans="2:13" s="902" customFormat="1" hidden="1">
      <c r="B81" s="874">
        <v>2013</v>
      </c>
      <c r="C81" s="369" t="s">
        <v>31</v>
      </c>
      <c r="D81" s="903">
        <v>9.0102292768959433</v>
      </c>
      <c r="E81" s="904"/>
      <c r="F81" s="904">
        <v>12.83203125</v>
      </c>
      <c r="G81" s="904"/>
      <c r="H81" s="904">
        <f t="shared" ref="H81:H86" si="5">SUM(D81:F81)/2</f>
        <v>10.921130263447971</v>
      </c>
      <c r="I81" s="907"/>
      <c r="J81" s="908"/>
      <c r="K81" s="768">
        <v>2013</v>
      </c>
      <c r="L81" s="768"/>
      <c r="M81" s="892" t="s">
        <v>31</v>
      </c>
    </row>
    <row r="82" spans="2:13" s="902" customFormat="1" hidden="1">
      <c r="B82" s="874">
        <v>2013</v>
      </c>
      <c r="C82" s="369" t="s">
        <v>38</v>
      </c>
      <c r="D82" s="903">
        <v>15.689827735540371</v>
      </c>
      <c r="E82" s="904"/>
      <c r="F82" s="904">
        <v>10.581986143187066</v>
      </c>
      <c r="G82" s="904"/>
      <c r="H82" s="904">
        <f t="shared" si="5"/>
        <v>13.135906939363718</v>
      </c>
      <c r="I82" s="907"/>
      <c r="J82" s="908"/>
      <c r="K82" s="768">
        <v>2013</v>
      </c>
      <c r="L82" s="768"/>
      <c r="M82" s="892" t="s">
        <v>49</v>
      </c>
    </row>
    <row r="83" spans="2:13" s="902" customFormat="1" hidden="1">
      <c r="B83" s="874">
        <v>2013</v>
      </c>
      <c r="C83" s="369" t="s">
        <v>39</v>
      </c>
      <c r="D83" s="903">
        <v>8.0364217252396166</v>
      </c>
      <c r="E83" s="904"/>
      <c r="F83" s="904">
        <v>11.838926174496644</v>
      </c>
      <c r="G83" s="904"/>
      <c r="H83" s="904">
        <f t="shared" si="5"/>
        <v>9.937673949868131</v>
      </c>
      <c r="I83" s="907"/>
      <c r="J83" s="908"/>
      <c r="K83" s="768">
        <v>2013</v>
      </c>
      <c r="L83" s="768"/>
      <c r="M83" s="892" t="s">
        <v>39</v>
      </c>
    </row>
    <row r="84" spans="2:13" s="902" customFormat="1" hidden="1">
      <c r="B84" s="874">
        <v>2013</v>
      </c>
      <c r="C84" s="369" t="s">
        <v>32</v>
      </c>
      <c r="D84" s="903">
        <v>11.065976987226856</v>
      </c>
      <c r="E84" s="904"/>
      <c r="F84" s="904">
        <v>12.213157894736842</v>
      </c>
      <c r="G84" s="904"/>
      <c r="H84" s="904">
        <f t="shared" si="5"/>
        <v>11.63956744098185</v>
      </c>
      <c r="I84" s="907"/>
      <c r="J84" s="908"/>
      <c r="K84" s="768">
        <v>2013</v>
      </c>
      <c r="L84" s="768"/>
      <c r="M84" s="892" t="s">
        <v>32</v>
      </c>
    </row>
    <row r="85" spans="2:13" s="902" customFormat="1" ht="15" hidden="1" customHeight="1">
      <c r="B85" s="911">
        <v>2014</v>
      </c>
      <c r="C85" s="912" t="s">
        <v>33</v>
      </c>
      <c r="D85" s="913">
        <v>10.439913127413128</v>
      </c>
      <c r="E85" s="914"/>
      <c r="F85" s="914">
        <v>13.622641509433961</v>
      </c>
      <c r="G85" s="914"/>
      <c r="H85" s="914">
        <f t="shared" si="5"/>
        <v>12.031277318423545</v>
      </c>
      <c r="I85" s="915"/>
      <c r="J85" s="916"/>
      <c r="K85" s="917">
        <v>2014</v>
      </c>
      <c r="L85" s="917"/>
      <c r="M85" s="918" t="s">
        <v>33</v>
      </c>
    </row>
    <row r="86" spans="2:13" s="902" customFormat="1" ht="15" hidden="1" customHeight="1">
      <c r="B86" s="874">
        <v>2014</v>
      </c>
      <c r="C86" s="369" t="s">
        <v>34</v>
      </c>
      <c r="D86" s="903">
        <v>13.092660926609266</v>
      </c>
      <c r="E86" s="904"/>
      <c r="F86" s="904">
        <v>16.717557251908396</v>
      </c>
      <c r="G86" s="904"/>
      <c r="H86" s="904">
        <f t="shared" si="5"/>
        <v>14.905109089258831</v>
      </c>
      <c r="I86" s="907"/>
      <c r="J86" s="908"/>
      <c r="K86" s="874">
        <v>2014</v>
      </c>
      <c r="L86" s="768"/>
      <c r="M86" s="892" t="s">
        <v>77</v>
      </c>
    </row>
    <row r="87" spans="2:13" s="902" customFormat="1" ht="15" hidden="1" customHeight="1">
      <c r="B87" s="874">
        <v>2014</v>
      </c>
      <c r="C87" s="369" t="s">
        <v>29</v>
      </c>
      <c r="D87" s="903">
        <v>9.8732371535094821</v>
      </c>
      <c r="E87" s="904"/>
      <c r="F87" s="904">
        <v>9.0289855072463769</v>
      </c>
      <c r="G87" s="904"/>
      <c r="H87" s="877">
        <f>AVERAGE(D87:F87)</f>
        <v>9.4511113303779304</v>
      </c>
      <c r="I87" s="907"/>
      <c r="J87" s="908"/>
      <c r="K87" s="874">
        <v>2014</v>
      </c>
      <c r="L87" s="768"/>
      <c r="M87" s="892" t="s">
        <v>29</v>
      </c>
    </row>
    <row r="88" spans="2:13" s="902" customFormat="1" ht="15" hidden="1" customHeight="1">
      <c r="B88" s="874">
        <v>2014</v>
      </c>
      <c r="C88" s="369" t="s">
        <v>35</v>
      </c>
      <c r="D88" s="903">
        <v>9.0246259351620939</v>
      </c>
      <c r="E88" s="904"/>
      <c r="F88" s="904">
        <v>10.845945945945946</v>
      </c>
      <c r="G88" s="904"/>
      <c r="H88" s="904">
        <f>SUM(D88:F88)/2</f>
        <v>9.9352859405540208</v>
      </c>
      <c r="I88" s="907"/>
      <c r="J88" s="908"/>
      <c r="K88" s="768">
        <v>2014</v>
      </c>
      <c r="L88" s="768"/>
      <c r="M88" s="892" t="s">
        <v>78</v>
      </c>
    </row>
    <row r="89" spans="2:13" s="902" customFormat="1" ht="15" hidden="1" customHeight="1">
      <c r="B89" s="874">
        <v>2014</v>
      </c>
      <c r="C89" s="369" t="s">
        <v>4</v>
      </c>
      <c r="D89" s="903">
        <v>8.7859249329758722</v>
      </c>
      <c r="E89" s="904"/>
      <c r="F89" s="904">
        <v>13.127450980392156</v>
      </c>
      <c r="G89" s="904"/>
      <c r="H89" s="904">
        <f>SUM(D89:F89)/2</f>
        <v>10.956687956684014</v>
      </c>
      <c r="I89" s="907"/>
      <c r="J89" s="908"/>
      <c r="K89" s="768">
        <v>2014</v>
      </c>
      <c r="L89" s="768"/>
      <c r="M89" s="892" t="s">
        <v>79</v>
      </c>
    </row>
    <row r="90" spans="2:13" s="902" customFormat="1" ht="15" hidden="1" customHeight="1">
      <c r="B90" s="874">
        <v>2014</v>
      </c>
      <c r="C90" s="369" t="s">
        <v>30</v>
      </c>
      <c r="D90" s="903">
        <v>9.1513875598086116</v>
      </c>
      <c r="E90" s="904"/>
      <c r="F90" s="904">
        <v>10.945945945945946</v>
      </c>
      <c r="G90" s="904"/>
      <c r="H90" s="904">
        <f>SUM(D90:F90)/2</f>
        <v>10.048666752877278</v>
      </c>
      <c r="I90" s="907"/>
      <c r="J90" s="908"/>
      <c r="K90" s="768">
        <v>2014</v>
      </c>
      <c r="L90" s="768"/>
      <c r="M90" s="892" t="s">
        <v>80</v>
      </c>
    </row>
    <row r="91" spans="2:13" s="902" customFormat="1" ht="15" hidden="1" customHeight="1">
      <c r="B91" s="874">
        <v>2014</v>
      </c>
      <c r="C91" s="369" t="s">
        <v>36</v>
      </c>
      <c r="D91" s="903">
        <v>9.8682678983833725</v>
      </c>
      <c r="E91" s="904"/>
      <c r="F91" s="904">
        <v>13.127572016460906</v>
      </c>
      <c r="G91" s="904"/>
      <c r="H91" s="904">
        <v>11.497919957422139</v>
      </c>
      <c r="I91" s="907"/>
      <c r="J91" s="908"/>
      <c r="K91" s="768">
        <v>2014</v>
      </c>
      <c r="L91" s="768"/>
      <c r="M91" s="892" t="s">
        <v>81</v>
      </c>
    </row>
    <row r="92" spans="2:13" s="902" customFormat="1" ht="15" hidden="1" customHeight="1">
      <c r="B92" s="874">
        <v>2014</v>
      </c>
      <c r="C92" s="369" t="s">
        <v>37</v>
      </c>
      <c r="D92" s="903">
        <v>8.78482356062616</v>
      </c>
      <c r="E92" s="904"/>
      <c r="F92" s="904">
        <v>10.151419558359622</v>
      </c>
      <c r="G92" s="904"/>
      <c r="H92" s="904">
        <v>9.4681215594928911</v>
      </c>
      <c r="I92" s="907"/>
      <c r="J92" s="908"/>
      <c r="K92" s="768">
        <v>2014</v>
      </c>
      <c r="L92" s="768"/>
      <c r="M92" s="892" t="s">
        <v>82</v>
      </c>
    </row>
    <row r="93" spans="2:13" s="902" customFormat="1" ht="15" hidden="1" customHeight="1">
      <c r="B93" s="874">
        <v>2014</v>
      </c>
      <c r="C93" s="369" t="s">
        <v>31</v>
      </c>
      <c r="D93" s="903">
        <v>8.9768889727384202</v>
      </c>
      <c r="E93" s="904"/>
      <c r="F93" s="904">
        <v>9.6666666666666661</v>
      </c>
      <c r="G93" s="904"/>
      <c r="H93" s="904">
        <v>9.3217778197025432</v>
      </c>
      <c r="I93" s="907"/>
      <c r="J93" s="908"/>
      <c r="K93" s="768">
        <v>2014</v>
      </c>
      <c r="L93" s="768"/>
      <c r="M93" s="892" t="s">
        <v>31</v>
      </c>
    </row>
    <row r="94" spans="2:13" s="902" customFormat="1" ht="15" hidden="1" customHeight="1">
      <c r="B94" s="874">
        <v>2014</v>
      </c>
      <c r="C94" s="369" t="s">
        <v>38</v>
      </c>
      <c r="D94" s="903">
        <v>8.0742914979757092</v>
      </c>
      <c r="E94" s="904"/>
      <c r="F94" s="904">
        <v>8.5990099009900991</v>
      </c>
      <c r="G94" s="904"/>
      <c r="H94" s="904">
        <v>9.3217778197025432</v>
      </c>
      <c r="I94" s="907"/>
      <c r="J94" s="908"/>
      <c r="K94" s="768">
        <v>2014</v>
      </c>
      <c r="L94" s="768"/>
      <c r="M94" s="892" t="s">
        <v>49</v>
      </c>
    </row>
    <row r="95" spans="2:13" s="902" customFormat="1" ht="3.75" hidden="1" customHeight="1">
      <c r="B95" s="874">
        <v>2014</v>
      </c>
      <c r="C95" s="369" t="s">
        <v>39</v>
      </c>
      <c r="D95" s="903">
        <v>8.3169384180029642</v>
      </c>
      <c r="E95" s="904"/>
      <c r="F95" s="904">
        <v>9.6067961165048548</v>
      </c>
      <c r="G95" s="904"/>
      <c r="H95" s="904">
        <v>8.9618672672539095</v>
      </c>
      <c r="I95" s="907"/>
      <c r="J95" s="908"/>
      <c r="K95" s="768">
        <v>2014</v>
      </c>
      <c r="L95" s="768"/>
      <c r="M95" s="892" t="s">
        <v>39</v>
      </c>
    </row>
    <row r="96" spans="2:13" s="902" customFormat="1" ht="15" hidden="1" customHeight="1">
      <c r="B96" s="874">
        <v>2014</v>
      </c>
      <c r="C96" s="369" t="s">
        <v>32</v>
      </c>
      <c r="D96" s="903">
        <v>9.7306865222299876</v>
      </c>
      <c r="E96" s="904"/>
      <c r="F96" s="904">
        <v>13.068119891008175</v>
      </c>
      <c r="G96" s="904"/>
      <c r="H96" s="904">
        <v>11.39940320661908</v>
      </c>
      <c r="I96" s="907"/>
      <c r="J96" s="908"/>
      <c r="K96" s="768">
        <v>2014</v>
      </c>
      <c r="L96" s="768"/>
      <c r="M96" s="892" t="s">
        <v>32</v>
      </c>
    </row>
    <row r="97" spans="2:13" s="902" customFormat="1" ht="15" hidden="1" customHeight="1">
      <c r="B97" s="874">
        <v>2015</v>
      </c>
      <c r="C97" s="369" t="s">
        <v>33</v>
      </c>
      <c r="D97" s="903">
        <v>8.8859510174241496</v>
      </c>
      <c r="E97" s="904"/>
      <c r="F97" s="904">
        <v>9.1672473867595823</v>
      </c>
      <c r="G97" s="904"/>
      <c r="H97" s="904">
        <v>9.0265992020918659</v>
      </c>
      <c r="I97" s="907"/>
      <c r="J97" s="908"/>
      <c r="K97" s="768">
        <v>2015</v>
      </c>
      <c r="L97" s="768"/>
      <c r="M97" s="892" t="s">
        <v>33</v>
      </c>
    </row>
    <row r="98" spans="2:13" s="902" customFormat="1" ht="13.9" hidden="1" customHeight="1">
      <c r="B98" s="874">
        <v>2015</v>
      </c>
      <c r="C98" s="369" t="s">
        <v>34</v>
      </c>
      <c r="D98" s="903">
        <v>12.501260422726391</v>
      </c>
      <c r="E98" s="904"/>
      <c r="F98" s="904">
        <v>10.798994974874372</v>
      </c>
      <c r="G98" s="904"/>
      <c r="H98" s="904">
        <v>11.650127698800382</v>
      </c>
      <c r="I98" s="907"/>
      <c r="J98" s="908"/>
      <c r="K98" s="768">
        <v>2015</v>
      </c>
      <c r="L98" s="768"/>
      <c r="M98" s="892" t="s">
        <v>77</v>
      </c>
    </row>
    <row r="99" spans="2:13" s="902" customFormat="1" ht="15" hidden="1" customHeight="1">
      <c r="B99" s="874">
        <v>2015</v>
      </c>
      <c r="C99" s="369" t="s">
        <v>29</v>
      </c>
      <c r="D99" s="903">
        <v>11.488834844130002</v>
      </c>
      <c r="E99" s="904"/>
      <c r="F99" s="904">
        <v>15.472527472527473</v>
      </c>
      <c r="G99" s="904"/>
      <c r="H99" s="877">
        <f>AVERAGE(D99:F99)</f>
        <v>13.480681158328737</v>
      </c>
      <c r="I99" s="907"/>
      <c r="J99" s="908"/>
      <c r="K99" s="768">
        <v>2015</v>
      </c>
      <c r="L99" s="768"/>
      <c r="M99" s="892" t="s">
        <v>29</v>
      </c>
    </row>
    <row r="100" spans="2:13" s="902" customFormat="1" ht="15" hidden="1" customHeight="1">
      <c r="B100" s="874">
        <v>2015</v>
      </c>
      <c r="C100" s="369" t="s">
        <v>35</v>
      </c>
      <c r="D100" s="903">
        <v>11.13325499412456</v>
      </c>
      <c r="E100" s="904"/>
      <c r="F100" s="904">
        <v>10.441077441077441</v>
      </c>
      <c r="G100" s="904"/>
      <c r="H100" s="904">
        <v>10.787166217601001</v>
      </c>
      <c r="I100" s="907"/>
      <c r="J100" s="908"/>
      <c r="K100" s="768">
        <v>2015</v>
      </c>
      <c r="L100" s="768"/>
      <c r="M100" s="892" t="s">
        <v>78</v>
      </c>
    </row>
    <row r="101" spans="2:13" s="902" customFormat="1" ht="15" hidden="1" customHeight="1">
      <c r="B101" s="874">
        <v>2015</v>
      </c>
      <c r="C101" s="369" t="s">
        <v>4</v>
      </c>
      <c r="D101" s="903">
        <v>10.35619955979457</v>
      </c>
      <c r="E101" s="904"/>
      <c r="F101" s="904">
        <v>14.262295081967213</v>
      </c>
      <c r="G101" s="904"/>
      <c r="H101" s="904">
        <v>12.309247320880893</v>
      </c>
      <c r="I101" s="907"/>
      <c r="J101" s="908"/>
      <c r="K101" s="768">
        <v>2015</v>
      </c>
      <c r="L101" s="768"/>
      <c r="M101" s="892" t="s">
        <v>79</v>
      </c>
    </row>
    <row r="102" spans="2:13" s="902" customFormat="1" ht="14.45" hidden="1" customHeight="1">
      <c r="B102" s="874">
        <v>2015</v>
      </c>
      <c r="C102" s="369" t="s">
        <v>30</v>
      </c>
      <c r="D102" s="903">
        <v>11.62728332685581</v>
      </c>
      <c r="E102" s="904"/>
      <c r="F102" s="904">
        <v>11.431818181818182</v>
      </c>
      <c r="G102" s="904"/>
      <c r="H102" s="904">
        <v>11.529550754336995</v>
      </c>
      <c r="I102" s="907"/>
      <c r="J102" s="908"/>
      <c r="K102" s="768">
        <v>2015</v>
      </c>
      <c r="L102" s="768"/>
      <c r="M102" s="892" t="s">
        <v>80</v>
      </c>
    </row>
    <row r="103" spans="2:13" s="902" customFormat="1" ht="15" hidden="1" customHeight="1">
      <c r="B103" s="874">
        <v>2015</v>
      </c>
      <c r="C103" s="369" t="s">
        <v>36</v>
      </c>
      <c r="D103" s="903">
        <v>11.693738375697459</v>
      </c>
      <c r="E103" s="904"/>
      <c r="F103" s="904">
        <v>12.496710526315789</v>
      </c>
      <c r="G103" s="904"/>
      <c r="H103" s="904">
        <v>12.095224451006624</v>
      </c>
      <c r="I103" s="907"/>
      <c r="J103" s="908"/>
      <c r="K103" s="768">
        <v>2015</v>
      </c>
      <c r="L103" s="768"/>
      <c r="M103" s="892" t="s">
        <v>81</v>
      </c>
    </row>
    <row r="104" spans="2:13" s="902" customFormat="1" ht="15" hidden="1" customHeight="1">
      <c r="B104" s="874">
        <v>2015</v>
      </c>
      <c r="C104" s="369" t="s">
        <v>37</v>
      </c>
      <c r="D104" s="903">
        <v>10.463753599599348</v>
      </c>
      <c r="E104" s="904"/>
      <c r="F104" s="904">
        <v>10.911242603550296</v>
      </c>
      <c r="G104" s="904"/>
      <c r="H104" s="904">
        <v>10.687498101574821</v>
      </c>
      <c r="I104" s="907"/>
      <c r="J104" s="908"/>
      <c r="K104" s="768">
        <v>2015</v>
      </c>
      <c r="L104" s="768"/>
      <c r="M104" s="892" t="s">
        <v>82</v>
      </c>
    </row>
    <row r="105" spans="2:13" s="902" customFormat="1" ht="15" hidden="1" customHeight="1">
      <c r="B105" s="874">
        <v>2015</v>
      </c>
      <c r="C105" s="369" t="s">
        <v>31</v>
      </c>
      <c r="D105" s="903">
        <v>9.4832000000000001</v>
      </c>
      <c r="E105" s="904"/>
      <c r="F105" s="904">
        <v>10.843500000000001</v>
      </c>
      <c r="G105" s="904"/>
      <c r="H105" s="904">
        <v>10.163350000000001</v>
      </c>
      <c r="I105" s="907"/>
      <c r="J105" s="908"/>
      <c r="K105" s="768">
        <v>2015</v>
      </c>
      <c r="L105" s="768"/>
      <c r="M105" s="892" t="s">
        <v>31</v>
      </c>
    </row>
    <row r="106" spans="2:13" s="902" customFormat="1" ht="15" hidden="1" customHeight="1">
      <c r="B106" s="874">
        <v>2015</v>
      </c>
      <c r="C106" s="369" t="s">
        <v>38</v>
      </c>
      <c r="D106" s="903">
        <v>9.4672110863647614</v>
      </c>
      <c r="E106" s="904"/>
      <c r="F106" s="904">
        <v>11.573369565217391</v>
      </c>
      <c r="G106" s="904"/>
      <c r="H106" s="904">
        <v>10.520290325791077</v>
      </c>
      <c r="I106" s="907"/>
      <c r="J106" s="908"/>
      <c r="K106" s="768">
        <v>2015</v>
      </c>
      <c r="L106" s="768"/>
      <c r="M106" s="892" t="s">
        <v>49</v>
      </c>
    </row>
    <row r="107" spans="2:13" s="902" customFormat="1" ht="15" hidden="1" customHeight="1">
      <c r="B107" s="874">
        <v>2015</v>
      </c>
      <c r="C107" s="369" t="s">
        <v>39</v>
      </c>
      <c r="D107" s="903">
        <v>8.8726559092891417</v>
      </c>
      <c r="E107" s="904"/>
      <c r="F107" s="904">
        <v>10.343023255813954</v>
      </c>
      <c r="G107" s="904"/>
      <c r="H107" s="904">
        <v>9.6078395825515486</v>
      </c>
      <c r="I107" s="907"/>
      <c r="J107" s="908"/>
      <c r="K107" s="768">
        <v>2015</v>
      </c>
      <c r="L107" s="768"/>
      <c r="M107" s="892" t="s">
        <v>39</v>
      </c>
    </row>
    <row r="108" spans="2:13" s="902" customFormat="1" ht="15" hidden="1" customHeight="1">
      <c r="B108" s="874">
        <v>2015</v>
      </c>
      <c r="C108" s="369" t="s">
        <v>32</v>
      </c>
      <c r="D108" s="903">
        <v>10.199999999999999</v>
      </c>
      <c r="E108" s="904"/>
      <c r="F108" s="904">
        <v>12.4</v>
      </c>
      <c r="G108" s="904"/>
      <c r="H108" s="904">
        <v>11.3</v>
      </c>
      <c r="I108" s="907"/>
      <c r="J108" s="908"/>
      <c r="K108" s="768">
        <v>2015</v>
      </c>
      <c r="L108" s="768"/>
      <c r="M108" s="892" t="s">
        <v>32</v>
      </c>
    </row>
    <row r="109" spans="2:13" s="902" customFormat="1" ht="15" hidden="1" customHeight="1">
      <c r="B109" s="874">
        <v>2016</v>
      </c>
      <c r="C109" s="369" t="s">
        <v>33</v>
      </c>
      <c r="D109" s="903">
        <v>10.309381980640357</v>
      </c>
      <c r="E109" s="904"/>
      <c r="F109" s="904">
        <v>11.216358839050132</v>
      </c>
      <c r="G109" s="904"/>
      <c r="H109" s="904">
        <v>10.762870409845245</v>
      </c>
      <c r="I109" s="907"/>
      <c r="J109" s="908"/>
      <c r="K109" s="768">
        <v>2016</v>
      </c>
      <c r="L109" s="768"/>
      <c r="M109" s="892" t="s">
        <v>33</v>
      </c>
    </row>
    <row r="110" spans="2:13" s="902" customFormat="1" ht="13.9" hidden="1" customHeight="1">
      <c r="B110" s="874">
        <v>2016</v>
      </c>
      <c r="C110" s="369" t="s">
        <v>34</v>
      </c>
      <c r="D110" s="903">
        <v>11.361083249749248</v>
      </c>
      <c r="E110" s="904"/>
      <c r="F110" s="904">
        <v>10.718894009216591</v>
      </c>
      <c r="G110" s="904"/>
      <c r="H110" s="904">
        <v>11.03998862948292</v>
      </c>
      <c r="I110" s="907"/>
      <c r="J110" s="908"/>
      <c r="K110" s="768">
        <v>2016</v>
      </c>
      <c r="L110" s="768"/>
      <c r="M110" s="892" t="s">
        <v>77</v>
      </c>
    </row>
    <row r="111" spans="2:13" s="902" customFormat="1" ht="12.75" hidden="1" customHeight="1">
      <c r="B111" s="874">
        <v>2016</v>
      </c>
      <c r="C111" s="369" t="s">
        <v>29</v>
      </c>
      <c r="D111" s="903">
        <v>8.5134788189987169</v>
      </c>
      <c r="E111" s="904"/>
      <c r="F111" s="904">
        <v>13.718253968253968</v>
      </c>
      <c r="G111" s="904"/>
      <c r="H111" s="877">
        <f t="shared" ref="H111:H123" si="6">AVERAGE(D111:F111)</f>
        <v>11.115866393626343</v>
      </c>
      <c r="I111" s="907"/>
      <c r="J111" s="908"/>
      <c r="K111" s="768">
        <v>2016</v>
      </c>
      <c r="L111" s="768"/>
      <c r="M111" s="892" t="s">
        <v>29</v>
      </c>
    </row>
    <row r="112" spans="2:13" s="902" customFormat="1" ht="14.25" hidden="1" customHeight="1">
      <c r="B112" s="874">
        <v>2016</v>
      </c>
      <c r="C112" s="369" t="s">
        <v>35</v>
      </c>
      <c r="D112" s="903">
        <v>11.236080178173719</v>
      </c>
      <c r="E112" s="904"/>
      <c r="F112" s="904">
        <v>11.236080178173719</v>
      </c>
      <c r="G112" s="904"/>
      <c r="H112" s="877">
        <f t="shared" si="6"/>
        <v>11.236080178173719</v>
      </c>
      <c r="I112" s="907"/>
      <c r="J112" s="908"/>
      <c r="K112" s="768">
        <v>2016</v>
      </c>
      <c r="L112" s="768"/>
      <c r="M112" s="892" t="s">
        <v>78</v>
      </c>
    </row>
    <row r="113" spans="2:13" s="902" customFormat="1" ht="14.25" hidden="1" customHeight="1">
      <c r="B113" s="874">
        <v>2016</v>
      </c>
      <c r="C113" s="369" t="s">
        <v>4</v>
      </c>
      <c r="D113" s="903">
        <v>9.2996247654784234</v>
      </c>
      <c r="E113" s="904"/>
      <c r="F113" s="904">
        <v>13.265753424657534</v>
      </c>
      <c r="G113" s="904"/>
      <c r="H113" s="877">
        <f t="shared" si="6"/>
        <v>11.28268909506798</v>
      </c>
      <c r="I113" s="907"/>
      <c r="J113" s="908"/>
      <c r="K113" s="768">
        <v>2016</v>
      </c>
      <c r="L113" s="768"/>
      <c r="M113" s="892" t="s">
        <v>79</v>
      </c>
    </row>
    <row r="114" spans="2:13" s="902" customFormat="1" ht="14.25" hidden="1" customHeight="1">
      <c r="B114" s="874">
        <v>2016</v>
      </c>
      <c r="C114" s="369" t="s">
        <v>30</v>
      </c>
      <c r="D114" s="903">
        <v>9.8374476013041452</v>
      </c>
      <c r="E114" s="904"/>
      <c r="F114" s="904">
        <v>12.55193482688391</v>
      </c>
      <c r="G114" s="904"/>
      <c r="H114" s="877">
        <f t="shared" si="6"/>
        <v>11.194691214094028</v>
      </c>
      <c r="I114" s="907"/>
      <c r="J114" s="908"/>
      <c r="K114" s="768">
        <v>2016</v>
      </c>
      <c r="L114" s="768"/>
      <c r="M114" s="892" t="s">
        <v>80</v>
      </c>
    </row>
    <row r="115" spans="2:13" s="902" customFormat="1" ht="13.5" hidden="1" customHeight="1">
      <c r="B115" s="874">
        <v>2016</v>
      </c>
      <c r="C115" s="369" t="s">
        <v>36</v>
      </c>
      <c r="D115" s="903">
        <v>10.544832306639288</v>
      </c>
      <c r="E115" s="904"/>
      <c r="F115" s="904">
        <v>10.936802973977695</v>
      </c>
      <c r="G115" s="904"/>
      <c r="H115" s="877">
        <f t="shared" si="6"/>
        <v>10.740817640308492</v>
      </c>
      <c r="I115" s="907"/>
      <c r="J115" s="908"/>
      <c r="K115" s="768">
        <v>2016</v>
      </c>
      <c r="L115" s="768"/>
      <c r="M115" s="892" t="s">
        <v>81</v>
      </c>
    </row>
    <row r="116" spans="2:13" s="902" customFormat="1" ht="13.5" hidden="1" customHeight="1">
      <c r="B116" s="874">
        <v>2016</v>
      </c>
      <c r="C116" s="369" t="s">
        <v>37</v>
      </c>
      <c r="D116" s="903">
        <v>10.631193693693694</v>
      </c>
      <c r="E116" s="904"/>
      <c r="F116" s="904">
        <v>12.633251833740831</v>
      </c>
      <c r="G116" s="904"/>
      <c r="H116" s="877">
        <f t="shared" si="6"/>
        <v>11.632222763717262</v>
      </c>
      <c r="I116" s="907"/>
      <c r="J116" s="919"/>
      <c r="K116" s="768">
        <v>2016</v>
      </c>
      <c r="L116" s="768"/>
      <c r="M116" s="892" t="str">
        <f>M104</f>
        <v>Aoû</v>
      </c>
    </row>
    <row r="117" spans="2:13" s="902" customFormat="1" ht="13.5" hidden="1" customHeight="1">
      <c r="B117" s="874">
        <v>2016</v>
      </c>
      <c r="C117" s="369" t="s">
        <v>31</v>
      </c>
      <c r="D117" s="903">
        <v>10.750248646259255</v>
      </c>
      <c r="E117" s="904"/>
      <c r="F117" s="904">
        <v>11.003558718861211</v>
      </c>
      <c r="G117" s="904"/>
      <c r="H117" s="877">
        <f t="shared" si="6"/>
        <v>10.876903682560233</v>
      </c>
      <c r="I117" s="907"/>
      <c r="J117" s="920"/>
      <c r="K117" s="768">
        <v>2016</v>
      </c>
      <c r="L117" s="768"/>
      <c r="M117" s="892" t="str">
        <f>M105</f>
        <v>Sep</v>
      </c>
    </row>
    <row r="118" spans="2:13" s="902" customFormat="1" ht="15" hidden="1" customHeight="1">
      <c r="B118" s="874">
        <v>2016</v>
      </c>
      <c r="C118" s="369" t="s">
        <v>38</v>
      </c>
      <c r="D118" s="903">
        <v>10.8745571302037</v>
      </c>
      <c r="E118" s="904"/>
      <c r="F118" s="904">
        <v>11.015384615384599</v>
      </c>
      <c r="G118" s="904"/>
      <c r="H118" s="877">
        <f t="shared" si="6"/>
        <v>10.944970872794149</v>
      </c>
      <c r="I118" s="907"/>
      <c r="J118" s="908"/>
      <c r="K118" s="768">
        <v>2016</v>
      </c>
      <c r="L118" s="768"/>
      <c r="M118" s="892" t="s">
        <v>49</v>
      </c>
    </row>
    <row r="119" spans="2:13" s="902" customFormat="1" ht="13.5" hidden="1" customHeight="1">
      <c r="B119" s="874">
        <v>2016</v>
      </c>
      <c r="C119" s="369" t="s">
        <v>39</v>
      </c>
      <c r="D119" s="903">
        <v>9.8129383140117366</v>
      </c>
      <c r="E119" s="904"/>
      <c r="F119" s="904">
        <v>11.76017130620985</v>
      </c>
      <c r="G119" s="904"/>
      <c r="H119" s="877">
        <f t="shared" si="6"/>
        <v>10.786554810110793</v>
      </c>
      <c r="I119" s="907"/>
      <c r="J119" s="908"/>
      <c r="K119" s="768">
        <v>2016</v>
      </c>
      <c r="L119" s="768"/>
      <c r="M119" s="892" t="s">
        <v>39</v>
      </c>
    </row>
    <row r="120" spans="2:13" s="902" customFormat="1" ht="13.5" hidden="1" customHeight="1">
      <c r="B120" s="874">
        <v>2016</v>
      </c>
      <c r="C120" s="369" t="s">
        <v>32</v>
      </c>
      <c r="D120" s="903">
        <v>9.7512323365100233</v>
      </c>
      <c r="E120" s="904"/>
      <c r="F120" s="904">
        <v>9.3026315789473681</v>
      </c>
      <c r="G120" s="904"/>
      <c r="H120" s="877">
        <f t="shared" si="6"/>
        <v>9.5269319577286957</v>
      </c>
      <c r="I120" s="907"/>
      <c r="J120" s="908"/>
      <c r="K120" s="768">
        <v>2016</v>
      </c>
      <c r="L120" s="768"/>
      <c r="M120" s="892" t="s">
        <v>32</v>
      </c>
    </row>
    <row r="121" spans="2:13" s="902" customFormat="1" ht="13.5" hidden="1" customHeight="1">
      <c r="B121" s="874">
        <v>2017</v>
      </c>
      <c r="C121" s="369" t="s">
        <v>33</v>
      </c>
      <c r="D121" s="903">
        <v>11.504861275788475</v>
      </c>
      <c r="E121" s="904"/>
      <c r="F121" s="904">
        <v>12.058411214953271</v>
      </c>
      <c r="G121" s="904"/>
      <c r="H121" s="877">
        <f t="shared" si="6"/>
        <v>11.781636245370873</v>
      </c>
      <c r="I121" s="907"/>
      <c r="J121" s="908"/>
      <c r="K121" s="768">
        <v>2017</v>
      </c>
      <c r="L121" s="768"/>
      <c r="M121" s="892" t="s">
        <v>33</v>
      </c>
    </row>
    <row r="122" spans="2:13" s="902" customFormat="1" ht="13.9" hidden="1" customHeight="1">
      <c r="B122" s="874">
        <v>2017</v>
      </c>
      <c r="C122" s="369" t="s">
        <v>34</v>
      </c>
      <c r="D122" s="903">
        <v>14.537076068212301</v>
      </c>
      <c r="E122" s="904"/>
      <c r="F122" s="904">
        <v>12.68041237113402</v>
      </c>
      <c r="G122" s="904"/>
      <c r="H122" s="877">
        <f t="shared" si="6"/>
        <v>13.608744219673159</v>
      </c>
      <c r="I122" s="907"/>
      <c r="J122" s="908"/>
      <c r="K122" s="768">
        <v>2017</v>
      </c>
      <c r="L122" s="768"/>
      <c r="M122" s="892" t="s">
        <v>77</v>
      </c>
    </row>
    <row r="123" spans="2:13" s="902" customFormat="1" ht="13.5" hidden="1" customHeight="1">
      <c r="B123" s="874">
        <v>2017</v>
      </c>
      <c r="C123" s="369" t="s">
        <v>29</v>
      </c>
      <c r="D123" s="903">
        <v>10.131470150487845</v>
      </c>
      <c r="E123" s="904"/>
      <c r="F123" s="904">
        <v>13.275720164609053</v>
      </c>
      <c r="G123" s="904"/>
      <c r="H123" s="877">
        <f t="shared" si="6"/>
        <v>11.703595157548449</v>
      </c>
      <c r="I123" s="907"/>
      <c r="J123" s="908"/>
      <c r="K123" s="768">
        <v>2017</v>
      </c>
      <c r="L123" s="768"/>
      <c r="M123" s="892" t="s">
        <v>65</v>
      </c>
    </row>
    <row r="124" spans="2:13" s="902" customFormat="1" ht="13.5" hidden="1" customHeight="1">
      <c r="B124" s="874">
        <v>2017</v>
      </c>
      <c r="C124" s="369" t="s">
        <v>35</v>
      </c>
      <c r="D124" s="903">
        <v>10.093757417517208</v>
      </c>
      <c r="E124" s="904"/>
      <c r="F124" s="904">
        <v>11.253012048192771</v>
      </c>
      <c r="G124" s="904"/>
      <c r="H124" s="877">
        <f>AVERAGE(D124:F124)</f>
        <v>10.67338473285499</v>
      </c>
      <c r="I124" s="907"/>
      <c r="J124" s="908"/>
      <c r="K124" s="768">
        <v>2017</v>
      </c>
      <c r="L124" s="768"/>
      <c r="M124" s="892" t="s">
        <v>78</v>
      </c>
    </row>
    <row r="125" spans="2:13" s="902" customFormat="1" ht="13.5" hidden="1" customHeight="1">
      <c r="B125" s="874">
        <v>2017</v>
      </c>
      <c r="C125" s="369" t="s">
        <v>4</v>
      </c>
      <c r="D125" s="903">
        <v>10.362197670946552</v>
      </c>
      <c r="E125" s="904"/>
      <c r="F125" s="904">
        <v>17.1796875</v>
      </c>
      <c r="G125" s="904"/>
      <c r="H125" s="877">
        <f>AVERAGE(D125:F125)</f>
        <v>13.770942585473275</v>
      </c>
      <c r="I125" s="907"/>
      <c r="J125" s="908"/>
      <c r="K125" s="768">
        <v>2017</v>
      </c>
      <c r="L125" s="768"/>
      <c r="M125" s="892" t="s">
        <v>79</v>
      </c>
    </row>
    <row r="126" spans="2:13" s="902" customFormat="1" hidden="1">
      <c r="B126" s="874">
        <v>2017</v>
      </c>
      <c r="C126" s="369" t="s">
        <v>30</v>
      </c>
      <c r="D126" s="903">
        <v>11.221164613661815</v>
      </c>
      <c r="E126" s="904"/>
      <c r="F126" s="904">
        <v>12.210633946830265</v>
      </c>
      <c r="G126" s="904"/>
      <c r="H126" s="877">
        <f>AVERAGE(D126:F126)</f>
        <v>11.71589928024604</v>
      </c>
      <c r="I126" s="907"/>
      <c r="J126" s="908"/>
      <c r="K126" s="768">
        <v>2017</v>
      </c>
      <c r="L126" s="768"/>
      <c r="M126" s="892" t="s">
        <v>80</v>
      </c>
    </row>
    <row r="127" spans="2:13" s="902" customFormat="1" hidden="1">
      <c r="B127" s="874">
        <v>2017</v>
      </c>
      <c r="C127" s="369" t="s">
        <v>36</v>
      </c>
      <c r="D127" s="903">
        <v>10.818503080826387</v>
      </c>
      <c r="E127" s="904"/>
      <c r="F127" s="904">
        <v>11.763358778625955</v>
      </c>
      <c r="G127" s="904"/>
      <c r="H127" s="877">
        <f>AVERAGE(D127:F127)</f>
        <v>11.290930929726171</v>
      </c>
      <c r="I127" s="907"/>
      <c r="J127" s="908"/>
      <c r="K127" s="768">
        <v>2017</v>
      </c>
      <c r="L127" s="768"/>
      <c r="M127" s="892" t="s">
        <v>81</v>
      </c>
    </row>
    <row r="128" spans="2:13" s="902" customFormat="1" hidden="1">
      <c r="B128" s="874">
        <v>2017</v>
      </c>
      <c r="C128" s="369" t="s">
        <v>37</v>
      </c>
      <c r="D128" s="903">
        <v>9.6095372388155358</v>
      </c>
      <c r="E128" s="904"/>
      <c r="F128" s="904">
        <v>11.77995642701525</v>
      </c>
      <c r="G128" s="904"/>
      <c r="H128" s="877">
        <v>10.694746832915392</v>
      </c>
      <c r="I128" s="907"/>
      <c r="J128" s="908"/>
      <c r="K128" s="768">
        <v>2017</v>
      </c>
      <c r="L128" s="768"/>
      <c r="M128" s="892" t="s">
        <v>82</v>
      </c>
    </row>
    <row r="129" spans="2:13" s="902" customFormat="1" hidden="1">
      <c r="B129" s="874">
        <v>2017</v>
      </c>
      <c r="C129" s="369" t="s">
        <v>31</v>
      </c>
      <c r="D129" s="903">
        <v>9.4800664451827235</v>
      </c>
      <c r="E129" s="904"/>
      <c r="F129" s="904">
        <v>10.919678714859439</v>
      </c>
      <c r="G129" s="904"/>
      <c r="H129" s="877">
        <v>10.199872580021081</v>
      </c>
      <c r="I129" s="907"/>
      <c r="J129" s="908"/>
      <c r="K129" s="768">
        <v>2017</v>
      </c>
      <c r="L129" s="768"/>
      <c r="M129" s="892" t="s">
        <v>31</v>
      </c>
    </row>
    <row r="130" spans="2:13" s="902" customFormat="1" ht="15" hidden="1" customHeight="1">
      <c r="B130" s="874">
        <v>2017</v>
      </c>
      <c r="C130" s="369" t="s">
        <v>38</v>
      </c>
      <c r="D130" s="903">
        <v>9.8189406737553409</v>
      </c>
      <c r="E130" s="904"/>
      <c r="F130" s="904">
        <v>10.339583333333334</v>
      </c>
      <c r="G130" s="904"/>
      <c r="H130" s="877">
        <v>10.079262003544336</v>
      </c>
      <c r="I130" s="907"/>
      <c r="J130" s="908"/>
      <c r="K130" s="768">
        <v>2017</v>
      </c>
      <c r="L130" s="768"/>
      <c r="M130" s="892" t="s">
        <v>49</v>
      </c>
    </row>
    <row r="131" spans="2:13" s="902" customFormat="1" hidden="1">
      <c r="B131" s="874">
        <v>2017</v>
      </c>
      <c r="C131" s="369" t="s">
        <v>39</v>
      </c>
      <c r="D131" s="903">
        <v>7.4092189605601471</v>
      </c>
      <c r="E131" s="904"/>
      <c r="F131" s="904">
        <v>11.003115264797508</v>
      </c>
      <c r="G131" s="904"/>
      <c r="H131" s="877">
        <v>10.386583044571804</v>
      </c>
      <c r="I131" s="907"/>
      <c r="J131" s="908"/>
      <c r="K131" s="768">
        <v>2017</v>
      </c>
      <c r="L131" s="768"/>
      <c r="M131" s="892" t="s">
        <v>39</v>
      </c>
    </row>
    <row r="132" spans="2:13" s="902" customFormat="1" ht="12.75" hidden="1" customHeight="1">
      <c r="B132" s="874">
        <v>2017</v>
      </c>
      <c r="C132" s="369" t="s">
        <v>32</v>
      </c>
      <c r="D132" s="903">
        <v>10.207162677766215</v>
      </c>
      <c r="E132" s="904"/>
      <c r="F132" s="904">
        <v>12.752793296089385</v>
      </c>
      <c r="G132" s="904"/>
      <c r="H132" s="877">
        <v>11.4799779869278</v>
      </c>
      <c r="I132" s="907"/>
      <c r="J132" s="908"/>
      <c r="K132" s="768">
        <v>2017</v>
      </c>
      <c r="L132" s="768"/>
      <c r="M132" s="892" t="s">
        <v>32</v>
      </c>
    </row>
    <row r="133" spans="2:13" s="902" customFormat="1" ht="12.75" hidden="1" customHeight="1">
      <c r="B133" s="874">
        <v>2018</v>
      </c>
      <c r="C133" s="369" t="s">
        <v>33</v>
      </c>
      <c r="D133" s="903">
        <v>10.687214137214138</v>
      </c>
      <c r="E133" s="904"/>
      <c r="F133" s="904">
        <v>12.85024154589372</v>
      </c>
      <c r="G133" s="904"/>
      <c r="H133" s="877">
        <v>11.768727841553929</v>
      </c>
      <c r="I133" s="907"/>
      <c r="J133" s="908"/>
      <c r="K133" s="768">
        <v>2018</v>
      </c>
      <c r="L133" s="768"/>
      <c r="M133" s="892" t="s">
        <v>33</v>
      </c>
    </row>
    <row r="134" spans="2:13" s="902" customFormat="1" ht="13.9" hidden="1" customHeight="1">
      <c r="B134" s="874">
        <v>2018</v>
      </c>
      <c r="C134" s="369" t="s">
        <v>34</v>
      </c>
      <c r="D134" s="903">
        <v>13.450431034482758</v>
      </c>
      <c r="E134" s="904"/>
      <c r="F134" s="904">
        <v>15.790960451977401</v>
      </c>
      <c r="G134" s="904"/>
      <c r="H134" s="877">
        <v>14.62069574323008</v>
      </c>
      <c r="I134" s="907"/>
      <c r="J134" s="908"/>
      <c r="K134" s="768">
        <v>2018</v>
      </c>
      <c r="L134" s="768"/>
      <c r="M134" s="892" t="s">
        <v>77</v>
      </c>
    </row>
    <row r="135" spans="2:13" s="902" customFormat="1" ht="12.75" hidden="1" customHeight="1">
      <c r="B135" s="874">
        <v>2018</v>
      </c>
      <c r="C135" s="369" t="s">
        <v>29</v>
      </c>
      <c r="D135" s="903">
        <v>9.2163905585691239</v>
      </c>
      <c r="E135" s="904"/>
      <c r="F135" s="904">
        <v>11.206349206349206</v>
      </c>
      <c r="G135" s="904"/>
      <c r="H135" s="877">
        <v>10.211369882459165</v>
      </c>
      <c r="I135" s="907"/>
      <c r="J135" s="908"/>
      <c r="K135" s="768">
        <v>2018</v>
      </c>
      <c r="L135" s="768"/>
      <c r="M135" s="892" t="s">
        <v>29</v>
      </c>
    </row>
    <row r="136" spans="2:13" s="902" customFormat="1" ht="12.75" hidden="1" customHeight="1">
      <c r="B136" s="874">
        <v>2018</v>
      </c>
      <c r="C136" s="369" t="s">
        <v>35</v>
      </c>
      <c r="D136" s="903">
        <v>11.441981987836423</v>
      </c>
      <c r="E136" s="904"/>
      <c r="F136" s="904">
        <v>10.248792270531402</v>
      </c>
      <c r="G136" s="904"/>
      <c r="H136" s="877">
        <f>AVERAGE(D136:F136)</f>
        <v>10.845387129183912</v>
      </c>
      <c r="I136" s="907"/>
      <c r="J136" s="908"/>
      <c r="K136" s="768">
        <v>2018</v>
      </c>
      <c r="L136" s="768"/>
      <c r="M136" s="892" t="s">
        <v>78</v>
      </c>
    </row>
    <row r="137" spans="2:13" s="902" customFormat="1" ht="12.75" hidden="1" customHeight="1">
      <c r="B137" s="874">
        <v>2018</v>
      </c>
      <c r="C137" s="369" t="s">
        <v>4</v>
      </c>
      <c r="D137" s="903">
        <v>9.0676637317573281</v>
      </c>
      <c r="E137" s="904"/>
      <c r="F137" s="904">
        <v>10.765100671140939</v>
      </c>
      <c r="G137" s="904"/>
      <c r="H137" s="877">
        <v>9.9163822014491334</v>
      </c>
      <c r="I137" s="907"/>
      <c r="J137" s="908"/>
      <c r="K137" s="768">
        <v>2018</v>
      </c>
      <c r="L137" s="768"/>
      <c r="M137" s="892" t="s">
        <v>79</v>
      </c>
    </row>
    <row r="138" spans="2:13" s="902" customFormat="1" ht="12.75" hidden="1" customHeight="1">
      <c r="B138" s="874">
        <v>2018</v>
      </c>
      <c r="C138" s="369" t="s">
        <v>30</v>
      </c>
      <c r="D138" s="903">
        <v>9.5561613958560532</v>
      </c>
      <c r="E138" s="904"/>
      <c r="F138" s="904">
        <v>11.450928381962864</v>
      </c>
      <c r="G138" s="904"/>
      <c r="H138" s="877">
        <v>10.50354488890946</v>
      </c>
      <c r="I138" s="907"/>
      <c r="J138" s="908"/>
      <c r="K138" s="768">
        <v>2018</v>
      </c>
      <c r="L138" s="768"/>
      <c r="M138" s="892" t="s">
        <v>80</v>
      </c>
    </row>
    <row r="139" spans="2:13" s="902" customFormat="1" ht="12.75" hidden="1" customHeight="1">
      <c r="B139" s="874">
        <v>2018</v>
      </c>
      <c r="C139" s="369" t="s">
        <v>36</v>
      </c>
      <c r="D139" s="903">
        <v>10.60012724669954</v>
      </c>
      <c r="E139" s="904"/>
      <c r="F139" s="904">
        <v>13.251295336787564</v>
      </c>
      <c r="G139" s="904"/>
      <c r="H139" s="877">
        <v>11.925711291743552</v>
      </c>
      <c r="I139" s="907"/>
      <c r="J139" s="908"/>
      <c r="K139" s="768">
        <v>2018</v>
      </c>
      <c r="L139" s="768"/>
      <c r="M139" s="892" t="s">
        <v>81</v>
      </c>
    </row>
    <row r="140" spans="2:13" s="902" customFormat="1" ht="14.25" hidden="1" customHeight="1">
      <c r="B140" s="874">
        <v>2018</v>
      </c>
      <c r="C140" s="369" t="s">
        <v>271</v>
      </c>
      <c r="D140" s="903">
        <v>8.8162041392285975</v>
      </c>
      <c r="E140" s="904"/>
      <c r="F140" s="904">
        <v>10.989276139410189</v>
      </c>
      <c r="G140" s="904"/>
      <c r="H140" s="877">
        <v>9.902740139319393</v>
      </c>
      <c r="I140" s="907"/>
      <c r="J140" s="908"/>
      <c r="K140" s="768">
        <v>2018</v>
      </c>
      <c r="L140" s="768"/>
      <c r="M140" s="892" t="str">
        <f>M128</f>
        <v>Aoû</v>
      </c>
    </row>
    <row r="141" spans="2:13" s="902" customFormat="1" ht="12.6" hidden="1" customHeight="1">
      <c r="B141" s="874">
        <v>2018</v>
      </c>
      <c r="C141" s="369" t="s">
        <v>31</v>
      </c>
      <c r="D141" s="903">
        <v>9.4528767123287665</v>
      </c>
      <c r="E141" s="904"/>
      <c r="F141" s="904">
        <v>10.913793103448301</v>
      </c>
      <c r="G141" s="904"/>
      <c r="H141" s="877">
        <v>10.183334907888533</v>
      </c>
      <c r="I141" s="907"/>
      <c r="J141" s="908"/>
      <c r="K141" s="768">
        <v>2018</v>
      </c>
      <c r="L141" s="768"/>
      <c r="M141" s="892" t="s">
        <v>31</v>
      </c>
    </row>
    <row r="142" spans="2:13" s="902" customFormat="1" ht="12.6" hidden="1" customHeight="1">
      <c r="B142" s="874">
        <v>2018</v>
      </c>
      <c r="C142" s="369" t="s">
        <v>38</v>
      </c>
      <c r="D142" s="903">
        <v>10.024757582009491</v>
      </c>
      <c r="E142" s="904"/>
      <c r="F142" s="904">
        <v>12.167307692307693</v>
      </c>
      <c r="G142" s="904"/>
      <c r="H142" s="877">
        <v>11.096032637158592</v>
      </c>
      <c r="I142" s="907"/>
      <c r="J142" s="908"/>
      <c r="K142" s="768">
        <v>2018</v>
      </c>
      <c r="L142" s="768"/>
      <c r="M142" s="892" t="s">
        <v>49</v>
      </c>
    </row>
    <row r="143" spans="2:13" s="902" customFormat="1" ht="12.6" hidden="1" customHeight="1">
      <c r="B143" s="874">
        <v>2018</v>
      </c>
      <c r="C143" s="369" t="s">
        <v>39</v>
      </c>
      <c r="D143" s="903">
        <v>8.8369415016121611</v>
      </c>
      <c r="E143" s="904"/>
      <c r="F143" s="904">
        <v>11.956363636363637</v>
      </c>
      <c r="G143" s="904"/>
      <c r="H143" s="877">
        <v>10.3966525689879</v>
      </c>
      <c r="I143" s="907"/>
      <c r="J143" s="908"/>
      <c r="K143" s="768">
        <v>2018</v>
      </c>
      <c r="L143" s="768"/>
      <c r="M143" s="348" t="s">
        <v>39</v>
      </c>
    </row>
    <row r="144" spans="2:13" s="902" customFormat="1" ht="12.6" hidden="1" customHeight="1">
      <c r="B144" s="874">
        <v>2018</v>
      </c>
      <c r="C144" s="369" t="s">
        <v>32</v>
      </c>
      <c r="D144" s="903">
        <v>7.649819754866618</v>
      </c>
      <c r="E144" s="904"/>
      <c r="F144" s="904">
        <v>11.754098360655737</v>
      </c>
      <c r="G144" s="904"/>
      <c r="H144" s="877">
        <v>9.7019590577611776</v>
      </c>
      <c r="I144" s="907"/>
      <c r="J144" s="908"/>
      <c r="K144" s="768">
        <v>2018</v>
      </c>
      <c r="L144" s="768"/>
      <c r="M144" s="348" t="s">
        <v>32</v>
      </c>
    </row>
    <row r="145" spans="2:13" s="902" customFormat="1" ht="12.6" hidden="1" customHeight="1">
      <c r="B145" s="874">
        <v>2019</v>
      </c>
      <c r="C145" s="921" t="s">
        <v>260</v>
      </c>
      <c r="D145" s="903">
        <v>12.366116682842662</v>
      </c>
      <c r="E145" s="904"/>
      <c r="F145" s="904">
        <v>12.020618556701031</v>
      </c>
      <c r="G145" s="904"/>
      <c r="H145" s="877">
        <v>12.193367619771847</v>
      </c>
      <c r="I145" s="907"/>
      <c r="J145" s="908"/>
      <c r="K145" s="768">
        <v>2019</v>
      </c>
      <c r="L145" s="768"/>
      <c r="M145" s="348" t="s">
        <v>260</v>
      </c>
    </row>
    <row r="146" spans="2:13" s="902" customFormat="1" ht="12.6" hidden="1" customHeight="1">
      <c r="B146" s="874">
        <v>2019</v>
      </c>
      <c r="C146" s="921" t="s">
        <v>350</v>
      </c>
      <c r="D146" s="903">
        <v>10.868322169580134</v>
      </c>
      <c r="E146" s="904"/>
      <c r="F146" s="904">
        <v>22.635593220338983</v>
      </c>
      <c r="G146" s="904"/>
      <c r="H146" s="877">
        <v>16.751957694959557</v>
      </c>
      <c r="I146" s="907"/>
      <c r="J146" s="908"/>
      <c r="K146" s="768">
        <v>2019</v>
      </c>
      <c r="L146" s="768"/>
      <c r="M146" s="348" t="s">
        <v>357</v>
      </c>
    </row>
    <row r="147" spans="2:13" s="902" customFormat="1" ht="12.6" hidden="1" customHeight="1">
      <c r="B147" s="874">
        <v>2019</v>
      </c>
      <c r="C147" s="921" t="s">
        <v>65</v>
      </c>
      <c r="D147" s="903">
        <v>8.7936204615610762</v>
      </c>
      <c r="E147" s="904"/>
      <c r="F147" s="904">
        <v>9.4018264840182653</v>
      </c>
      <c r="G147" s="904"/>
      <c r="H147" s="877">
        <f>AVERAGE(D147:F147)</f>
        <v>9.0977234727896708</v>
      </c>
      <c r="I147" s="907"/>
      <c r="J147" s="908"/>
      <c r="K147" s="768">
        <v>2019</v>
      </c>
      <c r="L147" s="768"/>
      <c r="M147" s="348" t="s">
        <v>65</v>
      </c>
    </row>
    <row r="148" spans="2:13" s="902" customFormat="1" ht="12.6" hidden="1" customHeight="1">
      <c r="B148" s="874">
        <v>2019</v>
      </c>
      <c r="C148" s="921" t="s">
        <v>351</v>
      </c>
      <c r="D148" s="903">
        <v>7.0641952983725131</v>
      </c>
      <c r="E148" s="904"/>
      <c r="F148" s="904">
        <v>12.51453488372093</v>
      </c>
      <c r="G148" s="904"/>
      <c r="H148" s="877">
        <v>9.7893650910467223</v>
      </c>
      <c r="I148" s="907"/>
      <c r="J148" s="908"/>
      <c r="K148" s="768">
        <v>2019</v>
      </c>
      <c r="L148" s="768"/>
      <c r="M148" s="348" t="s">
        <v>353</v>
      </c>
    </row>
    <row r="149" spans="2:13" s="902" customFormat="1" ht="12.6" hidden="1" customHeight="1">
      <c r="B149" s="874">
        <v>2019</v>
      </c>
      <c r="C149" s="921" t="s">
        <v>263</v>
      </c>
      <c r="D149" s="903">
        <v>11.674849094567405</v>
      </c>
      <c r="E149" s="904"/>
      <c r="F149" s="904">
        <v>19.238805970149254</v>
      </c>
      <c r="G149" s="904"/>
      <c r="H149" s="877">
        <v>15.456827532358329</v>
      </c>
      <c r="I149" s="907"/>
      <c r="J149" s="908"/>
      <c r="K149" s="768">
        <v>2019</v>
      </c>
      <c r="L149" s="768"/>
      <c r="M149" s="348" t="s">
        <v>354</v>
      </c>
    </row>
    <row r="150" spans="2:13" s="902" customFormat="1" ht="12.6" hidden="1" customHeight="1">
      <c r="B150" s="874">
        <v>2019</v>
      </c>
      <c r="C150" s="921" t="s">
        <v>352</v>
      </c>
      <c r="D150" s="903">
        <v>10.41850787674626</v>
      </c>
      <c r="E150" s="904"/>
      <c r="F150" s="904">
        <v>12.825925925925926</v>
      </c>
      <c r="G150" s="904"/>
      <c r="H150" s="877">
        <v>11.622216901336092</v>
      </c>
      <c r="I150" s="907"/>
      <c r="J150" s="908"/>
      <c r="K150" s="768">
        <v>2019</v>
      </c>
      <c r="L150" s="768"/>
      <c r="M150" s="348" t="s">
        <v>355</v>
      </c>
    </row>
    <row r="151" spans="2:13" s="902" customFormat="1" ht="12.6" hidden="1" customHeight="1">
      <c r="B151" s="874">
        <v>2019</v>
      </c>
      <c r="C151" s="921" t="s">
        <v>266</v>
      </c>
      <c r="D151" s="903">
        <v>9.1647017727709379</v>
      </c>
      <c r="E151" s="904"/>
      <c r="F151" s="904">
        <v>11.909756097560976</v>
      </c>
      <c r="G151" s="904"/>
      <c r="H151" s="877">
        <f>AVERAGE(D151:F151)</f>
        <v>10.537228935165956</v>
      </c>
      <c r="I151" s="907"/>
      <c r="J151" s="908"/>
      <c r="K151" s="768">
        <v>2019</v>
      </c>
      <c r="L151" s="768"/>
      <c r="M151" s="348" t="s">
        <v>264</v>
      </c>
    </row>
    <row r="152" spans="2:13" s="902" customFormat="1" ht="12.6" hidden="1" customHeight="1">
      <c r="B152" s="874">
        <v>2019</v>
      </c>
      <c r="C152" s="921" t="s">
        <v>271</v>
      </c>
      <c r="D152" s="903">
        <v>11.097550603844191</v>
      </c>
      <c r="E152" s="904"/>
      <c r="F152" s="904">
        <v>11.20353982300885</v>
      </c>
      <c r="G152" s="904"/>
      <c r="H152" s="877">
        <v>11.15054521342652</v>
      </c>
      <c r="I152" s="907"/>
      <c r="J152" s="908"/>
      <c r="K152" s="768">
        <v>2019</v>
      </c>
      <c r="L152" s="768"/>
      <c r="M152" s="348" t="s">
        <v>356</v>
      </c>
    </row>
    <row r="153" spans="2:13" s="902" customFormat="1" ht="12.6" hidden="1" customHeight="1">
      <c r="B153" s="874">
        <v>2019</v>
      </c>
      <c r="C153" s="921" t="s">
        <v>347</v>
      </c>
      <c r="D153" s="903">
        <v>10.428455357948904</v>
      </c>
      <c r="E153" s="904"/>
      <c r="F153" s="904">
        <v>10.17578125</v>
      </c>
      <c r="G153" s="904"/>
      <c r="H153" s="877">
        <f>AVERAGE(D153:F153)</f>
        <v>10.302118303974453</v>
      </c>
      <c r="I153" s="907"/>
      <c r="J153" s="908"/>
      <c r="K153" s="768">
        <v>2019</v>
      </c>
      <c r="L153" s="768"/>
      <c r="M153" s="348" t="s">
        <v>347</v>
      </c>
    </row>
    <row r="154" spans="2:13" s="902" customFormat="1" ht="12.6" hidden="1" customHeight="1">
      <c r="B154" s="874">
        <v>2019</v>
      </c>
      <c r="C154" s="921" t="s">
        <v>50</v>
      </c>
      <c r="D154" s="903">
        <v>9.8238987442694832</v>
      </c>
      <c r="E154" s="904"/>
      <c r="F154" s="904">
        <v>8.9120234604105573</v>
      </c>
      <c r="G154" s="904"/>
      <c r="H154" s="877">
        <f>AVERAGE(D154:F154)</f>
        <v>9.3679611023400202</v>
      </c>
      <c r="I154" s="907"/>
      <c r="J154" s="908"/>
      <c r="K154" s="768">
        <v>2019</v>
      </c>
      <c r="L154" s="768"/>
      <c r="M154" s="348" t="s">
        <v>50</v>
      </c>
    </row>
    <row r="155" spans="2:13" s="902" customFormat="1" ht="12.6" hidden="1" customHeight="1">
      <c r="B155" s="874">
        <v>2019</v>
      </c>
      <c r="C155" s="921" t="s">
        <v>348</v>
      </c>
      <c r="D155" s="903">
        <v>10.996463490742666</v>
      </c>
      <c r="E155" s="904"/>
      <c r="F155" s="904">
        <v>13.7</v>
      </c>
      <c r="G155" s="904"/>
      <c r="H155" s="877">
        <v>12.348231745371333</v>
      </c>
      <c r="I155" s="907"/>
      <c r="J155" s="908"/>
      <c r="K155" s="768">
        <v>2019</v>
      </c>
      <c r="L155" s="768"/>
      <c r="M155" s="348" t="s">
        <v>348</v>
      </c>
    </row>
    <row r="156" spans="2:13" s="902" customFormat="1" ht="12.6" hidden="1" customHeight="1">
      <c r="B156" s="874">
        <v>2019</v>
      </c>
      <c r="C156" s="921" t="s">
        <v>349</v>
      </c>
      <c r="D156" s="903">
        <v>11.508247769735735</v>
      </c>
      <c r="E156" s="904"/>
      <c r="F156" s="904">
        <v>16.762626262626263</v>
      </c>
      <c r="G156" s="904"/>
      <c r="H156" s="877">
        <v>14.135437016180999</v>
      </c>
      <c r="I156" s="907"/>
      <c r="J156" s="908"/>
      <c r="K156" s="768">
        <v>2019</v>
      </c>
      <c r="L156" s="768"/>
      <c r="M156" s="348" t="s">
        <v>349</v>
      </c>
    </row>
    <row r="157" spans="2:13" s="902" customFormat="1" ht="12.6" hidden="1" customHeight="1">
      <c r="B157" s="874">
        <v>2020</v>
      </c>
      <c r="C157" s="921" t="s">
        <v>260</v>
      </c>
      <c r="D157" s="903">
        <v>11.806933333333333</v>
      </c>
      <c r="E157" s="904"/>
      <c r="F157" s="904">
        <v>17.481865284974095</v>
      </c>
      <c r="G157" s="904"/>
      <c r="H157" s="877">
        <v>14.644399309153714</v>
      </c>
      <c r="I157" s="907"/>
      <c r="J157" s="908"/>
      <c r="K157" s="768">
        <v>2020</v>
      </c>
      <c r="L157" s="768"/>
      <c r="M157" s="348" t="s">
        <v>260</v>
      </c>
    </row>
    <row r="158" spans="2:13" s="902" customFormat="1" ht="12.6" hidden="1" customHeight="1">
      <c r="B158" s="874">
        <v>2020</v>
      </c>
      <c r="C158" s="921" t="s">
        <v>350</v>
      </c>
      <c r="D158" s="903">
        <v>13.604260813428018</v>
      </c>
      <c r="E158" s="904"/>
      <c r="F158" s="904">
        <v>0</v>
      </c>
      <c r="G158" s="904"/>
      <c r="H158" s="877">
        <v>13.604260813428018</v>
      </c>
      <c r="I158" s="907"/>
      <c r="J158" s="908"/>
      <c r="K158" s="768">
        <v>2020</v>
      </c>
      <c r="L158" s="768"/>
      <c r="M158" s="348" t="s">
        <v>357</v>
      </c>
    </row>
    <row r="159" spans="2:13" s="902" customFormat="1" ht="12.6" hidden="1" customHeight="1">
      <c r="B159" s="874">
        <v>2020</v>
      </c>
      <c r="C159" s="921" t="s">
        <v>29</v>
      </c>
      <c r="D159" s="903">
        <v>8.7187211804488172</v>
      </c>
      <c r="E159" s="904"/>
      <c r="F159" s="904">
        <v>0</v>
      </c>
      <c r="G159" s="904"/>
      <c r="H159" s="877">
        <v>8.7187211804488172</v>
      </c>
      <c r="I159" s="907"/>
      <c r="J159" s="908"/>
      <c r="K159" s="768">
        <v>2020</v>
      </c>
      <c r="L159" s="768"/>
      <c r="M159" s="348" t="s">
        <v>65</v>
      </c>
    </row>
    <row r="160" spans="2:13" s="902" customFormat="1" ht="12.6" hidden="1" customHeight="1">
      <c r="B160" s="874">
        <v>2020</v>
      </c>
      <c r="C160" s="921" t="s">
        <v>351</v>
      </c>
      <c r="D160" s="903">
        <v>0</v>
      </c>
      <c r="E160" s="904"/>
      <c r="F160" s="904">
        <v>0</v>
      </c>
      <c r="G160" s="904"/>
      <c r="H160" s="877">
        <v>0</v>
      </c>
      <c r="I160" s="907"/>
      <c r="J160" s="908"/>
      <c r="K160" s="768">
        <v>2020</v>
      </c>
      <c r="L160" s="768"/>
      <c r="M160" s="348" t="s">
        <v>353</v>
      </c>
    </row>
    <row r="161" spans="2:13" s="902" customFormat="1" ht="12.6" hidden="1" customHeight="1">
      <c r="B161" s="874">
        <v>2020</v>
      </c>
      <c r="C161" s="921" t="s">
        <v>4</v>
      </c>
      <c r="D161" s="903">
        <v>0</v>
      </c>
      <c r="E161" s="904"/>
      <c r="F161" s="904">
        <v>0</v>
      </c>
      <c r="G161" s="904"/>
      <c r="H161" s="877">
        <v>0</v>
      </c>
      <c r="I161" s="907"/>
      <c r="J161" s="908"/>
      <c r="K161" s="768">
        <v>2020</v>
      </c>
      <c r="L161" s="922"/>
      <c r="M161" s="348" t="s">
        <v>354</v>
      </c>
    </row>
    <row r="162" spans="2:13" s="902" customFormat="1" ht="12.6" hidden="1" customHeight="1">
      <c r="B162" s="874">
        <v>2020</v>
      </c>
      <c r="C162" s="921" t="s">
        <v>352</v>
      </c>
      <c r="D162" s="903">
        <v>0</v>
      </c>
      <c r="E162" s="904"/>
      <c r="F162" s="904">
        <v>0</v>
      </c>
      <c r="G162" s="904"/>
      <c r="H162" s="877">
        <v>0</v>
      </c>
      <c r="I162" s="907"/>
      <c r="J162" s="908"/>
      <c r="K162" s="768">
        <v>2020</v>
      </c>
      <c r="L162" s="922"/>
      <c r="M162" s="348" t="s">
        <v>355</v>
      </c>
    </row>
    <row r="163" spans="2:13" s="902" customFormat="1" ht="12.6" hidden="1" customHeight="1">
      <c r="B163" s="874">
        <v>2020</v>
      </c>
      <c r="C163" s="921" t="s">
        <v>36</v>
      </c>
      <c r="D163" s="903">
        <v>0</v>
      </c>
      <c r="E163" s="904"/>
      <c r="F163" s="904">
        <v>0</v>
      </c>
      <c r="G163" s="904"/>
      <c r="H163" s="877">
        <v>0</v>
      </c>
      <c r="I163" s="907"/>
      <c r="J163" s="908"/>
      <c r="K163" s="768">
        <v>2020</v>
      </c>
      <c r="L163" s="768"/>
      <c r="M163" s="348" t="s">
        <v>264</v>
      </c>
    </row>
    <row r="164" spans="2:13" s="902" customFormat="1" ht="12.6" hidden="1" customHeight="1">
      <c r="B164" s="874">
        <v>2020</v>
      </c>
      <c r="C164" s="921" t="s">
        <v>37</v>
      </c>
      <c r="D164" s="903">
        <v>0</v>
      </c>
      <c r="E164" s="904"/>
      <c r="F164" s="905">
        <v>0</v>
      </c>
      <c r="G164" s="904"/>
      <c r="H164" s="877">
        <v>0</v>
      </c>
      <c r="I164" s="907"/>
      <c r="J164" s="908"/>
      <c r="K164" s="768">
        <v>2020</v>
      </c>
      <c r="L164" s="768"/>
      <c r="M164" s="348" t="s">
        <v>356</v>
      </c>
    </row>
    <row r="165" spans="2:13" s="902" customFormat="1" ht="12.6" hidden="1" customHeight="1">
      <c r="B165" s="874">
        <v>2020</v>
      </c>
      <c r="C165" s="921" t="s">
        <v>31</v>
      </c>
      <c r="D165" s="903">
        <v>0</v>
      </c>
      <c r="E165" s="904"/>
      <c r="F165" s="904">
        <v>0</v>
      </c>
      <c r="G165" s="904"/>
      <c r="H165" s="877">
        <v>0</v>
      </c>
      <c r="I165" s="907"/>
      <c r="J165" s="908"/>
      <c r="K165" s="768">
        <v>2020</v>
      </c>
      <c r="L165" s="768"/>
      <c r="M165" s="348" t="s">
        <v>347</v>
      </c>
    </row>
    <row r="166" spans="2:13" s="902" customFormat="1" ht="12.6" hidden="1" customHeight="1">
      <c r="B166" s="874">
        <v>2020</v>
      </c>
      <c r="C166" s="921" t="s">
        <v>50</v>
      </c>
      <c r="D166" s="903">
        <v>0</v>
      </c>
      <c r="E166" s="904"/>
      <c r="F166" s="904">
        <v>0</v>
      </c>
      <c r="G166" s="904"/>
      <c r="H166" s="877">
        <v>0</v>
      </c>
      <c r="I166" s="907"/>
      <c r="J166" s="908"/>
      <c r="K166" s="768">
        <v>2020</v>
      </c>
      <c r="L166" s="922"/>
      <c r="M166" s="348" t="s">
        <v>50</v>
      </c>
    </row>
    <row r="167" spans="2:13" s="902" customFormat="1" ht="12.6" hidden="1" customHeight="1">
      <c r="B167" s="874">
        <v>2020</v>
      </c>
      <c r="C167" s="921" t="s">
        <v>348</v>
      </c>
      <c r="D167" s="903">
        <v>0</v>
      </c>
      <c r="E167" s="904"/>
      <c r="F167" s="904">
        <v>0</v>
      </c>
      <c r="G167" s="904"/>
      <c r="H167" s="877">
        <v>0</v>
      </c>
      <c r="I167" s="907"/>
      <c r="J167" s="908"/>
      <c r="K167" s="768">
        <v>2020</v>
      </c>
      <c r="L167" s="768"/>
      <c r="M167" s="348" t="s">
        <v>348</v>
      </c>
    </row>
    <row r="168" spans="2:13" s="902" customFormat="1" ht="12.6" hidden="1" customHeight="1">
      <c r="B168" s="874">
        <v>2020</v>
      </c>
      <c r="C168" s="921" t="s">
        <v>349</v>
      </c>
      <c r="D168" s="903">
        <v>0</v>
      </c>
      <c r="E168" s="904"/>
      <c r="F168" s="904">
        <v>0</v>
      </c>
      <c r="G168" s="904"/>
      <c r="H168" s="877">
        <v>0</v>
      </c>
      <c r="I168" s="904"/>
      <c r="J168" s="923"/>
      <c r="K168" s="768">
        <v>2020</v>
      </c>
      <c r="L168" s="768"/>
      <c r="M168" s="348" t="s">
        <v>349</v>
      </c>
    </row>
    <row r="169" spans="2:13" s="902" customFormat="1" ht="12.6" hidden="1" customHeight="1">
      <c r="B169" s="874">
        <v>2021</v>
      </c>
      <c r="C169" s="921" t="s">
        <v>260</v>
      </c>
      <c r="D169" s="903">
        <v>0</v>
      </c>
      <c r="E169" s="904"/>
      <c r="F169" s="904">
        <v>0</v>
      </c>
      <c r="G169" s="904"/>
      <c r="H169" s="904">
        <v>0</v>
      </c>
      <c r="I169" s="907"/>
      <c r="J169" s="908"/>
      <c r="K169" s="768">
        <v>2021</v>
      </c>
      <c r="L169" s="768"/>
      <c r="M169" s="348" t="s">
        <v>260</v>
      </c>
    </row>
    <row r="170" spans="2:13" s="902" customFormat="1" ht="12.6" hidden="1" customHeight="1">
      <c r="B170" s="874">
        <v>2021</v>
      </c>
      <c r="C170" s="921" t="s">
        <v>350</v>
      </c>
      <c r="D170" s="903">
        <v>0</v>
      </c>
      <c r="E170" s="904"/>
      <c r="F170" s="904">
        <v>0</v>
      </c>
      <c r="G170" s="904"/>
      <c r="H170" s="904">
        <v>0</v>
      </c>
      <c r="I170" s="907"/>
      <c r="J170" s="908"/>
      <c r="K170" s="768">
        <v>2021</v>
      </c>
      <c r="L170" s="768"/>
      <c r="M170" s="348" t="s">
        <v>357</v>
      </c>
    </row>
    <row r="171" spans="2:13" s="902" customFormat="1" ht="12.6" hidden="1" customHeight="1">
      <c r="B171" s="874">
        <v>2021</v>
      </c>
      <c r="C171" s="921" t="s">
        <v>29</v>
      </c>
      <c r="D171" s="903">
        <v>0</v>
      </c>
      <c r="E171" s="904"/>
      <c r="F171" s="904">
        <v>0</v>
      </c>
      <c r="G171" s="904"/>
      <c r="H171" s="904">
        <v>0</v>
      </c>
      <c r="I171" s="907"/>
      <c r="J171" s="908"/>
      <c r="K171" s="768">
        <v>2021</v>
      </c>
      <c r="L171" s="768"/>
      <c r="M171" s="348" t="s">
        <v>65</v>
      </c>
    </row>
    <row r="172" spans="2:13" s="902" customFormat="1" ht="12.6" hidden="1" customHeight="1">
      <c r="B172" s="874">
        <v>2021</v>
      </c>
      <c r="C172" s="921" t="s">
        <v>351</v>
      </c>
      <c r="D172" s="903">
        <v>0</v>
      </c>
      <c r="E172" s="904"/>
      <c r="F172" s="904">
        <v>0</v>
      </c>
      <c r="G172" s="904"/>
      <c r="H172" s="904">
        <v>0</v>
      </c>
      <c r="I172" s="907"/>
      <c r="J172" s="908"/>
      <c r="K172" s="768">
        <v>2021</v>
      </c>
      <c r="L172" s="768"/>
      <c r="M172" s="348" t="s">
        <v>353</v>
      </c>
    </row>
    <row r="173" spans="2:13" s="902" customFormat="1" ht="12.6" hidden="1" customHeight="1">
      <c r="B173" s="874">
        <v>2021</v>
      </c>
      <c r="C173" s="921" t="s">
        <v>4</v>
      </c>
      <c r="D173" s="903">
        <v>0</v>
      </c>
      <c r="E173" s="904"/>
      <c r="F173" s="904">
        <v>0</v>
      </c>
      <c r="G173" s="904"/>
      <c r="H173" s="904">
        <v>0</v>
      </c>
      <c r="I173" s="907"/>
      <c r="J173" s="908"/>
      <c r="K173" s="768">
        <v>2021</v>
      </c>
      <c r="L173" s="768"/>
      <c r="M173" s="348" t="s">
        <v>354</v>
      </c>
    </row>
    <row r="174" spans="2:13" s="902" customFormat="1" ht="12.6" hidden="1" customHeight="1">
      <c r="B174" s="874">
        <v>2021</v>
      </c>
      <c r="C174" s="921" t="s">
        <v>352</v>
      </c>
      <c r="D174" s="903">
        <v>0</v>
      </c>
      <c r="E174" s="904"/>
      <c r="F174" s="904">
        <v>0</v>
      </c>
      <c r="G174" s="904"/>
      <c r="H174" s="904">
        <v>0</v>
      </c>
      <c r="I174" s="907"/>
      <c r="J174" s="908"/>
      <c r="K174" s="768">
        <v>2021</v>
      </c>
      <c r="L174" s="768"/>
      <c r="M174" s="348" t="s">
        <v>355</v>
      </c>
    </row>
    <row r="175" spans="2:13" s="902" customFormat="1" ht="12.6" hidden="1" customHeight="1">
      <c r="B175" s="874">
        <v>2021</v>
      </c>
      <c r="C175" s="921" t="s">
        <v>36</v>
      </c>
      <c r="D175" s="903">
        <v>0</v>
      </c>
      <c r="E175" s="904"/>
      <c r="F175" s="904">
        <v>0</v>
      </c>
      <c r="G175" s="904"/>
      <c r="H175" s="904">
        <v>0</v>
      </c>
      <c r="I175" s="904"/>
      <c r="J175" s="923"/>
      <c r="K175" s="768">
        <v>2021</v>
      </c>
      <c r="L175" s="768"/>
      <c r="M175" s="348" t="s">
        <v>264</v>
      </c>
    </row>
    <row r="176" spans="2:13" s="902" customFormat="1" ht="12.6" hidden="1" customHeight="1">
      <c r="B176" s="874">
        <v>2021</v>
      </c>
      <c r="C176" s="921" t="s">
        <v>37</v>
      </c>
      <c r="D176" s="903">
        <v>0</v>
      </c>
      <c r="E176" s="904"/>
      <c r="F176" s="904">
        <v>0</v>
      </c>
      <c r="G176" s="904"/>
      <c r="H176" s="904">
        <v>0</v>
      </c>
      <c r="I176" s="904"/>
      <c r="J176" s="923"/>
      <c r="K176" s="768">
        <v>2021</v>
      </c>
      <c r="L176" s="768"/>
      <c r="M176" s="348" t="s">
        <v>356</v>
      </c>
    </row>
    <row r="177" spans="2:13" s="902" customFormat="1" ht="12.6" hidden="1" customHeight="1">
      <c r="B177" s="874">
        <v>2021</v>
      </c>
      <c r="C177" s="921" t="s">
        <v>31</v>
      </c>
      <c r="D177" s="903">
        <v>0</v>
      </c>
      <c r="E177" s="904"/>
      <c r="F177" s="904">
        <v>0</v>
      </c>
      <c r="G177" s="904"/>
      <c r="H177" s="904">
        <v>0</v>
      </c>
      <c r="I177" s="904"/>
      <c r="J177" s="923"/>
      <c r="K177" s="768">
        <v>2021</v>
      </c>
      <c r="L177" s="768"/>
      <c r="M177" s="348" t="s">
        <v>347</v>
      </c>
    </row>
    <row r="178" spans="2:13" s="902" customFormat="1" ht="12.6" hidden="1" customHeight="1">
      <c r="B178" s="874">
        <v>2021</v>
      </c>
      <c r="C178" s="921" t="s">
        <v>50</v>
      </c>
      <c r="D178" s="903">
        <v>0</v>
      </c>
      <c r="E178" s="904"/>
      <c r="F178" s="904">
        <v>0</v>
      </c>
      <c r="G178" s="904"/>
      <c r="H178" s="904">
        <v>0</v>
      </c>
      <c r="I178" s="904"/>
      <c r="J178" s="923"/>
      <c r="K178" s="768">
        <v>2021</v>
      </c>
      <c r="L178" s="768"/>
      <c r="M178" s="348" t="s">
        <v>50</v>
      </c>
    </row>
    <row r="179" spans="2:13" s="902" customFormat="1" ht="12.6" hidden="1" customHeight="1">
      <c r="B179" s="874">
        <v>2021</v>
      </c>
      <c r="C179" s="921" t="s">
        <v>348</v>
      </c>
      <c r="D179" s="903">
        <v>0</v>
      </c>
      <c r="E179" s="904"/>
      <c r="F179" s="904">
        <v>0</v>
      </c>
      <c r="G179" s="904"/>
      <c r="H179" s="904">
        <v>0</v>
      </c>
      <c r="I179" s="904"/>
      <c r="J179" s="923"/>
      <c r="K179" s="768">
        <v>2021</v>
      </c>
      <c r="L179" s="768"/>
      <c r="M179" s="348" t="s">
        <v>348</v>
      </c>
    </row>
    <row r="180" spans="2:13" s="902" customFormat="1" ht="12.6" hidden="1" customHeight="1">
      <c r="B180" s="874">
        <v>2021</v>
      </c>
      <c r="C180" s="921" t="s">
        <v>349</v>
      </c>
      <c r="D180" s="903">
        <v>0</v>
      </c>
      <c r="E180" s="904"/>
      <c r="F180" s="904">
        <v>0</v>
      </c>
      <c r="G180" s="904"/>
      <c r="H180" s="904">
        <v>0</v>
      </c>
      <c r="I180" s="904"/>
      <c r="J180" s="923"/>
      <c r="K180" s="768">
        <v>2021</v>
      </c>
      <c r="L180" s="768"/>
      <c r="M180" s="348" t="s">
        <v>349</v>
      </c>
    </row>
    <row r="181" spans="2:13" s="902" customFormat="1" ht="12.6" hidden="1" customHeight="1">
      <c r="B181" s="874">
        <v>2022</v>
      </c>
      <c r="C181" s="349" t="s">
        <v>260</v>
      </c>
      <c r="D181" s="903">
        <v>0</v>
      </c>
      <c r="E181" s="904"/>
      <c r="F181" s="904">
        <v>0</v>
      </c>
      <c r="G181" s="904"/>
      <c r="H181" s="904">
        <v>0</v>
      </c>
      <c r="I181" s="904"/>
      <c r="J181" s="923"/>
      <c r="K181" s="768">
        <v>2022</v>
      </c>
      <c r="L181" s="768"/>
      <c r="M181" s="348" t="s">
        <v>260</v>
      </c>
    </row>
    <row r="182" spans="2:13" s="902" customFormat="1" ht="12.6" hidden="1" customHeight="1">
      <c r="B182" s="874">
        <v>2022</v>
      </c>
      <c r="C182" s="349" t="s">
        <v>350</v>
      </c>
      <c r="D182" s="903">
        <v>0</v>
      </c>
      <c r="E182" s="904"/>
      <c r="F182" s="904">
        <v>0</v>
      </c>
      <c r="G182" s="904"/>
      <c r="H182" s="904">
        <v>0</v>
      </c>
      <c r="I182" s="904"/>
      <c r="J182" s="923"/>
      <c r="K182" s="768">
        <v>2022</v>
      </c>
      <c r="L182" s="768"/>
      <c r="M182" s="348" t="s">
        <v>77</v>
      </c>
    </row>
    <row r="183" spans="2:13" s="902" customFormat="1" ht="12.6" hidden="1" customHeight="1">
      <c r="B183" s="874">
        <v>2022</v>
      </c>
      <c r="C183" s="349" t="s">
        <v>29</v>
      </c>
      <c r="D183" s="903">
        <v>0</v>
      </c>
      <c r="E183" s="904"/>
      <c r="F183" s="904">
        <v>0</v>
      </c>
      <c r="G183" s="904"/>
      <c r="H183" s="904">
        <v>0</v>
      </c>
      <c r="I183" s="904"/>
      <c r="J183" s="923"/>
      <c r="K183" s="768">
        <v>2022</v>
      </c>
      <c r="L183" s="768"/>
      <c r="M183" s="348" t="s">
        <v>65</v>
      </c>
    </row>
    <row r="184" spans="2:13" s="902" customFormat="1" ht="12.6" customHeight="1">
      <c r="B184" s="874">
        <v>2022</v>
      </c>
      <c r="C184" s="349" t="s">
        <v>351</v>
      </c>
      <c r="D184" s="903">
        <v>0</v>
      </c>
      <c r="E184" s="904"/>
      <c r="F184" s="904">
        <v>0</v>
      </c>
      <c r="G184" s="904"/>
      <c r="H184" s="904">
        <v>0</v>
      </c>
      <c r="I184" s="904"/>
      <c r="J184" s="923"/>
      <c r="K184" s="768">
        <v>2022</v>
      </c>
      <c r="L184" s="768"/>
      <c r="M184" s="348" t="s">
        <v>353</v>
      </c>
    </row>
    <row r="185" spans="2:13" s="902" customFormat="1" ht="12.6" hidden="1" customHeight="1">
      <c r="B185" s="874">
        <v>2022</v>
      </c>
      <c r="C185" s="349" t="s">
        <v>4</v>
      </c>
      <c r="D185" s="903">
        <v>0</v>
      </c>
      <c r="E185" s="904"/>
      <c r="F185" s="904">
        <v>0</v>
      </c>
      <c r="G185" s="904"/>
      <c r="H185" s="904">
        <v>0</v>
      </c>
      <c r="I185" s="904"/>
      <c r="J185" s="923"/>
      <c r="K185" s="768">
        <v>2022</v>
      </c>
      <c r="L185" s="768"/>
      <c r="M185" s="348" t="s">
        <v>354</v>
      </c>
    </row>
    <row r="186" spans="2:13" s="902" customFormat="1" ht="12.6" hidden="1" customHeight="1">
      <c r="B186" s="874">
        <v>2022</v>
      </c>
      <c r="C186" s="349" t="s">
        <v>352</v>
      </c>
      <c r="D186" s="903">
        <v>0</v>
      </c>
      <c r="E186" s="904"/>
      <c r="F186" s="904">
        <v>0</v>
      </c>
      <c r="G186" s="904"/>
      <c r="H186" s="904">
        <v>0</v>
      </c>
      <c r="I186" s="904"/>
      <c r="J186" s="923"/>
      <c r="K186" s="768">
        <v>2022</v>
      </c>
      <c r="L186" s="768"/>
      <c r="M186" s="348" t="s">
        <v>355</v>
      </c>
    </row>
    <row r="187" spans="2:13" s="902" customFormat="1" ht="12.6" hidden="1" customHeight="1">
      <c r="B187" s="874">
        <v>2022</v>
      </c>
      <c r="C187" s="349" t="s">
        <v>36</v>
      </c>
      <c r="D187" s="908">
        <v>14</v>
      </c>
      <c r="E187" s="904"/>
      <c r="F187" s="924" t="s">
        <v>43</v>
      </c>
      <c r="G187" s="904"/>
      <c r="H187" s="876">
        <v>14</v>
      </c>
      <c r="I187" s="904"/>
      <c r="J187" s="923"/>
      <c r="K187" s="768">
        <v>2022</v>
      </c>
      <c r="L187" s="768"/>
      <c r="M187" s="348" t="s">
        <v>264</v>
      </c>
    </row>
    <row r="188" spans="2:13" s="902" customFormat="1" ht="12.6" hidden="1" customHeight="1">
      <c r="B188" s="874">
        <v>2022</v>
      </c>
      <c r="C188" s="349" t="s">
        <v>37</v>
      </c>
      <c r="D188" s="904">
        <v>13.9</v>
      </c>
      <c r="E188" s="904"/>
      <c r="F188" s="924" t="s">
        <v>43</v>
      </c>
      <c r="G188" s="904"/>
      <c r="H188" s="877">
        <v>13.9</v>
      </c>
      <c r="I188" s="904"/>
      <c r="J188" s="923"/>
      <c r="K188" s="768">
        <v>2022</v>
      </c>
      <c r="L188" s="768"/>
      <c r="M188" s="348" t="s">
        <v>82</v>
      </c>
    </row>
    <row r="189" spans="2:13" s="902" customFormat="1" ht="12.6" hidden="1" customHeight="1">
      <c r="B189" s="874">
        <v>2022</v>
      </c>
      <c r="C189" s="349" t="s">
        <v>31</v>
      </c>
      <c r="D189" s="926">
        <v>13.3</v>
      </c>
      <c r="F189" s="902">
        <v>0</v>
      </c>
      <c r="H189" s="926">
        <v>13.3</v>
      </c>
      <c r="I189" s="927"/>
      <c r="K189" s="768">
        <v>2022</v>
      </c>
      <c r="M189" s="348" t="s">
        <v>31</v>
      </c>
    </row>
    <row r="190" spans="2:13" s="902" customFormat="1" ht="12.6" hidden="1" customHeight="1">
      <c r="B190" s="874">
        <v>2022</v>
      </c>
      <c r="C190" s="349" t="s">
        <v>50</v>
      </c>
      <c r="D190" s="928">
        <v>11.5</v>
      </c>
      <c r="F190" s="929" t="s">
        <v>43</v>
      </c>
      <c r="H190" s="930">
        <v>11.5</v>
      </c>
      <c r="J190" s="925"/>
      <c r="K190" s="768">
        <v>2022</v>
      </c>
      <c r="M190" s="348" t="s">
        <v>50</v>
      </c>
    </row>
    <row r="191" spans="2:13" s="902" customFormat="1" ht="12.6" hidden="1" customHeight="1">
      <c r="B191" s="874">
        <v>2022</v>
      </c>
      <c r="C191" s="996" t="s">
        <v>348</v>
      </c>
      <c r="D191" s="928">
        <v>16.3</v>
      </c>
      <c r="F191" s="929" t="s">
        <v>43</v>
      </c>
      <c r="H191" s="928">
        <v>16.3</v>
      </c>
      <c r="I191" s="927"/>
      <c r="J191" s="925"/>
      <c r="K191" s="768">
        <v>2022</v>
      </c>
      <c r="M191" s="348" t="s">
        <v>348</v>
      </c>
    </row>
    <row r="192" spans="2:13" s="902" customFormat="1" ht="12.6" hidden="1" customHeight="1">
      <c r="B192" s="874">
        <v>2022</v>
      </c>
      <c r="C192" s="996" t="s">
        <v>349</v>
      </c>
      <c r="D192" s="928">
        <v>13.6</v>
      </c>
      <c r="F192" s="929" t="s">
        <v>43</v>
      </c>
      <c r="H192" s="930">
        <v>13.6</v>
      </c>
      <c r="I192" s="927"/>
      <c r="J192" s="925"/>
      <c r="K192" s="768">
        <v>2022</v>
      </c>
      <c r="M192" s="348" t="s">
        <v>362</v>
      </c>
    </row>
    <row r="193" spans="2:13" s="902" customFormat="1" ht="12.6" hidden="1" customHeight="1">
      <c r="B193" s="347">
        <v>2023</v>
      </c>
      <c r="C193" s="996" t="s">
        <v>33</v>
      </c>
      <c r="D193" s="932">
        <v>9.4056188306757793</v>
      </c>
      <c r="F193" s="902">
        <v>0</v>
      </c>
      <c r="H193" s="926">
        <v>9.4056188306757793</v>
      </c>
      <c r="I193" s="927"/>
      <c r="J193" s="925"/>
      <c r="K193" s="768">
        <v>2023</v>
      </c>
      <c r="M193" s="348" t="s">
        <v>33</v>
      </c>
    </row>
    <row r="194" spans="2:13" s="902" customFormat="1" ht="12.6" hidden="1" customHeight="1">
      <c r="B194" s="347">
        <v>2023</v>
      </c>
      <c r="C194" s="996" t="s">
        <v>34</v>
      </c>
      <c r="D194" s="926">
        <v>8.6417445482866047</v>
      </c>
      <c r="F194" s="902">
        <v>0</v>
      </c>
      <c r="H194" s="926">
        <v>8.6417445482866047</v>
      </c>
      <c r="I194" s="927"/>
      <c r="K194" s="768">
        <v>2023</v>
      </c>
      <c r="M194" s="348" t="s">
        <v>77</v>
      </c>
    </row>
    <row r="195" spans="2:13" s="902" customFormat="1" ht="12.6" hidden="1" customHeight="1">
      <c r="B195" s="347">
        <v>2023</v>
      </c>
      <c r="C195" s="996" t="s">
        <v>29</v>
      </c>
      <c r="D195" s="928">
        <v>15.057855869620502</v>
      </c>
      <c r="E195" s="931"/>
      <c r="F195" s="929" t="s">
        <v>43</v>
      </c>
      <c r="G195" s="931"/>
      <c r="H195" s="930">
        <v>15.057855869620502</v>
      </c>
      <c r="I195" s="927"/>
      <c r="K195" s="768">
        <v>2023</v>
      </c>
      <c r="M195" s="348" t="s">
        <v>29</v>
      </c>
    </row>
    <row r="196" spans="2:13" s="902" customFormat="1" ht="12.6" customHeight="1">
      <c r="B196" s="347">
        <v>2023</v>
      </c>
      <c r="C196" s="996" t="s">
        <v>35</v>
      </c>
      <c r="D196" s="926">
        <v>12.9160227438402</v>
      </c>
      <c r="F196" s="902">
        <v>0</v>
      </c>
      <c r="H196" s="926">
        <v>12.9160227438402</v>
      </c>
      <c r="I196" s="927"/>
      <c r="K196" s="768">
        <v>2023</v>
      </c>
      <c r="M196" s="348" t="s">
        <v>78</v>
      </c>
    </row>
    <row r="197" spans="2:13" s="902" customFormat="1" ht="12.6" hidden="1" customHeight="1">
      <c r="B197" s="347">
        <v>2023</v>
      </c>
      <c r="C197" s="996" t="s">
        <v>4</v>
      </c>
      <c r="D197" s="926">
        <v>9.0025033377837094</v>
      </c>
      <c r="F197" s="902">
        <v>0</v>
      </c>
      <c r="H197" s="926">
        <v>9.0025033377837094</v>
      </c>
      <c r="I197" s="927"/>
      <c r="K197" s="768">
        <v>2023</v>
      </c>
      <c r="M197" s="348" t="s">
        <v>79</v>
      </c>
    </row>
    <row r="198" spans="2:13" s="902" customFormat="1" ht="12.6" hidden="1" customHeight="1">
      <c r="B198" s="347">
        <v>2023</v>
      </c>
      <c r="C198" s="996" t="s">
        <v>30</v>
      </c>
      <c r="D198" s="926">
        <v>12.113752525852799</v>
      </c>
      <c r="F198" s="902">
        <v>20.098901098901099</v>
      </c>
      <c r="H198" s="926">
        <v>16.106326812376949</v>
      </c>
      <c r="I198" s="927"/>
      <c r="K198" s="768">
        <v>2023</v>
      </c>
      <c r="M198" s="348" t="s">
        <v>80</v>
      </c>
    </row>
    <row r="199" spans="2:13" s="902" customFormat="1" ht="12.6" hidden="1" customHeight="1">
      <c r="B199" s="347">
        <v>2023</v>
      </c>
      <c r="C199" s="996" t="s">
        <v>36</v>
      </c>
      <c r="D199" s="926">
        <v>9.6688755878580608</v>
      </c>
      <c r="F199" s="902">
        <v>11.8768472906404</v>
      </c>
      <c r="H199" s="926">
        <v>10.77286143924923</v>
      </c>
      <c r="I199" s="927"/>
      <c r="K199" s="768">
        <v>2023</v>
      </c>
      <c r="M199" s="348" t="s">
        <v>81</v>
      </c>
    </row>
    <row r="200" spans="2:13" s="902" customFormat="1" ht="12.6" hidden="1" customHeight="1">
      <c r="B200" s="347">
        <v>2023</v>
      </c>
      <c r="C200" s="996" t="s">
        <v>37</v>
      </c>
      <c r="D200" s="926">
        <v>8.8496379035227708</v>
      </c>
      <c r="F200" s="902">
        <v>11.796296296296299</v>
      </c>
      <c r="H200" s="926">
        <v>10.322967099909535</v>
      </c>
      <c r="I200" s="927"/>
      <c r="K200" s="768">
        <v>2023</v>
      </c>
      <c r="M200" s="348" t="s">
        <v>82</v>
      </c>
    </row>
    <row r="201" spans="2:13" s="902" customFormat="1" ht="12.6" hidden="1" customHeight="1">
      <c r="B201" s="347">
        <v>2023</v>
      </c>
      <c r="C201" s="996" t="s">
        <v>31</v>
      </c>
      <c r="D201" s="926">
        <v>8.2638212546548306</v>
      </c>
      <c r="F201" s="902">
        <v>12.156028368794299</v>
      </c>
      <c r="H201" s="926">
        <v>10.322967099909535</v>
      </c>
      <c r="I201" s="927"/>
      <c r="K201" s="768">
        <v>2023</v>
      </c>
      <c r="M201" s="348" t="s">
        <v>31</v>
      </c>
    </row>
    <row r="202" spans="2:13" s="902" customFormat="1" ht="12.6" hidden="1" customHeight="1">
      <c r="B202" s="347">
        <v>2023</v>
      </c>
      <c r="C202" s="996" t="s">
        <v>38</v>
      </c>
      <c r="D202" s="926">
        <v>8.5609860971764409</v>
      </c>
      <c r="F202" s="902">
        <v>13.301801801801799</v>
      </c>
      <c r="H202" s="926">
        <v>10.93139394948912</v>
      </c>
      <c r="I202" s="927"/>
      <c r="K202" s="768">
        <v>2023</v>
      </c>
      <c r="M202" s="348" t="s">
        <v>38</v>
      </c>
    </row>
    <row r="203" spans="2:13" s="902" customFormat="1" ht="12.6" hidden="1" customHeight="1">
      <c r="B203" s="347">
        <v>2023</v>
      </c>
      <c r="C203" s="996" t="s">
        <v>39</v>
      </c>
      <c r="D203" s="926">
        <v>8.9337466098411493</v>
      </c>
      <c r="F203" s="902">
        <v>11.7169117647059</v>
      </c>
      <c r="H203" s="926">
        <v>10.325329187273525</v>
      </c>
      <c r="I203" s="927"/>
      <c r="K203" s="768">
        <v>2023</v>
      </c>
      <c r="M203" s="348" t="s">
        <v>39</v>
      </c>
    </row>
    <row r="204" spans="2:13" s="902" customFormat="1" ht="12.6" hidden="1" customHeight="1">
      <c r="B204" s="347">
        <v>2023</v>
      </c>
      <c r="C204" s="996" t="s">
        <v>32</v>
      </c>
      <c r="D204" s="926">
        <v>10.011481768813001</v>
      </c>
      <c r="F204" s="902">
        <v>11.5625</v>
      </c>
      <c r="H204" s="926">
        <v>10.786990884406499</v>
      </c>
      <c r="I204" s="927"/>
      <c r="K204" s="768">
        <v>2023</v>
      </c>
      <c r="M204" s="348" t="s">
        <v>32</v>
      </c>
    </row>
    <row r="205" spans="2:13" s="902" customFormat="1" ht="12.6" hidden="1" customHeight="1">
      <c r="B205" s="347">
        <v>2023</v>
      </c>
      <c r="C205" s="996" t="s">
        <v>33</v>
      </c>
      <c r="D205" s="926">
        <v>8.9765880812049801</v>
      </c>
      <c r="F205" s="902">
        <v>22.805755395683001</v>
      </c>
      <c r="H205" s="926">
        <v>9.2904854211435808</v>
      </c>
      <c r="I205" s="927"/>
      <c r="K205" s="768">
        <v>2024</v>
      </c>
      <c r="M205" s="348" t="s">
        <v>33</v>
      </c>
    </row>
    <row r="206" spans="2:13" s="902" customFormat="1" ht="12.6" hidden="1" customHeight="1">
      <c r="B206" s="347">
        <v>2024</v>
      </c>
      <c r="C206" s="996" t="s">
        <v>34</v>
      </c>
      <c r="D206" s="926">
        <v>9.7158407889872525</v>
      </c>
      <c r="F206" s="902">
        <v>11.1</v>
      </c>
      <c r="H206" s="926">
        <v>9.7972619190468269</v>
      </c>
      <c r="I206" s="927"/>
      <c r="K206" s="768">
        <v>2024</v>
      </c>
      <c r="M206" s="348" t="s">
        <v>77</v>
      </c>
    </row>
    <row r="207" spans="2:13" s="902" customFormat="1" ht="12.6" hidden="1" customHeight="1">
      <c r="B207" s="347">
        <v>2024</v>
      </c>
      <c r="C207" s="996" t="s">
        <v>29</v>
      </c>
      <c r="D207" s="1001">
        <v>8.9</v>
      </c>
      <c r="F207" s="902">
        <v>12</v>
      </c>
      <c r="H207" s="926">
        <v>9.0040366111241497</v>
      </c>
      <c r="I207" s="1158"/>
      <c r="K207" s="768">
        <v>2024</v>
      </c>
      <c r="M207" s="348" t="s">
        <v>29</v>
      </c>
    </row>
    <row r="208" spans="2:13" s="902" customFormat="1" ht="12.6" customHeight="1">
      <c r="B208" s="347">
        <v>2024</v>
      </c>
      <c r="C208" s="996" t="s">
        <v>35</v>
      </c>
      <c r="D208" s="1001">
        <v>9.3372309327664098</v>
      </c>
      <c r="F208" s="902">
        <v>10.8629943502825</v>
      </c>
      <c r="H208" s="926">
        <v>9.3916799782822924</v>
      </c>
      <c r="I208" s="1158"/>
      <c r="K208" s="768">
        <v>2024</v>
      </c>
      <c r="M208" s="348" t="s">
        <v>78</v>
      </c>
    </row>
    <row r="209" spans="2:13" s="902" customFormat="1" ht="12.6" hidden="1" customHeight="1">
      <c r="B209" s="347">
        <v>2024</v>
      </c>
      <c r="C209" s="996" t="s">
        <v>4</v>
      </c>
      <c r="D209" s="1001">
        <v>10.3217559093102</v>
      </c>
      <c r="F209" s="924" t="s">
        <v>43</v>
      </c>
      <c r="H209" s="926">
        <v>10.3217559093102</v>
      </c>
      <c r="I209" s="1158"/>
      <c r="K209" s="768">
        <v>2024</v>
      </c>
      <c r="M209" s="348" t="s">
        <v>79</v>
      </c>
    </row>
    <row r="210" spans="2:13" s="902" customFormat="1" ht="14.25" hidden="1" customHeight="1">
      <c r="B210" s="347">
        <v>2024</v>
      </c>
      <c r="C210" s="996" t="s">
        <v>30</v>
      </c>
      <c r="D210" s="1001">
        <v>10.7047619047619</v>
      </c>
      <c r="F210" s="1002">
        <v>2.3571428571428599</v>
      </c>
      <c r="H210" s="926">
        <v>10.619712296533486</v>
      </c>
      <c r="I210" s="1158"/>
      <c r="K210" s="768">
        <v>2024</v>
      </c>
      <c r="M210" s="348" t="s">
        <v>80</v>
      </c>
    </row>
    <row r="211" spans="2:13" s="902" customFormat="1" ht="14.25" hidden="1" customHeight="1">
      <c r="B211" s="347">
        <v>2024</v>
      </c>
      <c r="C211" s="996" t="s">
        <v>36</v>
      </c>
      <c r="D211" s="1001">
        <v>10.328593194514999</v>
      </c>
      <c r="F211" s="1002">
        <v>8.4948453608247405</v>
      </c>
      <c r="H211" s="926">
        <v>10.287140493543674</v>
      </c>
      <c r="I211" s="1158"/>
      <c r="K211" s="768">
        <v>2024</v>
      </c>
      <c r="M211" s="348" t="s">
        <v>81</v>
      </c>
    </row>
    <row r="212" spans="2:13" s="902" customFormat="1" ht="14.25" hidden="1" customHeight="1">
      <c r="B212" s="347">
        <v>2024</v>
      </c>
      <c r="C212" s="996" t="s">
        <v>37</v>
      </c>
      <c r="D212" s="1001">
        <v>10.901218013280998</v>
      </c>
      <c r="F212" s="924" t="s">
        <v>43</v>
      </c>
      <c r="H212" s="926">
        <v>10.901218013280998</v>
      </c>
      <c r="I212" s="927"/>
      <c r="K212" s="768">
        <v>2024</v>
      </c>
      <c r="M212" s="348" t="s">
        <v>82</v>
      </c>
    </row>
    <row r="213" spans="2:13" s="902" customFormat="1" ht="14.25" hidden="1" customHeight="1">
      <c r="B213" s="347">
        <v>2024</v>
      </c>
      <c r="C213" s="996" t="s">
        <v>31</v>
      </c>
      <c r="D213" s="1188">
        <v>11.3884150675195</v>
      </c>
      <c r="F213" s="924">
        <v>18.8851540616247</v>
      </c>
      <c r="H213" s="926">
        <v>11.902791434059804</v>
      </c>
      <c r="I213" s="927"/>
      <c r="K213" s="768">
        <v>2024</v>
      </c>
      <c r="M213" s="348" t="s">
        <v>31</v>
      </c>
    </row>
    <row r="214" spans="2:13" s="902" customFormat="1" ht="11.25" hidden="1" customHeight="1">
      <c r="B214" s="347">
        <v>2024</v>
      </c>
      <c r="C214" s="996" t="s">
        <v>38</v>
      </c>
      <c r="D214" s="1188">
        <v>8.5966488167213679</v>
      </c>
      <c r="F214" s="924">
        <v>12.839393939393901</v>
      </c>
      <c r="H214" s="926">
        <v>8.8409953944669066</v>
      </c>
      <c r="I214" s="927"/>
      <c r="K214" s="768">
        <v>2024</v>
      </c>
      <c r="M214" s="348" t="s">
        <v>38</v>
      </c>
    </row>
    <row r="215" spans="2:13" s="902" customFormat="1" ht="12" hidden="1" customHeight="1">
      <c r="B215" s="347">
        <v>2024</v>
      </c>
      <c r="C215" s="996" t="s">
        <v>39</v>
      </c>
      <c r="D215" s="1188">
        <v>8.6951294069696345</v>
      </c>
      <c r="F215" s="924">
        <v>13.529850746268657</v>
      </c>
      <c r="H215" s="926">
        <v>8.9856631272039085</v>
      </c>
      <c r="I215" s="927"/>
      <c r="K215" s="768">
        <v>2024</v>
      </c>
      <c r="M215" s="348" t="s">
        <v>39</v>
      </c>
    </row>
    <row r="216" spans="2:13" s="902" customFormat="1" ht="14.25" hidden="1" customHeight="1">
      <c r="B216" s="347">
        <v>2024</v>
      </c>
      <c r="C216" s="996" t="s">
        <v>32</v>
      </c>
      <c r="D216" s="1188">
        <v>9.6335299073294021</v>
      </c>
      <c r="F216" s="924">
        <v>11.732718894009217</v>
      </c>
      <c r="H216" s="926">
        <v>9.7541026998411855</v>
      </c>
      <c r="I216" s="927"/>
      <c r="K216" s="768">
        <v>2024</v>
      </c>
      <c r="M216" s="348" t="s">
        <v>83</v>
      </c>
    </row>
    <row r="217" spans="2:13" s="902" customFormat="1" ht="14.25" hidden="1" customHeight="1">
      <c r="B217" s="347">
        <v>2025</v>
      </c>
      <c r="C217" s="996" t="s">
        <v>33</v>
      </c>
      <c r="D217" s="1188">
        <v>10.279888785912883</v>
      </c>
      <c r="F217" s="924">
        <v>13.237354892205639</v>
      </c>
      <c r="H217" s="926">
        <v>10.433369183101904</v>
      </c>
      <c r="I217" s="1158"/>
      <c r="K217" s="768">
        <v>2025</v>
      </c>
      <c r="M217" s="348" t="s">
        <v>33</v>
      </c>
    </row>
    <row r="218" spans="2:13" s="902" customFormat="1" ht="14.25" hidden="1" customHeight="1">
      <c r="B218" s="347">
        <v>2025</v>
      </c>
      <c r="C218" s="996" t="s">
        <v>34</v>
      </c>
      <c r="D218" s="1188">
        <v>9.0070621468926557</v>
      </c>
      <c r="F218" s="924">
        <v>18.329113924050635</v>
      </c>
      <c r="H218" s="926">
        <v>9.5238860942173353</v>
      </c>
      <c r="I218" s="927"/>
      <c r="K218" s="768">
        <v>2025</v>
      </c>
      <c r="M218" s="348" t="s">
        <v>77</v>
      </c>
    </row>
    <row r="219" spans="2:13" s="902" customFormat="1" ht="14.25" hidden="1" customHeight="1">
      <c r="B219" s="347">
        <v>2025</v>
      </c>
      <c r="C219" s="996" t="s">
        <v>29</v>
      </c>
      <c r="D219" s="1188">
        <v>8.6551264980026623</v>
      </c>
      <c r="F219" s="924">
        <v>5.833333333333333</v>
      </c>
      <c r="H219" s="926">
        <v>8.6497659486776843</v>
      </c>
      <c r="I219" s="927"/>
      <c r="K219" s="768">
        <v>2025</v>
      </c>
      <c r="M219" s="348" t="s">
        <v>29</v>
      </c>
    </row>
    <row r="220" spans="2:13" s="902" customFormat="1" ht="12.2" customHeight="1">
      <c r="B220" s="347">
        <v>2025</v>
      </c>
      <c r="C220" s="996" t="s">
        <v>35</v>
      </c>
      <c r="D220" s="1188">
        <v>8.4471532846715327</v>
      </c>
      <c r="F220" s="905" t="s">
        <v>391</v>
      </c>
      <c r="H220" s="926">
        <v>8.4471532846715327</v>
      </c>
      <c r="I220" s="927"/>
      <c r="K220" s="768">
        <v>2025</v>
      </c>
      <c r="M220" s="348" t="s">
        <v>78</v>
      </c>
    </row>
    <row r="221" spans="2:13" s="902" customFormat="1" ht="14.25" customHeight="1">
      <c r="B221" s="347"/>
      <c r="C221" s="996" t="s">
        <v>4</v>
      </c>
      <c r="D221" s="1188">
        <v>7.8348836039999998</v>
      </c>
      <c r="F221" s="905" t="s">
        <v>391</v>
      </c>
      <c r="H221" s="926">
        <v>7.8348836039999998</v>
      </c>
      <c r="I221" s="927"/>
      <c r="K221" s="768"/>
      <c r="M221" s="348" t="s">
        <v>79</v>
      </c>
    </row>
    <row r="222" spans="2:13" s="902" customFormat="1" ht="14.25" customHeight="1">
      <c r="B222" s="347"/>
      <c r="C222" s="996" t="s">
        <v>30</v>
      </c>
      <c r="D222" s="1169">
        <v>8.5104912998976463</v>
      </c>
      <c r="F222" s="905" t="s">
        <v>391</v>
      </c>
      <c r="H222" s="926">
        <v>8.5104912998976463</v>
      </c>
      <c r="I222" s="927"/>
      <c r="K222" s="768"/>
      <c r="M222" s="348" t="s">
        <v>80</v>
      </c>
    </row>
    <row r="223" spans="2:13" s="902" customFormat="1" ht="14.25" customHeight="1">
      <c r="B223" s="347"/>
      <c r="C223" s="996" t="s">
        <v>36</v>
      </c>
      <c r="D223" s="1173">
        <v>8.5689143558784409</v>
      </c>
      <c r="F223" s="905" t="s">
        <v>391</v>
      </c>
      <c r="H223" s="926">
        <v>8.5689143558784409</v>
      </c>
      <c r="I223" s="927"/>
      <c r="K223" s="768"/>
      <c r="M223" s="348" t="s">
        <v>81</v>
      </c>
    </row>
    <row r="224" spans="2:13" s="902" customFormat="1" ht="14.25" customHeight="1">
      <c r="B224" s="347"/>
      <c r="C224" s="996" t="s">
        <v>37</v>
      </c>
      <c r="D224" s="1173">
        <v>7.9974007561436675</v>
      </c>
      <c r="F224" s="905" t="s">
        <v>391</v>
      </c>
      <c r="H224" s="926">
        <v>7.9974007561436675</v>
      </c>
      <c r="I224" s="927"/>
      <c r="K224" s="768"/>
      <c r="M224" s="892" t="s">
        <v>82</v>
      </c>
    </row>
    <row r="225" spans="2:13" s="902" customFormat="1" ht="14.25" customHeight="1">
      <c r="B225" s="347"/>
      <c r="C225" s="996" t="s">
        <v>31</v>
      </c>
      <c r="D225" s="1173">
        <v>7.8981614004183642</v>
      </c>
      <c r="F225" s="905" t="s">
        <v>391</v>
      </c>
      <c r="H225" s="926">
        <v>7.8981614004183642</v>
      </c>
      <c r="I225" s="927"/>
      <c r="K225" s="768"/>
      <c r="M225" s="892" t="s">
        <v>31</v>
      </c>
    </row>
    <row r="226" spans="2:13" s="902" customFormat="1" ht="14.25" customHeight="1">
      <c r="B226" s="347"/>
      <c r="C226" s="996" t="s">
        <v>38</v>
      </c>
      <c r="D226" s="1173">
        <v>8.3088521899682011</v>
      </c>
      <c r="F226" s="905" t="s">
        <v>391</v>
      </c>
      <c r="H226" s="926">
        <v>8.3088521899682011</v>
      </c>
      <c r="I226" s="927"/>
      <c r="K226" s="768"/>
      <c r="M226" s="892" t="s">
        <v>38</v>
      </c>
    </row>
    <row r="227" spans="2:13" s="902" customFormat="1" ht="14.25" customHeight="1">
      <c r="B227" s="347"/>
      <c r="C227" s="996" t="s">
        <v>39</v>
      </c>
      <c r="D227" s="1173">
        <v>8.9067592839967933</v>
      </c>
      <c r="F227" s="905" t="s">
        <v>391</v>
      </c>
      <c r="H227" s="926">
        <v>8.9067592839967933</v>
      </c>
      <c r="I227" s="927"/>
      <c r="K227" s="768"/>
      <c r="M227" s="892" t="s">
        <v>39</v>
      </c>
    </row>
    <row r="228" spans="2:13" s="902" customFormat="1" ht="14.25" customHeight="1">
      <c r="B228" s="347"/>
      <c r="C228" s="996" t="s">
        <v>32</v>
      </c>
      <c r="D228" s="1173">
        <v>10.670703436869863</v>
      </c>
      <c r="F228" s="905" t="s">
        <v>391</v>
      </c>
      <c r="H228" s="926">
        <v>10.670703436869863</v>
      </c>
      <c r="I228" s="927"/>
      <c r="K228" s="768"/>
      <c r="M228" s="892" t="s">
        <v>83</v>
      </c>
    </row>
    <row r="229" spans="2:13" s="902" customFormat="1" ht="14.25" customHeight="1">
      <c r="B229" s="347">
        <v>2026</v>
      </c>
      <c r="C229" s="996" t="s">
        <v>33</v>
      </c>
      <c r="D229" s="1173">
        <v>9.5752444925632982</v>
      </c>
      <c r="F229" s="905" t="s">
        <v>391</v>
      </c>
      <c r="H229" s="926">
        <v>9.5752444925632982</v>
      </c>
      <c r="I229" s="927"/>
      <c r="K229" s="768">
        <v>2026</v>
      </c>
      <c r="M229" s="892" t="s">
        <v>33</v>
      </c>
    </row>
    <row r="230" spans="2:13" s="902" customFormat="1" ht="14.25" customHeight="1">
      <c r="B230" s="347"/>
      <c r="C230" s="996" t="s">
        <v>34</v>
      </c>
      <c r="D230" s="1173">
        <v>7.9890106498310152</v>
      </c>
      <c r="F230" s="905" t="s">
        <v>391</v>
      </c>
      <c r="H230" s="926">
        <v>7.9890106498310152</v>
      </c>
      <c r="I230" s="927"/>
      <c r="K230" s="768"/>
      <c r="M230" s="892" t="s">
        <v>77</v>
      </c>
    </row>
    <row r="231" spans="2:13" s="902" customFormat="1" ht="14.25" customHeight="1">
      <c r="B231" s="347"/>
      <c r="C231" s="996" t="s">
        <v>29</v>
      </c>
      <c r="D231" s="1173">
        <v>11.232496973326912</v>
      </c>
      <c r="F231" s="905" t="s">
        <v>391</v>
      </c>
      <c r="H231" s="926">
        <v>11.23249697332691</v>
      </c>
      <c r="I231" s="927"/>
      <c r="K231" s="768"/>
      <c r="M231" s="892" t="s">
        <v>29</v>
      </c>
    </row>
    <row r="232" spans="2:13" s="902" customFormat="1" ht="14.25" customHeight="1">
      <c r="B232" s="1000"/>
      <c r="C232" s="997" t="s">
        <v>601</v>
      </c>
      <c r="D232" s="1168">
        <v>8.014966518609711</v>
      </c>
      <c r="E232" s="934"/>
      <c r="F232" s="1165" t="s">
        <v>391</v>
      </c>
      <c r="G232" s="934"/>
      <c r="H232" s="933">
        <v>8.014966518609711</v>
      </c>
      <c r="I232" s="935"/>
      <c r="J232" s="934"/>
      <c r="K232" s="922"/>
      <c r="L232" s="934"/>
      <c r="M232" s="1074" t="s">
        <v>602</v>
      </c>
    </row>
    <row r="233" spans="2:13" ht="16.5" customHeight="1">
      <c r="B233" s="802" t="s">
        <v>468</v>
      </c>
      <c r="C233" s="392"/>
      <c r="D233" s="936"/>
      <c r="E233" s="936"/>
      <c r="F233" s="936"/>
      <c r="G233" s="936"/>
      <c r="M233" s="369"/>
    </row>
    <row r="234" spans="2:13" ht="13.5">
      <c r="B234" s="388"/>
      <c r="C234" s="938" t="s">
        <v>299</v>
      </c>
      <c r="M234" s="369"/>
    </row>
    <row r="235" spans="2:13" ht="13.5">
      <c r="B235" s="388"/>
      <c r="C235" s="389" t="s">
        <v>423</v>
      </c>
      <c r="M235" s="369"/>
    </row>
    <row r="236" spans="2:13" ht="13.5">
      <c r="D236" s="939">
        <f>D231/D219-1</f>
        <v>0.29778541953361715</v>
      </c>
      <c r="E236" s="939" t="e">
        <f t="shared" ref="E236:H236" si="7">E231/E219-1</f>
        <v>#DIV/0!</v>
      </c>
      <c r="F236" s="939" t="e">
        <f t="shared" si="7"/>
        <v>#VALUE!</v>
      </c>
      <c r="G236" s="939" t="e">
        <f t="shared" si="7"/>
        <v>#DIV/0!</v>
      </c>
      <c r="H236" s="939">
        <f t="shared" si="7"/>
        <v>0.29858970057381207</v>
      </c>
      <c r="I236" s="940"/>
      <c r="J236" s="941"/>
      <c r="K236" s="942" t="s">
        <v>231</v>
      </c>
      <c r="M236" s="348"/>
    </row>
    <row r="237" spans="2:13" ht="13.5">
      <c r="D237" s="943">
        <f>D231/D230-1</f>
        <v>0.40599349101687632</v>
      </c>
      <c r="E237" s="943" t="e">
        <f t="shared" ref="E237:H237" si="8">E231/E230-1</f>
        <v>#DIV/0!</v>
      </c>
      <c r="F237" s="943" t="e">
        <f t="shared" si="8"/>
        <v>#VALUE!</v>
      </c>
      <c r="G237" s="943" t="e">
        <f t="shared" si="8"/>
        <v>#DIV/0!</v>
      </c>
      <c r="H237" s="943">
        <f t="shared" si="8"/>
        <v>0.4059934910168761</v>
      </c>
      <c r="I237" s="944"/>
      <c r="J237" s="945"/>
      <c r="K237" s="946" t="s">
        <v>230</v>
      </c>
    </row>
    <row r="238" spans="2:13" ht="13.5">
      <c r="D238" s="947"/>
      <c r="E238" s="947"/>
      <c r="F238" s="947"/>
      <c r="G238" s="947"/>
      <c r="H238" s="947">
        <f>H218-H206</f>
        <v>-0.27337582482949152</v>
      </c>
      <c r="I238" s="926"/>
      <c r="J238" s="902"/>
      <c r="K238" s="948"/>
    </row>
    <row r="239" spans="2:13" ht="13.5">
      <c r="D239" s="947"/>
      <c r="E239" s="947"/>
      <c r="F239" s="947"/>
      <c r="G239" s="947"/>
      <c r="H239" s="947">
        <f>H218-H217</f>
        <v>-0.90948308888456886</v>
      </c>
      <c r="I239" s="926"/>
      <c r="J239" s="902"/>
      <c r="K239" s="948"/>
    </row>
    <row r="240" spans="2:13">
      <c r="D240" s="949"/>
      <c r="E240" s="949"/>
      <c r="F240" s="949"/>
      <c r="G240" s="949"/>
      <c r="H240" s="949"/>
    </row>
    <row r="246" spans="4:12" ht="13.5">
      <c r="F246" s="921"/>
      <c r="G246" s="950"/>
      <c r="K246" s="864"/>
      <c r="L246" s="864"/>
    </row>
    <row r="247" spans="4:12" ht="13.5">
      <c r="F247" s="921"/>
    </row>
    <row r="248" spans="4:12" ht="13.5">
      <c r="F248" s="921"/>
      <c r="K248" s="864"/>
      <c r="L248" s="864"/>
    </row>
    <row r="249" spans="4:12" ht="13.5">
      <c r="F249" s="921"/>
    </row>
    <row r="250" spans="4:12" ht="13.5">
      <c r="D250" s="947"/>
      <c r="E250" s="947"/>
      <c r="F250" s="921"/>
      <c r="K250" s="864"/>
      <c r="L250" s="864"/>
    </row>
    <row r="251" spans="4:12" ht="13.5">
      <c r="D251" s="947"/>
      <c r="E251" s="947"/>
      <c r="F251" s="921"/>
      <c r="K251" s="864"/>
      <c r="L251" s="864"/>
    </row>
    <row r="252" spans="4:12" ht="13.5">
      <c r="D252" s="947"/>
      <c r="E252" s="947"/>
      <c r="F252" s="921"/>
      <c r="K252" s="864"/>
      <c r="L252" s="864"/>
    </row>
    <row r="253" spans="4:12" ht="13.5">
      <c r="D253" s="947"/>
      <c r="E253" s="947"/>
      <c r="F253" s="921"/>
      <c r="K253" s="864"/>
      <c r="L253" s="864"/>
    </row>
    <row r="254" spans="4:12" ht="13.5">
      <c r="D254" s="947"/>
      <c r="E254" s="947"/>
      <c r="F254" s="921"/>
      <c r="K254" s="864"/>
      <c r="L254" s="864"/>
    </row>
    <row r="255" spans="4:12" ht="13.5">
      <c r="D255" s="947"/>
      <c r="E255" s="947"/>
      <c r="F255" s="921"/>
      <c r="K255" s="864"/>
      <c r="L255" s="864"/>
    </row>
    <row r="256" spans="4:12" ht="13.5">
      <c r="D256" s="947"/>
      <c r="E256" s="947"/>
      <c r="F256" s="921"/>
      <c r="K256" s="864"/>
      <c r="L256" s="864"/>
    </row>
    <row r="257" spans="4:12" ht="13.5">
      <c r="D257" s="947"/>
      <c r="E257" s="947"/>
      <c r="F257" s="921"/>
      <c r="K257" s="864"/>
      <c r="L257" s="864"/>
    </row>
    <row r="258" spans="4:12" ht="13.5">
      <c r="D258" s="947"/>
      <c r="E258" s="947"/>
      <c r="F258" s="921"/>
      <c r="K258" s="864"/>
      <c r="L258" s="864"/>
    </row>
    <row r="259" spans="4:12" ht="13.5">
      <c r="F259" s="921"/>
    </row>
    <row r="260" spans="4:12" ht="13.5">
      <c r="F260" s="921"/>
    </row>
    <row r="261" spans="4:12" ht="13.5">
      <c r="D261" s="947"/>
      <c r="E261" s="947"/>
      <c r="F261" s="921"/>
      <c r="K261" s="864"/>
      <c r="L261" s="864"/>
    </row>
    <row r="262" spans="4:12" ht="13.5">
      <c r="D262" s="947"/>
      <c r="E262" s="947"/>
      <c r="F262" s="921"/>
      <c r="K262" s="864"/>
      <c r="L262" s="864"/>
    </row>
  </sheetData>
  <mergeCells count="6">
    <mergeCell ref="M5:M6"/>
    <mergeCell ref="B5:B6"/>
    <mergeCell ref="C5:C6"/>
    <mergeCell ref="D5:H5"/>
    <mergeCell ref="J5:J6"/>
    <mergeCell ref="K5:K6"/>
  </mergeCells>
  <phoneticPr fontId="126" type="noConversion"/>
  <conditionalFormatting sqref="J30:J72">
    <cfRule type="expression" dxfId="1" priority="1" stopIfTrue="1">
      <formula>(#REF!&gt;AVERAGE(#REF!))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tabColor rgb="FFFF0066"/>
  </sheetPr>
  <dimension ref="A4:AH265"/>
  <sheetViews>
    <sheetView topLeftCell="A8" workbookViewId="0">
      <selection activeCell="I235" sqref="I235"/>
    </sheetView>
  </sheetViews>
  <sheetFormatPr defaultColWidth="9.140625" defaultRowHeight="12.75"/>
  <cols>
    <col min="1" max="1" width="6.140625" style="864" customWidth="1"/>
    <col min="2" max="2" width="6.7109375" style="864" customWidth="1"/>
    <col min="3" max="3" width="1.5703125" style="864" customWidth="1"/>
    <col min="4" max="4" width="8" style="864" customWidth="1"/>
    <col min="5" max="5" width="22.5703125" style="937" customWidth="1"/>
    <col min="6" max="6" width="4.42578125" style="937" bestFit="1" customWidth="1"/>
    <col min="7" max="7" width="20.140625" style="937" customWidth="1"/>
    <col min="8" max="8" width="2.7109375" style="937" bestFit="1" customWidth="1"/>
    <col min="9" max="9" width="20.140625" style="937" customWidth="1"/>
    <col min="10" max="10" width="2.7109375" style="937" bestFit="1" customWidth="1"/>
    <col min="11" max="11" width="15.85546875" style="864" hidden="1" customWidth="1"/>
    <col min="12" max="12" width="7.28515625" style="863" bestFit="1" customWidth="1"/>
    <col min="13" max="13" width="1" style="863" customWidth="1"/>
    <col min="14" max="14" width="7.85546875" style="864" customWidth="1"/>
    <col min="15" max="16" width="9.140625" style="864"/>
    <col min="17" max="17" width="13.5703125" style="864" customWidth="1"/>
    <col min="18" max="18" width="12.42578125" style="864" customWidth="1"/>
    <col min="19" max="19" width="20.42578125" style="864" customWidth="1"/>
    <col min="20" max="20" width="17.28515625" style="864" customWidth="1"/>
    <col min="21" max="21" width="14.42578125" style="864" customWidth="1"/>
    <col min="22" max="22" width="13.140625" style="864" customWidth="1"/>
    <col min="23" max="16384" width="9.140625" style="864"/>
  </cols>
  <sheetData>
    <row r="4" spans="2:14" ht="15.75">
      <c r="B4" s="859" t="s">
        <v>223</v>
      </c>
      <c r="C4" s="859"/>
      <c r="D4" s="859"/>
      <c r="E4" s="860"/>
      <c r="F4" s="860"/>
      <c r="G4" s="860"/>
      <c r="H4" s="860"/>
      <c r="I4" s="861"/>
      <c r="J4" s="861"/>
      <c r="K4" s="862"/>
    </row>
    <row r="5" spans="2:14" ht="15.75">
      <c r="B5" s="859" t="s">
        <v>182</v>
      </c>
      <c r="C5" s="859"/>
      <c r="D5" s="859"/>
      <c r="E5" s="860"/>
      <c r="F5" s="860"/>
      <c r="G5" s="860"/>
      <c r="H5" s="860"/>
      <c r="I5" s="861"/>
      <c r="J5" s="861"/>
      <c r="K5" s="862"/>
      <c r="L5" s="863" t="s">
        <v>141</v>
      </c>
    </row>
    <row r="6" spans="2:14" ht="6" customHeight="1">
      <c r="B6" s="865"/>
      <c r="C6" s="865"/>
      <c r="D6" s="865"/>
      <c r="E6" s="951"/>
      <c r="F6" s="866"/>
      <c r="G6" s="866"/>
      <c r="H6" s="866"/>
      <c r="I6" s="866"/>
      <c r="J6" s="866"/>
    </row>
    <row r="7" spans="2:14" s="370" customFormat="1" ht="17.25" customHeight="1">
      <c r="B7" s="1298" t="s">
        <v>75</v>
      </c>
      <c r="C7" s="952"/>
      <c r="D7" s="1292" t="s">
        <v>120</v>
      </c>
      <c r="E7" s="1300" t="s">
        <v>189</v>
      </c>
      <c r="F7" s="1301"/>
      <c r="G7" s="1301"/>
      <c r="H7" s="1301"/>
      <c r="I7" s="1301"/>
      <c r="J7" s="953"/>
      <c r="K7" s="1292" t="s">
        <v>179</v>
      </c>
      <c r="L7" s="1290" t="s">
        <v>76</v>
      </c>
      <c r="M7" s="867"/>
      <c r="N7" s="1288" t="s">
        <v>121</v>
      </c>
    </row>
    <row r="8" spans="2:14" s="370" customFormat="1" ht="15.75" customHeight="1">
      <c r="B8" s="1299"/>
      <c r="C8" s="954"/>
      <c r="D8" s="1293"/>
      <c r="E8" s="955" t="s">
        <v>155</v>
      </c>
      <c r="F8" s="871"/>
      <c r="G8" s="956" t="s">
        <v>156</v>
      </c>
      <c r="H8" s="871"/>
      <c r="I8" s="956" t="s">
        <v>170</v>
      </c>
      <c r="J8" s="957"/>
      <c r="K8" s="1302"/>
      <c r="L8" s="1291"/>
      <c r="M8" s="869"/>
      <c r="N8" s="1289"/>
    </row>
    <row r="9" spans="2:14" s="370" customFormat="1" ht="12.6" hidden="1" customHeight="1">
      <c r="B9" s="962">
        <v>2009</v>
      </c>
      <c r="C9" s="884"/>
      <c r="D9" s="882"/>
      <c r="E9" s="958">
        <f>AVERAGE(E27:E38)</f>
        <v>21.560318408438416</v>
      </c>
      <c r="F9" s="959"/>
      <c r="G9" s="959" t="e">
        <f>AVERAGE(G27:G38)</f>
        <v>#REF!</v>
      </c>
      <c r="H9" s="959"/>
      <c r="I9" s="959" t="e">
        <f>AVERAGE(I27:I38)</f>
        <v>#REF!</v>
      </c>
      <c r="J9" s="878"/>
      <c r="K9" s="960"/>
      <c r="L9" s="961"/>
      <c r="M9" s="882"/>
      <c r="N9" s="881"/>
    </row>
    <row r="10" spans="2:14" s="370" customFormat="1" ht="12.6" hidden="1" customHeight="1">
      <c r="B10" s="962">
        <v>2010</v>
      </c>
      <c r="C10" s="884"/>
      <c r="D10" s="882"/>
      <c r="E10" s="958">
        <f>AVERAGE(E39:E50)</f>
        <v>38.510524770097398</v>
      </c>
      <c r="F10" s="959"/>
      <c r="G10" s="959">
        <f>AVERAGE(G39:G50)</f>
        <v>39.08717335548296</v>
      </c>
      <c r="H10" s="959"/>
      <c r="I10" s="959">
        <f>AVERAGE(I39:I50)</f>
        <v>38.798849062790175</v>
      </c>
      <c r="J10" s="878"/>
      <c r="K10" s="960"/>
      <c r="L10" s="961"/>
      <c r="M10" s="882"/>
      <c r="N10" s="881"/>
    </row>
    <row r="11" spans="2:14" s="370" customFormat="1" ht="12.6" hidden="1" customHeight="1">
      <c r="B11" s="962">
        <v>2011</v>
      </c>
      <c r="C11" s="884"/>
      <c r="D11" s="882"/>
      <c r="E11" s="958">
        <f>AVERAGE(E51:E62)</f>
        <v>39.004448106473085</v>
      </c>
      <c r="F11" s="959"/>
      <c r="G11" s="959">
        <f>AVERAGE(G51:G62)</f>
        <v>39.288210386073118</v>
      </c>
      <c r="H11" s="959"/>
      <c r="I11" s="959">
        <f>AVERAGE(I51:I62)</f>
        <v>39.146329246273105</v>
      </c>
      <c r="J11" s="878"/>
      <c r="K11" s="960"/>
      <c r="L11" s="961"/>
      <c r="M11" s="882"/>
      <c r="N11" s="881"/>
    </row>
    <row r="12" spans="2:14" s="370" customFormat="1" ht="12.6" hidden="1" customHeight="1">
      <c r="B12" s="962">
        <v>2012</v>
      </c>
      <c r="C12" s="884"/>
      <c r="D12" s="882"/>
      <c r="E12" s="958">
        <f>AVERAGE(E63:E74)</f>
        <v>38.14240876533966</v>
      </c>
      <c r="F12" s="959"/>
      <c r="G12" s="959">
        <f>AVERAGE(G63:G74)</f>
        <v>41.833515036137484</v>
      </c>
      <c r="H12" s="959"/>
      <c r="I12" s="959">
        <f>AVERAGE(I63:I74)</f>
        <v>39.987961900738568</v>
      </c>
      <c r="J12" s="878"/>
      <c r="K12" s="960"/>
      <c r="L12" s="961"/>
      <c r="M12" s="882"/>
      <c r="N12" s="881"/>
    </row>
    <row r="13" spans="2:14" s="370" customFormat="1" ht="12.6" hidden="1" customHeight="1">
      <c r="B13" s="962">
        <v>2013</v>
      </c>
      <c r="C13" s="884"/>
      <c r="D13" s="882"/>
      <c r="E13" s="958">
        <f>AVERAGE(E75:E86)</f>
        <v>35.517464620597679</v>
      </c>
      <c r="F13" s="959"/>
      <c r="G13" s="959">
        <f>AVERAGE(G75:G86)</f>
        <v>39.938889945608771</v>
      </c>
      <c r="H13" s="959"/>
      <c r="I13" s="959">
        <f>AVERAGE(I75:I86)</f>
        <v>37.728177283103228</v>
      </c>
      <c r="J13" s="878"/>
      <c r="K13" s="960"/>
      <c r="L13" s="961"/>
      <c r="M13" s="882"/>
      <c r="N13" s="881"/>
    </row>
    <row r="14" spans="2:14" s="370" customFormat="1" ht="12.6" hidden="1" customHeight="1">
      <c r="B14" s="962">
        <v>2014</v>
      </c>
      <c r="C14" s="884"/>
      <c r="D14" s="882"/>
      <c r="E14" s="958">
        <f>AVERAGE(E87:E98)</f>
        <v>38.778983910292048</v>
      </c>
      <c r="F14" s="959"/>
      <c r="G14" s="959">
        <f>AVERAGE(G87:G98)</f>
        <v>40.854193147718895</v>
      </c>
      <c r="H14" s="959"/>
      <c r="I14" s="959">
        <f>AVERAGE(I87:I98)</f>
        <v>39.562466400709681</v>
      </c>
      <c r="J14" s="878"/>
      <c r="K14" s="960"/>
      <c r="L14" s="961"/>
      <c r="M14" s="882"/>
      <c r="N14" s="881"/>
    </row>
    <row r="15" spans="2:14" s="370" customFormat="1" ht="12.6" hidden="1" customHeight="1">
      <c r="B15" s="962">
        <v>2015</v>
      </c>
      <c r="C15" s="884"/>
      <c r="D15" s="882"/>
      <c r="E15" s="958">
        <f>AVERAGE(E99:E110)</f>
        <v>38.457763264792383</v>
      </c>
      <c r="F15" s="959"/>
      <c r="G15" s="959">
        <f>AVERAGE(G99:G110)</f>
        <v>40.92791476122914</v>
      </c>
      <c r="H15" s="959"/>
      <c r="I15" s="959">
        <f>AVERAGE(I99:I110)</f>
        <v>39.688672346344099</v>
      </c>
      <c r="J15" s="878"/>
      <c r="K15" s="960"/>
      <c r="L15" s="961"/>
      <c r="M15" s="882"/>
      <c r="N15" s="881"/>
    </row>
    <row r="16" spans="2:14" s="370" customFormat="1" ht="12.6" hidden="1" customHeight="1">
      <c r="B16" s="962">
        <v>2016</v>
      </c>
      <c r="C16" s="884"/>
      <c r="D16" s="882"/>
      <c r="E16" s="958">
        <f>AVERAGE(E111:E122)</f>
        <v>38.451387439506206</v>
      </c>
      <c r="F16" s="959"/>
      <c r="G16" s="959">
        <f>AVERAGE(G111:G122)</f>
        <v>42.017122038534765</v>
      </c>
      <c r="H16" s="959"/>
      <c r="I16" s="959">
        <f>AVERAGE(I111:I122)</f>
        <v>40.234254739020493</v>
      </c>
      <c r="J16" s="878"/>
      <c r="K16" s="960"/>
      <c r="L16" s="961"/>
      <c r="M16" s="882"/>
      <c r="N16" s="881"/>
    </row>
    <row r="17" spans="2:14" s="370" customFormat="1" ht="12.6" hidden="1" customHeight="1">
      <c r="B17" s="962">
        <v>2017</v>
      </c>
      <c r="C17" s="884"/>
      <c r="D17" s="882"/>
      <c r="E17" s="958">
        <f>AVERAGE(E123:E134)</f>
        <v>38.950969564175665</v>
      </c>
      <c r="F17" s="959"/>
      <c r="G17" s="959">
        <f>AVERAGE(G123:G134)</f>
        <v>42.302330749185209</v>
      </c>
      <c r="H17" s="959"/>
      <c r="I17" s="959">
        <f>AVERAGE(I123:I134)</f>
        <v>40.478493829421275</v>
      </c>
      <c r="J17" s="878"/>
      <c r="K17" s="960"/>
      <c r="L17" s="962">
        <v>2017</v>
      </c>
      <c r="M17" s="882"/>
      <c r="N17" s="881"/>
    </row>
    <row r="18" spans="2:14" s="370" customFormat="1" ht="12.6" hidden="1" customHeight="1">
      <c r="B18" s="962">
        <v>2018</v>
      </c>
      <c r="C18" s="884"/>
      <c r="D18" s="882"/>
      <c r="E18" s="958">
        <f>AVERAGE(E135:E146)</f>
        <v>38.886566462780408</v>
      </c>
      <c r="F18" s="959"/>
      <c r="G18" s="959">
        <f>AVERAGE(G135:G146)</f>
        <v>43.220612241416028</v>
      </c>
      <c r="H18" s="959"/>
      <c r="I18" s="959">
        <f>AVERAGE(I135:I146)</f>
        <v>41.053589352098221</v>
      </c>
      <c r="J18" s="878"/>
      <c r="K18" s="960"/>
      <c r="L18" s="962">
        <v>2018</v>
      </c>
      <c r="M18" s="882"/>
      <c r="N18" s="881"/>
    </row>
    <row r="19" spans="2:14" s="370" customFormat="1" ht="12.6" hidden="1" customHeight="1">
      <c r="B19" s="962">
        <v>2019</v>
      </c>
      <c r="C19" s="884"/>
      <c r="D19" s="882"/>
      <c r="E19" s="958">
        <f>AVERAGE(E147:E158)</f>
        <v>39.100097630859388</v>
      </c>
      <c r="F19" s="959"/>
      <c r="G19" s="959">
        <f>AVERAGE(G147:G158)</f>
        <v>42.471814069225609</v>
      </c>
      <c r="H19" s="959"/>
      <c r="I19" s="959">
        <f>AVERAGE(I147:I158)</f>
        <v>40.785955850042505</v>
      </c>
      <c r="J19" s="878"/>
      <c r="K19" s="960"/>
      <c r="L19" s="962">
        <v>2019</v>
      </c>
      <c r="M19" s="882"/>
      <c r="N19" s="881"/>
    </row>
    <row r="20" spans="2:14" s="370" customFormat="1" ht="12.6" hidden="1" customHeight="1">
      <c r="B20" s="962">
        <v>2020</v>
      </c>
      <c r="C20" s="884"/>
      <c r="D20" s="882"/>
      <c r="E20" s="958">
        <f>AVERAGE(E159:E161)</f>
        <v>39.508613265163554</v>
      </c>
      <c r="F20" s="959"/>
      <c r="G20" s="959">
        <f>AVERAGE(G159)</f>
        <v>37.1</v>
      </c>
      <c r="H20" s="959"/>
      <c r="I20" s="959">
        <f>AVERAGE(I159:I161)</f>
        <v>39.791946598496885</v>
      </c>
      <c r="J20" s="878"/>
      <c r="K20" s="960"/>
      <c r="L20" s="962">
        <v>2020</v>
      </c>
      <c r="M20" s="882"/>
      <c r="N20" s="881"/>
    </row>
    <row r="21" spans="2:14" s="370" customFormat="1" ht="12.6" customHeight="1">
      <c r="B21" s="962">
        <v>2021</v>
      </c>
      <c r="C21" s="884"/>
      <c r="D21" s="882"/>
      <c r="E21" s="958">
        <f>AVERAGE(E171:E182)</f>
        <v>0</v>
      </c>
      <c r="F21" s="959"/>
      <c r="G21" s="959">
        <f>AVERAGE(G171:G182)</f>
        <v>0</v>
      </c>
      <c r="H21" s="959"/>
      <c r="I21" s="959">
        <f>AVERAGE(I171:I182)</f>
        <v>0</v>
      </c>
      <c r="J21" s="878"/>
      <c r="K21" s="960"/>
      <c r="L21" s="962">
        <v>2021</v>
      </c>
      <c r="M21" s="882"/>
      <c r="N21" s="881"/>
    </row>
    <row r="22" spans="2:14" s="370" customFormat="1" ht="12.6" customHeight="1">
      <c r="B22" s="962">
        <v>2022</v>
      </c>
      <c r="C22" s="884"/>
      <c r="D22" s="882"/>
      <c r="E22" s="958">
        <f>AVERAGE(E189:E194)</f>
        <v>40.862780771018912</v>
      </c>
      <c r="F22" s="959"/>
      <c r="G22" s="959">
        <f>AVERAGE(G183:G194)</f>
        <v>0</v>
      </c>
      <c r="H22" s="959"/>
      <c r="I22" s="959">
        <f>AVERAGE(I189:I194)</f>
        <v>43.279447437685583</v>
      </c>
      <c r="J22" s="878"/>
      <c r="K22" s="960"/>
      <c r="L22" s="962">
        <v>2022</v>
      </c>
      <c r="M22" s="882"/>
      <c r="N22" s="881"/>
    </row>
    <row r="23" spans="2:14" s="370" customFormat="1" ht="12.6" customHeight="1">
      <c r="B23" s="962">
        <v>2023</v>
      </c>
      <c r="C23" s="884"/>
      <c r="D23" s="882"/>
      <c r="E23" s="958">
        <f>AVERAGE(E195:E206)</f>
        <v>40.517536782659278</v>
      </c>
      <c r="F23" s="959"/>
      <c r="G23" s="959">
        <f t="shared" ref="G23:I23" si="0">AVERAGE(G195:G206)</f>
        <v>30.029238260928015</v>
      </c>
      <c r="H23" s="959"/>
      <c r="I23" s="959">
        <f t="shared" si="0"/>
        <v>42.479239475432401</v>
      </c>
      <c r="J23" s="878"/>
      <c r="K23" s="960"/>
      <c r="L23" s="962">
        <v>2023</v>
      </c>
      <c r="M23" s="882"/>
      <c r="N23" s="881"/>
    </row>
    <row r="24" spans="2:14" s="370" customFormat="1" ht="12.6" customHeight="1">
      <c r="B24" s="962">
        <v>2024</v>
      </c>
      <c r="C24" s="884"/>
      <c r="D24" s="882"/>
      <c r="E24" s="958">
        <f>AVERAGE(E207:E218)</f>
        <v>41.19355409334031</v>
      </c>
      <c r="F24" s="959"/>
      <c r="G24" s="959">
        <f t="shared" ref="G24" si="1">AVERAGE(G207:G218)</f>
        <v>39.841305881450104</v>
      </c>
      <c r="H24" s="959"/>
      <c r="I24" s="959">
        <f>AVERAGE(I207:I218)</f>
        <v>42.299044148410736</v>
      </c>
      <c r="J24" s="878"/>
      <c r="K24" s="960"/>
      <c r="L24" s="962">
        <v>2024</v>
      </c>
      <c r="M24" s="882"/>
      <c r="N24" s="881"/>
    </row>
    <row r="25" spans="2:14" s="370" customFormat="1" ht="12.6" customHeight="1">
      <c r="B25" s="962">
        <v>2025</v>
      </c>
      <c r="C25" s="884"/>
      <c r="D25" s="1192"/>
      <c r="E25" s="959">
        <f>AVERAGE(E219:E230)</f>
        <v>39.359258019695659</v>
      </c>
      <c r="F25" s="959"/>
      <c r="G25" s="959">
        <f t="shared" ref="G25:I25" si="2">AVERAGE(G219:G230)</f>
        <v>48.000337472142633</v>
      </c>
      <c r="H25" s="959"/>
      <c r="I25" s="959">
        <f t="shared" si="2"/>
        <v>40.391413619246094</v>
      </c>
      <c r="J25" s="878"/>
      <c r="K25" s="960"/>
      <c r="L25" s="962">
        <v>2025</v>
      </c>
      <c r="M25" s="882"/>
      <c r="N25" s="881"/>
    </row>
    <row r="26" spans="2:14" s="370" customFormat="1" ht="12.6" customHeight="1">
      <c r="B26" s="963"/>
      <c r="C26" s="884"/>
      <c r="D26" s="882"/>
      <c r="E26" s="964"/>
      <c r="F26" s="876"/>
      <c r="G26" s="876"/>
      <c r="H26" s="876"/>
      <c r="I26" s="876"/>
      <c r="J26" s="878"/>
      <c r="K26" s="960"/>
      <c r="L26" s="961"/>
      <c r="M26" s="882"/>
      <c r="N26" s="881"/>
    </row>
    <row r="27" spans="2:14" s="370" customFormat="1" ht="12.6" hidden="1" customHeight="1">
      <c r="B27" s="874">
        <v>2009</v>
      </c>
      <c r="C27" s="883"/>
      <c r="D27" s="369" t="s">
        <v>33</v>
      </c>
      <c r="E27" s="903">
        <v>0</v>
      </c>
      <c r="F27" s="904"/>
      <c r="G27" s="905">
        <v>0</v>
      </c>
      <c r="H27" s="905"/>
      <c r="I27" s="905">
        <f t="shared" ref="I27:I73" si="3">(E27+G27)/2</f>
        <v>0</v>
      </c>
      <c r="J27" s="906"/>
      <c r="K27" s="965"/>
      <c r="L27" s="347">
        <v>2009</v>
      </c>
      <c r="M27" s="768"/>
      <c r="N27" s="892" t="s">
        <v>33</v>
      </c>
    </row>
    <row r="28" spans="2:14" s="370" customFormat="1" ht="12.6" hidden="1" customHeight="1">
      <c r="B28" s="874">
        <v>2009</v>
      </c>
      <c r="C28" s="883"/>
      <c r="D28" s="369" t="s">
        <v>34</v>
      </c>
      <c r="E28" s="903">
        <v>0</v>
      </c>
      <c r="F28" s="904"/>
      <c r="G28" s="905">
        <v>0</v>
      </c>
      <c r="H28" s="905"/>
      <c r="I28" s="905">
        <f t="shared" si="3"/>
        <v>0</v>
      </c>
      <c r="J28" s="906"/>
      <c r="K28" s="965"/>
      <c r="L28" s="347">
        <v>2009</v>
      </c>
      <c r="M28" s="768"/>
      <c r="N28" s="892" t="s">
        <v>77</v>
      </c>
    </row>
    <row r="29" spans="2:14" s="370" customFormat="1" ht="12.6" hidden="1" customHeight="1">
      <c r="B29" s="874">
        <v>2009</v>
      </c>
      <c r="C29" s="883"/>
      <c r="D29" s="369" t="s">
        <v>29</v>
      </c>
      <c r="E29" s="903">
        <v>0</v>
      </c>
      <c r="F29" s="904"/>
      <c r="G29" s="905">
        <v>0</v>
      </c>
      <c r="H29" s="905"/>
      <c r="I29" s="905">
        <f t="shared" si="3"/>
        <v>0</v>
      </c>
      <c r="J29" s="906"/>
      <c r="K29" s="965"/>
      <c r="L29" s="347">
        <v>2009</v>
      </c>
      <c r="M29" s="768"/>
      <c r="N29" s="892" t="s">
        <v>29</v>
      </c>
    </row>
    <row r="30" spans="2:14" s="370" customFormat="1" ht="12.6" hidden="1" customHeight="1">
      <c r="B30" s="874">
        <v>2009</v>
      </c>
      <c r="C30" s="883"/>
      <c r="D30" s="369" t="s">
        <v>35</v>
      </c>
      <c r="E30" s="903">
        <v>0</v>
      </c>
      <c r="F30" s="904"/>
      <c r="G30" s="905">
        <v>0</v>
      </c>
      <c r="H30" s="905"/>
      <c r="I30" s="905">
        <f t="shared" si="3"/>
        <v>0</v>
      </c>
      <c r="J30" s="906"/>
      <c r="K30" s="965"/>
      <c r="L30" s="347">
        <v>2009</v>
      </c>
      <c r="M30" s="768"/>
      <c r="N30" s="892" t="s">
        <v>78</v>
      </c>
    </row>
    <row r="31" spans="2:14" s="370" customFormat="1" ht="12.6" hidden="1" customHeight="1">
      <c r="B31" s="874">
        <v>2009</v>
      </c>
      <c r="C31" s="883"/>
      <c r="D31" s="369" t="s">
        <v>4</v>
      </c>
      <c r="E31" s="903">
        <v>0</v>
      </c>
      <c r="F31" s="904"/>
      <c r="G31" s="905">
        <v>0</v>
      </c>
      <c r="H31" s="905"/>
      <c r="I31" s="905">
        <f t="shared" si="3"/>
        <v>0</v>
      </c>
      <c r="J31" s="906"/>
      <c r="K31" s="965"/>
      <c r="L31" s="347">
        <v>2009</v>
      </c>
      <c r="M31" s="768"/>
      <c r="N31" s="892" t="s">
        <v>79</v>
      </c>
    </row>
    <row r="32" spans="2:14" s="370" customFormat="1" ht="12.6" hidden="1" customHeight="1">
      <c r="B32" s="874">
        <v>2009</v>
      </c>
      <c r="C32" s="883"/>
      <c r="D32" s="369" t="s">
        <v>30</v>
      </c>
      <c r="E32" s="903">
        <v>37.4</v>
      </c>
      <c r="F32" s="904"/>
      <c r="G32" s="904">
        <v>38.89</v>
      </c>
      <c r="H32" s="904"/>
      <c r="I32" s="905">
        <f t="shared" si="3"/>
        <v>38.144999999999996</v>
      </c>
      <c r="J32" s="906"/>
      <c r="K32" s="966" t="str">
        <f>REPT("|",I32)</f>
        <v>||||||||||||||||||||||||||||||||||||||</v>
      </c>
      <c r="L32" s="347">
        <v>2009</v>
      </c>
      <c r="M32" s="768"/>
      <c r="N32" s="892" t="s">
        <v>80</v>
      </c>
    </row>
    <row r="33" spans="2:14" s="370" customFormat="1" ht="12.6" hidden="1" customHeight="1">
      <c r="B33" s="874">
        <v>2009</v>
      </c>
      <c r="C33" s="883"/>
      <c r="D33" s="369" t="s">
        <v>36</v>
      </c>
      <c r="E33" s="903">
        <v>35</v>
      </c>
      <c r="F33" s="904"/>
      <c r="G33" s="904">
        <v>38.89</v>
      </c>
      <c r="H33" s="904"/>
      <c r="I33" s="905">
        <f t="shared" si="3"/>
        <v>36.945</v>
      </c>
      <c r="J33" s="906"/>
      <c r="K33" s="966" t="str">
        <f t="shared" ref="K33:K71" si="4">REPT("|",I33)</f>
        <v>||||||||||||||||||||||||||||||||||||</v>
      </c>
      <c r="L33" s="347">
        <v>2009</v>
      </c>
      <c r="M33" s="768"/>
      <c r="N33" s="892" t="s">
        <v>81</v>
      </c>
    </row>
    <row r="34" spans="2:14" s="370" customFormat="1" ht="12.6" hidden="1" customHeight="1">
      <c r="B34" s="874">
        <v>2009</v>
      </c>
      <c r="C34" s="883"/>
      <c r="D34" s="369" t="s">
        <v>37</v>
      </c>
      <c r="E34" s="903">
        <v>39.299999999999997</v>
      </c>
      <c r="F34" s="904"/>
      <c r="G34" s="904">
        <v>42.87</v>
      </c>
      <c r="H34" s="904"/>
      <c r="I34" s="905">
        <f t="shared" si="3"/>
        <v>41.084999999999994</v>
      </c>
      <c r="J34" s="906"/>
      <c r="K34" s="966" t="str">
        <f t="shared" si="4"/>
        <v>|||||||||||||||||||||||||||||||||||||||||</v>
      </c>
      <c r="L34" s="347">
        <v>2009</v>
      </c>
      <c r="M34" s="768"/>
      <c r="N34" s="892" t="s">
        <v>82</v>
      </c>
    </row>
    <row r="35" spans="2:14" s="370" customFormat="1" ht="12.6" hidden="1" customHeight="1">
      <c r="B35" s="874">
        <v>2009</v>
      </c>
      <c r="C35" s="883"/>
      <c r="D35" s="369" t="s">
        <v>31</v>
      </c>
      <c r="E35" s="903">
        <v>37.342087425189412</v>
      </c>
      <c r="F35" s="904"/>
      <c r="G35" s="904" t="e">
        <v>#REF!</v>
      </c>
      <c r="H35" s="904"/>
      <c r="I35" s="905" t="e">
        <f t="shared" si="3"/>
        <v>#REF!</v>
      </c>
      <c r="J35" s="906"/>
      <c r="K35" s="966" t="e">
        <f t="shared" si="4"/>
        <v>#REF!</v>
      </c>
      <c r="L35" s="347">
        <v>2009</v>
      </c>
      <c r="M35" s="768"/>
      <c r="N35" s="892" t="s">
        <v>31</v>
      </c>
    </row>
    <row r="36" spans="2:14" s="370" customFormat="1" ht="12.6" hidden="1" customHeight="1">
      <c r="B36" s="874">
        <v>2009</v>
      </c>
      <c r="C36" s="883"/>
      <c r="D36" s="369" t="s">
        <v>38</v>
      </c>
      <c r="E36" s="903">
        <v>38.9</v>
      </c>
      <c r="F36" s="904"/>
      <c r="G36" s="904">
        <v>40.200000000000003</v>
      </c>
      <c r="H36" s="904"/>
      <c r="I36" s="905">
        <f t="shared" si="3"/>
        <v>39.549999999999997</v>
      </c>
      <c r="J36" s="906"/>
      <c r="K36" s="966" t="str">
        <f t="shared" si="4"/>
        <v>|||||||||||||||||||||||||||||||||||||||</v>
      </c>
      <c r="L36" s="347">
        <v>2009</v>
      </c>
      <c r="M36" s="768"/>
      <c r="N36" s="892" t="s">
        <v>49</v>
      </c>
    </row>
    <row r="37" spans="2:14" s="370" customFormat="1" ht="12.6" hidden="1" customHeight="1">
      <c r="B37" s="874">
        <v>2009</v>
      </c>
      <c r="C37" s="883"/>
      <c r="D37" s="369" t="s">
        <v>39</v>
      </c>
      <c r="E37" s="903">
        <v>37.1</v>
      </c>
      <c r="F37" s="904"/>
      <c r="G37" s="904">
        <v>41.8</v>
      </c>
      <c r="H37" s="904"/>
      <c r="I37" s="905">
        <f t="shared" si="3"/>
        <v>39.450000000000003</v>
      </c>
      <c r="J37" s="906"/>
      <c r="K37" s="369" t="str">
        <f>REPT("|",I37)</f>
        <v>|||||||||||||||||||||||||||||||||||||||</v>
      </c>
      <c r="L37" s="347">
        <v>2009</v>
      </c>
      <c r="M37" s="768"/>
      <c r="N37" s="892" t="s">
        <v>39</v>
      </c>
    </row>
    <row r="38" spans="2:14" s="370" customFormat="1" ht="12.6" hidden="1" customHeight="1">
      <c r="B38" s="874">
        <v>2009</v>
      </c>
      <c r="C38" s="883"/>
      <c r="D38" s="369" t="s">
        <v>32</v>
      </c>
      <c r="E38" s="903">
        <v>33.681733476071578</v>
      </c>
      <c r="F38" s="904"/>
      <c r="G38" s="904">
        <v>33.950000000000003</v>
      </c>
      <c r="H38" s="904"/>
      <c r="I38" s="905">
        <f t="shared" si="3"/>
        <v>33.815866738035794</v>
      </c>
      <c r="J38" s="906"/>
      <c r="K38" s="369" t="str">
        <f t="shared" si="4"/>
        <v>|||||||||||||||||||||||||||||||||</v>
      </c>
      <c r="L38" s="347">
        <v>2009</v>
      </c>
      <c r="M38" s="768"/>
      <c r="N38" s="892" t="s">
        <v>32</v>
      </c>
    </row>
    <row r="39" spans="2:14" s="370" customFormat="1" ht="12.6" hidden="1" customHeight="1">
      <c r="B39" s="874">
        <v>2010</v>
      </c>
      <c r="C39" s="883"/>
      <c r="D39" s="369" t="s">
        <v>33</v>
      </c>
      <c r="E39" s="903">
        <v>34</v>
      </c>
      <c r="F39" s="904"/>
      <c r="G39" s="904">
        <v>37.1</v>
      </c>
      <c r="H39" s="904"/>
      <c r="I39" s="905">
        <f t="shared" si="3"/>
        <v>35.549999999999997</v>
      </c>
      <c r="J39" s="906"/>
      <c r="K39" s="369" t="str">
        <f t="shared" si="4"/>
        <v>|||||||||||||||||||||||||||||||||||</v>
      </c>
      <c r="L39" s="347">
        <v>2010</v>
      </c>
      <c r="M39" s="768"/>
      <c r="N39" s="892" t="s">
        <v>33</v>
      </c>
    </row>
    <row r="40" spans="2:14" s="370" customFormat="1" ht="12.6" hidden="1" customHeight="1">
      <c r="B40" s="874">
        <v>2010</v>
      </c>
      <c r="C40" s="883"/>
      <c r="D40" s="369" t="s">
        <v>34</v>
      </c>
      <c r="E40" s="903">
        <v>38.044755579488978</v>
      </c>
      <c r="F40" s="904"/>
      <c r="G40" s="904">
        <v>42.875242248062015</v>
      </c>
      <c r="H40" s="904"/>
      <c r="I40" s="905">
        <f t="shared" si="3"/>
        <v>40.459998913775493</v>
      </c>
      <c r="J40" s="906"/>
      <c r="K40" s="369" t="str">
        <f t="shared" si="4"/>
        <v>||||||||||||||||||||||||||||||||||||||||</v>
      </c>
      <c r="L40" s="347">
        <v>2010</v>
      </c>
      <c r="M40" s="768"/>
      <c r="N40" s="892" t="s">
        <v>77</v>
      </c>
    </row>
    <row r="41" spans="2:14" s="370" customFormat="1" ht="12.6" hidden="1" customHeight="1">
      <c r="B41" s="874">
        <v>2010</v>
      </c>
      <c r="C41" s="883"/>
      <c r="D41" s="369" t="s">
        <v>29</v>
      </c>
      <c r="E41" s="903">
        <v>40.04149228</v>
      </c>
      <c r="F41" s="904"/>
      <c r="G41" s="904">
        <v>27.25</v>
      </c>
      <c r="H41" s="904"/>
      <c r="I41" s="905">
        <f t="shared" si="3"/>
        <v>33.64574614</v>
      </c>
      <c r="J41" s="906"/>
      <c r="K41" s="369" t="str">
        <f t="shared" si="4"/>
        <v>|||||||||||||||||||||||||||||||||</v>
      </c>
      <c r="L41" s="347">
        <v>2010</v>
      </c>
      <c r="M41" s="768"/>
      <c r="N41" s="892" t="s">
        <v>29</v>
      </c>
    </row>
    <row r="42" spans="2:14" s="370" customFormat="1" ht="12.6" hidden="1" customHeight="1">
      <c r="B42" s="874">
        <v>2010</v>
      </c>
      <c r="C42" s="883"/>
      <c r="D42" s="369" t="s">
        <v>35</v>
      </c>
      <c r="E42" s="903">
        <v>38.551782682512766</v>
      </c>
      <c r="F42" s="904"/>
      <c r="G42" s="904">
        <v>42.313095238000002</v>
      </c>
      <c r="H42" s="904"/>
      <c r="I42" s="905">
        <f t="shared" si="3"/>
        <v>40.432438960256384</v>
      </c>
      <c r="J42" s="906"/>
      <c r="K42" s="369" t="str">
        <f t="shared" si="4"/>
        <v>||||||||||||||||||||||||||||||||||||||||</v>
      </c>
      <c r="L42" s="347">
        <v>2010</v>
      </c>
      <c r="M42" s="768"/>
      <c r="N42" s="892" t="s">
        <v>78</v>
      </c>
    </row>
    <row r="43" spans="2:14" s="370" customFormat="1" ht="12.6" hidden="1" customHeight="1">
      <c r="B43" s="874">
        <v>2010</v>
      </c>
      <c r="C43" s="883"/>
      <c r="D43" s="369" t="s">
        <v>4</v>
      </c>
      <c r="E43" s="903">
        <v>40.804200642451264</v>
      </c>
      <c r="F43" s="904"/>
      <c r="G43" s="904">
        <v>46.6</v>
      </c>
      <c r="H43" s="904"/>
      <c r="I43" s="905">
        <f t="shared" si="3"/>
        <v>43.702100321225629</v>
      </c>
      <c r="J43" s="906"/>
      <c r="K43" s="369" t="str">
        <f t="shared" si="4"/>
        <v>|||||||||||||||||||||||||||||||||||||||||||</v>
      </c>
      <c r="L43" s="347">
        <v>2010</v>
      </c>
      <c r="M43" s="768"/>
      <c r="N43" s="892" t="s">
        <v>79</v>
      </c>
    </row>
    <row r="44" spans="2:14" s="370" customFormat="1" ht="12.6" hidden="1" customHeight="1">
      <c r="B44" s="874">
        <v>2010</v>
      </c>
      <c r="C44" s="883"/>
      <c r="D44" s="369" t="s">
        <v>30</v>
      </c>
      <c r="E44" s="903">
        <v>37.783802392632737</v>
      </c>
      <c r="F44" s="904"/>
      <c r="G44" s="904">
        <v>33.526314999999997</v>
      </c>
      <c r="H44" s="904"/>
      <c r="I44" s="905">
        <f t="shared" si="3"/>
        <v>35.655058696316367</v>
      </c>
      <c r="J44" s="906"/>
      <c r="K44" s="369" t="str">
        <f t="shared" si="4"/>
        <v>|||||||||||||||||||||||||||||||||||</v>
      </c>
      <c r="L44" s="347">
        <v>2010</v>
      </c>
      <c r="M44" s="768"/>
      <c r="N44" s="892" t="s">
        <v>80</v>
      </c>
    </row>
    <row r="45" spans="2:14" s="370" customFormat="1" ht="12.6" hidden="1" customHeight="1">
      <c r="B45" s="874">
        <v>2010</v>
      </c>
      <c r="C45" s="883"/>
      <c r="D45" s="369" t="s">
        <v>36</v>
      </c>
      <c r="E45" s="903">
        <v>40.197052643220765</v>
      </c>
      <c r="F45" s="904"/>
      <c r="G45" s="904">
        <v>40.442720000000001</v>
      </c>
      <c r="H45" s="904"/>
      <c r="I45" s="905">
        <f t="shared" si="3"/>
        <v>40.319886321610383</v>
      </c>
      <c r="J45" s="906"/>
      <c r="K45" s="369" t="str">
        <f t="shared" si="4"/>
        <v>||||||||||||||||||||||||||||||||||||||||</v>
      </c>
      <c r="L45" s="347">
        <v>2010</v>
      </c>
      <c r="M45" s="768"/>
      <c r="N45" s="892" t="s">
        <v>81</v>
      </c>
    </row>
    <row r="46" spans="2:14" s="370" customFormat="1" ht="12.6" hidden="1" customHeight="1">
      <c r="B46" s="874">
        <v>2010</v>
      </c>
      <c r="C46" s="883"/>
      <c r="D46" s="369" t="s">
        <v>37</v>
      </c>
      <c r="E46" s="903">
        <v>41.239537504023986</v>
      </c>
      <c r="F46" s="904"/>
      <c r="G46" s="904">
        <v>45.957663451000002</v>
      </c>
      <c r="H46" s="904"/>
      <c r="I46" s="905">
        <f t="shared" si="3"/>
        <v>43.598600477511994</v>
      </c>
      <c r="J46" s="906"/>
      <c r="K46" s="369" t="str">
        <f t="shared" si="4"/>
        <v>|||||||||||||||||||||||||||||||||||||||||||</v>
      </c>
      <c r="L46" s="347">
        <v>2010</v>
      </c>
      <c r="M46" s="768"/>
      <c r="N46" s="892" t="s">
        <v>82</v>
      </c>
    </row>
    <row r="47" spans="2:14" s="370" customFormat="1" ht="12.6" hidden="1" customHeight="1">
      <c r="B47" s="874">
        <v>2010</v>
      </c>
      <c r="C47" s="883"/>
      <c r="D47" s="369" t="s">
        <v>31</v>
      </c>
      <c r="E47" s="903">
        <v>36.815697091273883</v>
      </c>
      <c r="F47" s="904"/>
      <c r="G47" s="904">
        <v>37.703287197000002</v>
      </c>
      <c r="H47" s="904"/>
      <c r="I47" s="905">
        <f t="shared" si="3"/>
        <v>37.259492144136942</v>
      </c>
      <c r="J47" s="906"/>
      <c r="K47" s="369" t="str">
        <f t="shared" si="4"/>
        <v>|||||||||||||||||||||||||||||||||||||</v>
      </c>
      <c r="L47" s="347">
        <v>2010</v>
      </c>
      <c r="M47" s="768"/>
      <c r="N47" s="892" t="s">
        <v>31</v>
      </c>
    </row>
    <row r="48" spans="2:14" s="370" customFormat="1" ht="12.6" hidden="1" customHeight="1">
      <c r="B48" s="874">
        <v>2010</v>
      </c>
      <c r="C48" s="883"/>
      <c r="D48" s="369" t="s">
        <v>38</v>
      </c>
      <c r="E48" s="903">
        <v>38.921039999999998</v>
      </c>
      <c r="F48" s="904"/>
      <c r="G48" s="904">
        <v>40.200000000000003</v>
      </c>
      <c r="H48" s="904"/>
      <c r="I48" s="905">
        <f t="shared" si="3"/>
        <v>39.560519999999997</v>
      </c>
      <c r="J48" s="906"/>
      <c r="K48" s="369" t="str">
        <f t="shared" si="4"/>
        <v>|||||||||||||||||||||||||||||||||||||||</v>
      </c>
      <c r="L48" s="347">
        <v>2010</v>
      </c>
      <c r="M48" s="768"/>
      <c r="N48" s="892" t="s">
        <v>49</v>
      </c>
    </row>
    <row r="49" spans="2:14" s="370" customFormat="1" ht="12.6" hidden="1" customHeight="1">
      <c r="B49" s="874">
        <v>2010</v>
      </c>
      <c r="C49" s="883"/>
      <c r="D49" s="369" t="s">
        <v>39</v>
      </c>
      <c r="E49" s="903">
        <v>38.606435643564367</v>
      </c>
      <c r="F49" s="904"/>
      <c r="G49" s="904">
        <v>41.8</v>
      </c>
      <c r="H49" s="904"/>
      <c r="I49" s="905">
        <f t="shared" si="3"/>
        <v>40.203217821782182</v>
      </c>
      <c r="J49" s="906"/>
      <c r="K49" s="369" t="str">
        <f t="shared" si="4"/>
        <v>||||||||||||||||||||||||||||||||||||||||</v>
      </c>
      <c r="L49" s="347">
        <v>2010</v>
      </c>
      <c r="M49" s="768"/>
      <c r="N49" s="892" t="s">
        <v>39</v>
      </c>
    </row>
    <row r="50" spans="2:14" s="370" customFormat="1" ht="12.6" hidden="1" customHeight="1">
      <c r="B50" s="874">
        <v>2010</v>
      </c>
      <c r="C50" s="883"/>
      <c r="D50" s="369" t="s">
        <v>32</v>
      </c>
      <c r="E50" s="903">
        <v>37.120500782000001</v>
      </c>
      <c r="F50" s="904"/>
      <c r="G50" s="904">
        <v>33.27775713173348</v>
      </c>
      <c r="H50" s="904"/>
      <c r="I50" s="905">
        <f t="shared" si="3"/>
        <v>35.199128956866744</v>
      </c>
      <c r="J50" s="906"/>
      <c r="K50" s="369" t="str">
        <f t="shared" si="4"/>
        <v>|||||||||||||||||||||||||||||||||||</v>
      </c>
      <c r="L50" s="347">
        <v>2010</v>
      </c>
      <c r="M50" s="768"/>
      <c r="N50" s="892" t="s">
        <v>32</v>
      </c>
    </row>
    <row r="51" spans="2:14" s="370" customFormat="1" ht="12.6" hidden="1" customHeight="1">
      <c r="B51" s="874">
        <v>2011</v>
      </c>
      <c r="C51" s="883"/>
      <c r="D51" s="369" t="s">
        <v>33</v>
      </c>
      <c r="E51" s="903">
        <v>32.925784239999999</v>
      </c>
      <c r="F51" s="904"/>
      <c r="G51" s="904">
        <v>38.414828430999997</v>
      </c>
      <c r="H51" s="904"/>
      <c r="I51" s="905">
        <f t="shared" si="3"/>
        <v>35.670306335500001</v>
      </c>
      <c r="J51" s="906"/>
      <c r="K51" s="369" t="str">
        <f t="shared" si="4"/>
        <v>|||||||||||||||||||||||||||||||||||</v>
      </c>
      <c r="L51" s="347">
        <v>2011</v>
      </c>
      <c r="M51" s="768"/>
      <c r="N51" s="892" t="s">
        <v>33</v>
      </c>
    </row>
    <row r="52" spans="2:14" s="370" customFormat="1" ht="12.6" hidden="1" customHeight="1">
      <c r="B52" s="874">
        <v>2011</v>
      </c>
      <c r="C52" s="883"/>
      <c r="D52" s="369" t="s">
        <v>34</v>
      </c>
      <c r="E52" s="903">
        <v>35.361950649729771</v>
      </c>
      <c r="F52" s="904"/>
      <c r="G52" s="904">
        <v>43.471264367816097</v>
      </c>
      <c r="H52" s="904"/>
      <c r="I52" s="905">
        <f t="shared" si="3"/>
        <v>39.416607508772934</v>
      </c>
      <c r="J52" s="906"/>
      <c r="K52" s="369" t="str">
        <f t="shared" si="4"/>
        <v>|||||||||||||||||||||||||||||||||||||||</v>
      </c>
      <c r="L52" s="347">
        <v>2011</v>
      </c>
      <c r="M52" s="768"/>
      <c r="N52" s="892" t="s">
        <v>77</v>
      </c>
    </row>
    <row r="53" spans="2:14" s="370" customFormat="1" ht="12.6" hidden="1" customHeight="1">
      <c r="B53" s="874">
        <v>2011</v>
      </c>
      <c r="C53" s="883"/>
      <c r="D53" s="369" t="s">
        <v>29</v>
      </c>
      <c r="E53" s="903">
        <v>41.044335907920683</v>
      </c>
      <c r="F53" s="904"/>
      <c r="G53" s="904">
        <v>45.301971330000001</v>
      </c>
      <c r="H53" s="904"/>
      <c r="I53" s="905">
        <f t="shared" si="3"/>
        <v>43.173153618960342</v>
      </c>
      <c r="J53" s="906"/>
      <c r="K53" s="369" t="str">
        <f t="shared" si="4"/>
        <v>|||||||||||||||||||||||||||||||||||||||||||</v>
      </c>
      <c r="L53" s="347">
        <v>2011</v>
      </c>
      <c r="M53" s="768"/>
      <c r="N53" s="892" t="s">
        <v>29</v>
      </c>
    </row>
    <row r="54" spans="2:14" s="370" customFormat="1" ht="12.6" hidden="1" customHeight="1">
      <c r="B54" s="874">
        <v>2011</v>
      </c>
      <c r="C54" s="883"/>
      <c r="D54" s="369" t="s">
        <v>35</v>
      </c>
      <c r="E54" s="903">
        <v>37.029868535105358</v>
      </c>
      <c r="F54" s="904"/>
      <c r="G54" s="904">
        <v>21.873234462999999</v>
      </c>
      <c r="H54" s="904"/>
      <c r="I54" s="905">
        <f t="shared" si="3"/>
        <v>29.451551499052677</v>
      </c>
      <c r="J54" s="906"/>
      <c r="K54" s="369" t="str">
        <f t="shared" si="4"/>
        <v>|||||||||||||||||||||||||||||</v>
      </c>
      <c r="L54" s="347">
        <v>2011</v>
      </c>
      <c r="M54" s="768"/>
      <c r="N54" s="892" t="s">
        <v>78</v>
      </c>
    </row>
    <row r="55" spans="2:14" s="370" customFormat="1" ht="12.6" hidden="1" customHeight="1">
      <c r="B55" s="874">
        <v>2011</v>
      </c>
      <c r="C55" s="883"/>
      <c r="D55" s="369" t="s">
        <v>4</v>
      </c>
      <c r="E55" s="903">
        <v>40.932354196681018</v>
      </c>
      <c r="F55" s="904"/>
      <c r="G55" s="904">
        <v>47.169627749577025</v>
      </c>
      <c r="H55" s="904"/>
      <c r="I55" s="905">
        <f t="shared" si="3"/>
        <v>44.050990973129018</v>
      </c>
      <c r="J55" s="906"/>
      <c r="K55" s="369" t="str">
        <f t="shared" si="4"/>
        <v>||||||||||||||||||||||||||||||||||||||||||||</v>
      </c>
      <c r="L55" s="347">
        <v>2011</v>
      </c>
      <c r="M55" s="768"/>
      <c r="N55" s="892" t="s">
        <v>79</v>
      </c>
    </row>
    <row r="56" spans="2:14" s="370" customFormat="1" ht="12.6" hidden="1" customHeight="1">
      <c r="B56" s="874">
        <v>2011</v>
      </c>
      <c r="D56" s="369" t="s">
        <v>30</v>
      </c>
      <c r="E56" s="903">
        <v>39.819292058516268</v>
      </c>
      <c r="F56" s="904"/>
      <c r="G56" s="904">
        <v>39.38805031446541</v>
      </c>
      <c r="H56" s="904"/>
      <c r="I56" s="905">
        <f t="shared" si="3"/>
        <v>39.603671186490843</v>
      </c>
      <c r="J56" s="906"/>
      <c r="K56" s="369" t="str">
        <f t="shared" si="4"/>
        <v>|||||||||||||||||||||||||||||||||||||||</v>
      </c>
      <c r="L56" s="347">
        <v>2011</v>
      </c>
      <c r="M56" s="768"/>
      <c r="N56" s="892" t="s">
        <v>80</v>
      </c>
    </row>
    <row r="57" spans="2:14" s="370" customFormat="1" ht="12.6" hidden="1" customHeight="1">
      <c r="B57" s="874">
        <v>2011</v>
      </c>
      <c r="D57" s="369" t="s">
        <v>36</v>
      </c>
      <c r="E57" s="903">
        <v>38.320328246472741</v>
      </c>
      <c r="F57" s="904"/>
      <c r="G57" s="904">
        <v>41.545967741935499</v>
      </c>
      <c r="H57" s="904"/>
      <c r="I57" s="905">
        <f t="shared" si="3"/>
        <v>39.93314799420412</v>
      </c>
      <c r="J57" s="906"/>
      <c r="K57" s="369" t="str">
        <f t="shared" si="4"/>
        <v>|||||||||||||||||||||||||||||||||||||||</v>
      </c>
      <c r="L57" s="347">
        <v>2011</v>
      </c>
      <c r="M57" s="768"/>
      <c r="N57" s="892" t="s">
        <v>81</v>
      </c>
    </row>
    <row r="58" spans="2:14" s="370" customFormat="1" ht="12.6" hidden="1" customHeight="1">
      <c r="B58" s="874">
        <v>2011</v>
      </c>
      <c r="D58" s="369" t="s">
        <v>37</v>
      </c>
      <c r="E58" s="903">
        <v>41.350063028993262</v>
      </c>
      <c r="F58" s="904"/>
      <c r="G58" s="904">
        <v>36.702316076294302</v>
      </c>
      <c r="H58" s="904"/>
      <c r="I58" s="905">
        <f t="shared" si="3"/>
        <v>39.026189552643785</v>
      </c>
      <c r="J58" s="906"/>
      <c r="K58" s="369" t="str">
        <f t="shared" si="4"/>
        <v>|||||||||||||||||||||||||||||||||||||||</v>
      </c>
      <c r="L58" s="347">
        <v>2011</v>
      </c>
      <c r="M58" s="768"/>
      <c r="N58" s="892" t="s">
        <v>82</v>
      </c>
    </row>
    <row r="59" spans="2:14" s="370" customFormat="1" ht="12.6" hidden="1" customHeight="1">
      <c r="B59" s="874">
        <v>2011</v>
      </c>
      <c r="D59" s="369" t="s">
        <v>31</v>
      </c>
      <c r="E59" s="903">
        <v>38.641747256329452</v>
      </c>
      <c r="F59" s="904"/>
      <c r="G59" s="904">
        <v>43.148445092322625</v>
      </c>
      <c r="H59" s="904"/>
      <c r="I59" s="905">
        <f t="shared" si="3"/>
        <v>40.895096174326042</v>
      </c>
      <c r="J59" s="906"/>
      <c r="K59" s="369" t="str">
        <f t="shared" si="4"/>
        <v>||||||||||||||||||||||||||||||||||||||||</v>
      </c>
      <c r="L59" s="347">
        <v>2011</v>
      </c>
      <c r="M59" s="768"/>
      <c r="N59" s="892" t="s">
        <v>31</v>
      </c>
    </row>
    <row r="60" spans="2:14" s="370" customFormat="1" ht="12.6" hidden="1" customHeight="1">
      <c r="B60" s="874">
        <v>2011</v>
      </c>
      <c r="D60" s="369" t="s">
        <v>38</v>
      </c>
      <c r="E60" s="903">
        <v>39.162786290000753</v>
      </c>
      <c r="F60" s="904"/>
      <c r="G60" s="904">
        <v>40.704946996466418</v>
      </c>
      <c r="H60" s="904"/>
      <c r="I60" s="905">
        <f t="shared" si="3"/>
        <v>39.933866643233586</v>
      </c>
      <c r="J60" s="906"/>
      <c r="K60" s="369" t="str">
        <f t="shared" si="4"/>
        <v>|||||||||||||||||||||||||||||||||||||||</v>
      </c>
      <c r="L60" s="347">
        <v>2011</v>
      </c>
      <c r="M60" s="768"/>
      <c r="N60" s="892" t="s">
        <v>49</v>
      </c>
    </row>
    <row r="61" spans="2:14" s="370" customFormat="1" ht="12.6" hidden="1" customHeight="1">
      <c r="B61" s="874">
        <v>2011</v>
      </c>
      <c r="D61" s="369" t="s">
        <v>39</v>
      </c>
      <c r="E61" s="903">
        <v>38.705675687927716</v>
      </c>
      <c r="F61" s="904"/>
      <c r="G61" s="904">
        <v>36.783499450000001</v>
      </c>
      <c r="H61" s="904"/>
      <c r="I61" s="905">
        <f t="shared" si="3"/>
        <v>37.744587568963858</v>
      </c>
      <c r="J61" s="906"/>
      <c r="K61" s="369" t="str">
        <f t="shared" si="4"/>
        <v>|||||||||||||||||||||||||||||||||||||</v>
      </c>
      <c r="L61" s="347">
        <v>2011</v>
      </c>
      <c r="M61" s="768"/>
      <c r="N61" s="892" t="s">
        <v>39</v>
      </c>
    </row>
    <row r="62" spans="2:14" s="370" customFormat="1" ht="12.6" hidden="1" customHeight="1">
      <c r="B62" s="874">
        <v>2011</v>
      </c>
      <c r="D62" s="369" t="s">
        <v>32</v>
      </c>
      <c r="E62" s="903">
        <v>44.759191180000002</v>
      </c>
      <c r="F62" s="904"/>
      <c r="G62" s="904">
        <v>36.954372620000001</v>
      </c>
      <c r="H62" s="904"/>
      <c r="I62" s="905">
        <f t="shared" si="3"/>
        <v>40.856781900000001</v>
      </c>
      <c r="J62" s="906"/>
      <c r="K62" s="369" t="str">
        <f t="shared" si="4"/>
        <v>||||||||||||||||||||||||||||||||||||||||</v>
      </c>
      <c r="L62" s="347">
        <v>2011</v>
      </c>
      <c r="M62" s="768"/>
      <c r="N62" s="892" t="s">
        <v>32</v>
      </c>
    </row>
    <row r="63" spans="2:14" s="370" customFormat="1" ht="12.6" hidden="1" customHeight="1">
      <c r="B63" s="874">
        <v>2012</v>
      </c>
      <c r="C63" s="883"/>
      <c r="D63" s="369" t="s">
        <v>33</v>
      </c>
      <c r="E63" s="903">
        <v>33.99899543379005</v>
      </c>
      <c r="F63" s="904"/>
      <c r="G63" s="904">
        <v>36.500508130081307</v>
      </c>
      <c r="H63" s="904"/>
      <c r="I63" s="905">
        <f t="shared" si="3"/>
        <v>35.249751781935679</v>
      </c>
      <c r="J63" s="906"/>
      <c r="K63" s="369" t="str">
        <f t="shared" si="4"/>
        <v>|||||||||||||||||||||||||||||||||||</v>
      </c>
      <c r="L63" s="347">
        <v>2012</v>
      </c>
      <c r="M63" s="768"/>
      <c r="N63" s="892" t="s">
        <v>33</v>
      </c>
    </row>
    <row r="64" spans="2:14" s="370" customFormat="1" ht="12.6" hidden="1" customHeight="1">
      <c r="B64" s="874">
        <v>2012</v>
      </c>
      <c r="C64" s="883"/>
      <c r="D64" s="369" t="s">
        <v>34</v>
      </c>
      <c r="E64" s="903">
        <v>38.742467149977415</v>
      </c>
      <c r="F64" s="904"/>
      <c r="G64" s="904">
        <v>45.933908045977006</v>
      </c>
      <c r="H64" s="904"/>
      <c r="I64" s="905">
        <f t="shared" si="3"/>
        <v>42.33818759797721</v>
      </c>
      <c r="J64" s="906"/>
      <c r="K64" s="369" t="str">
        <f t="shared" si="4"/>
        <v>||||||||||||||||||||||||||||||||||||||||||</v>
      </c>
      <c r="L64" s="347">
        <v>2012</v>
      </c>
      <c r="M64" s="768"/>
      <c r="N64" s="892" t="s">
        <v>77</v>
      </c>
    </row>
    <row r="65" spans="2:34" s="370" customFormat="1" ht="12.6" hidden="1" customHeight="1">
      <c r="B65" s="874">
        <v>2012</v>
      </c>
      <c r="C65" s="883"/>
      <c r="D65" s="369" t="s">
        <v>29</v>
      </c>
      <c r="E65" s="903">
        <v>38.041463414634229</v>
      </c>
      <c r="F65" s="904"/>
      <c r="G65" s="904">
        <v>42.915794066317595</v>
      </c>
      <c r="H65" s="904"/>
      <c r="I65" s="967">
        <f>SUM(E65:G65)/2</f>
        <v>40.478628740475912</v>
      </c>
      <c r="J65" s="906"/>
      <c r="K65" s="369" t="str">
        <f t="shared" si="4"/>
        <v>||||||||||||||||||||||||||||||||||||||||</v>
      </c>
      <c r="L65" s="347">
        <v>2012</v>
      </c>
      <c r="M65" s="768"/>
      <c r="N65" s="892" t="s">
        <v>78</v>
      </c>
    </row>
    <row r="66" spans="2:34" s="370" customFormat="1" ht="12.6" hidden="1" customHeight="1">
      <c r="B66" s="874">
        <v>2012</v>
      </c>
      <c r="C66" s="883"/>
      <c r="D66" s="369" t="s">
        <v>35</v>
      </c>
      <c r="E66" s="903">
        <v>38.041463414634229</v>
      </c>
      <c r="F66" s="904"/>
      <c r="G66" s="904">
        <v>42.915794066317595</v>
      </c>
      <c r="H66" s="904"/>
      <c r="I66" s="905">
        <f t="shared" si="3"/>
        <v>40.478628740475912</v>
      </c>
      <c r="J66" s="906"/>
      <c r="K66" s="369" t="str">
        <f t="shared" si="4"/>
        <v>||||||||||||||||||||||||||||||||||||||||</v>
      </c>
      <c r="L66" s="347">
        <v>2012</v>
      </c>
      <c r="M66" s="768"/>
      <c r="N66" s="892" t="s">
        <v>78</v>
      </c>
    </row>
    <row r="67" spans="2:34" s="370" customFormat="1" ht="12.6" hidden="1" customHeight="1">
      <c r="B67" s="874">
        <v>2012</v>
      </c>
      <c r="C67" s="883"/>
      <c r="D67" s="369" t="s">
        <v>4</v>
      </c>
      <c r="E67" s="903">
        <v>39.728626126126258</v>
      </c>
      <c r="F67" s="904"/>
      <c r="G67" s="904">
        <v>53.269406392694059</v>
      </c>
      <c r="H67" s="904"/>
      <c r="I67" s="905">
        <f t="shared" si="3"/>
        <v>46.499016259410155</v>
      </c>
      <c r="J67" s="906"/>
      <c r="K67" s="369" t="str">
        <f t="shared" si="4"/>
        <v>||||||||||||||||||||||||||||||||||||||||||||||</v>
      </c>
      <c r="L67" s="347">
        <v>2012</v>
      </c>
      <c r="M67" s="768"/>
      <c r="N67" s="892" t="s">
        <v>79</v>
      </c>
    </row>
    <row r="68" spans="2:34" s="370" customFormat="1" ht="12.6" hidden="1" customHeight="1">
      <c r="B68" s="874">
        <v>2012</v>
      </c>
      <c r="C68" s="883"/>
      <c r="D68" s="369" t="s">
        <v>30</v>
      </c>
      <c r="E68" s="903">
        <v>37.873919185729989</v>
      </c>
      <c r="F68" s="904"/>
      <c r="G68" s="904">
        <v>29.739583333333339</v>
      </c>
      <c r="H68" s="904"/>
      <c r="I68" s="905">
        <f t="shared" si="3"/>
        <v>33.806751259531666</v>
      </c>
      <c r="J68" s="906"/>
      <c r="K68" s="369" t="str">
        <f t="shared" si="4"/>
        <v>|||||||||||||||||||||||||||||||||</v>
      </c>
      <c r="L68" s="347">
        <v>2012</v>
      </c>
      <c r="M68" s="768"/>
      <c r="N68" s="892" t="s">
        <v>80</v>
      </c>
    </row>
    <row r="69" spans="2:34" s="370" customFormat="1" ht="12.6" hidden="1" customHeight="1">
      <c r="B69" s="874">
        <v>2012</v>
      </c>
      <c r="C69" s="883"/>
      <c r="D69" s="369" t="s">
        <v>36</v>
      </c>
      <c r="E69" s="903">
        <v>38.410779103870915</v>
      </c>
      <c r="F69" s="904"/>
      <c r="G69" s="904">
        <v>40.977176220806776</v>
      </c>
      <c r="H69" s="904"/>
      <c r="I69" s="905">
        <f t="shared" si="3"/>
        <v>39.693977662338845</v>
      </c>
      <c r="J69" s="906"/>
      <c r="K69" s="369" t="str">
        <f t="shared" si="4"/>
        <v>|||||||||||||||||||||||||||||||||||||||</v>
      </c>
      <c r="L69" s="347">
        <v>2012</v>
      </c>
      <c r="M69" s="768"/>
      <c r="N69" s="892" t="s">
        <v>81</v>
      </c>
    </row>
    <row r="70" spans="2:34" s="370" customFormat="1" ht="12.6" hidden="1" customHeight="1">
      <c r="B70" s="874">
        <v>2012</v>
      </c>
      <c r="C70" s="883"/>
      <c r="D70" s="369" t="s">
        <v>37</v>
      </c>
      <c r="E70" s="903">
        <v>41.545426188600025</v>
      </c>
      <c r="F70" s="904"/>
      <c r="G70" s="904">
        <v>46.486719787516584</v>
      </c>
      <c r="H70" s="904"/>
      <c r="I70" s="905">
        <f t="shared" si="3"/>
        <v>44.016072988058305</v>
      </c>
      <c r="J70" s="906"/>
      <c r="K70" s="369" t="str">
        <f t="shared" si="4"/>
        <v>||||||||||||||||||||||||||||||||||||||||||||</v>
      </c>
      <c r="L70" s="347">
        <v>2012</v>
      </c>
      <c r="M70" s="768"/>
      <c r="N70" s="892" t="s">
        <v>82</v>
      </c>
    </row>
    <row r="71" spans="2:34" s="370" customFormat="1" ht="12.6" hidden="1" customHeight="1">
      <c r="B71" s="874">
        <v>2012</v>
      </c>
      <c r="C71" s="883"/>
      <c r="D71" s="369" t="s">
        <v>31</v>
      </c>
      <c r="E71" s="903">
        <v>36.486604709864245</v>
      </c>
      <c r="F71" s="904"/>
      <c r="G71" s="904">
        <v>38.279096045197754</v>
      </c>
      <c r="H71" s="904"/>
      <c r="I71" s="905">
        <f t="shared" si="3"/>
        <v>37.382850377531</v>
      </c>
      <c r="J71" s="906"/>
      <c r="K71" s="369" t="str">
        <f t="shared" si="4"/>
        <v>|||||||||||||||||||||||||||||||||||||</v>
      </c>
      <c r="L71" s="347">
        <v>2012</v>
      </c>
      <c r="M71" s="768"/>
      <c r="N71" s="892" t="s">
        <v>31</v>
      </c>
    </row>
    <row r="72" spans="2:34" s="370" customFormat="1" ht="12.6" hidden="1" customHeight="1">
      <c r="B72" s="874">
        <v>2012</v>
      </c>
      <c r="C72" s="883"/>
      <c r="D72" s="369" t="s">
        <v>38</v>
      </c>
      <c r="E72" s="903">
        <v>41.545426188600025</v>
      </c>
      <c r="F72" s="904"/>
      <c r="G72" s="904">
        <v>46.486719787516584</v>
      </c>
      <c r="H72" s="904"/>
      <c r="I72" s="905">
        <f t="shared" si="3"/>
        <v>44.016072988058305</v>
      </c>
      <c r="J72" s="906"/>
      <c r="K72" s="369" t="str">
        <f>REPT("|",I72)</f>
        <v>||||||||||||||||||||||||||||||||||||||||||||</v>
      </c>
      <c r="L72" s="347">
        <v>2012</v>
      </c>
      <c r="M72" s="768"/>
      <c r="N72" s="892" t="s">
        <v>49</v>
      </c>
    </row>
    <row r="73" spans="2:34" s="370" customFormat="1" ht="12.6" hidden="1" customHeight="1">
      <c r="B73" s="874">
        <v>2012</v>
      </c>
      <c r="C73" s="883"/>
      <c r="D73" s="369" t="s">
        <v>39</v>
      </c>
      <c r="E73" s="903">
        <v>36.646867134124321</v>
      </c>
      <c r="F73" s="904"/>
      <c r="G73" s="904">
        <v>41.564197530864206</v>
      </c>
      <c r="H73" s="904"/>
      <c r="I73" s="905">
        <f t="shared" si="3"/>
        <v>39.105532332494263</v>
      </c>
      <c r="J73" s="906"/>
      <c r="K73" s="369" t="str">
        <f>REPT("|",I73)</f>
        <v>|||||||||||||||||||||||||||||||||||||||</v>
      </c>
      <c r="L73" s="347">
        <v>2012</v>
      </c>
      <c r="M73" s="768"/>
      <c r="N73" s="892" t="s">
        <v>39</v>
      </c>
      <c r="AB73" s="370" t="s">
        <v>14</v>
      </c>
    </row>
    <row r="74" spans="2:34" s="370" customFormat="1" ht="12.6" hidden="1" customHeight="1">
      <c r="B74" s="874">
        <v>2012</v>
      </c>
      <c r="C74" s="883"/>
      <c r="D74" s="369" t="s">
        <v>32</v>
      </c>
      <c r="E74" s="903">
        <v>36.646867134124321</v>
      </c>
      <c r="F74" s="904"/>
      <c r="G74" s="904">
        <v>36.933277027027039</v>
      </c>
      <c r="H74" s="904"/>
      <c r="I74" s="905">
        <f>(E74+G74)/2</f>
        <v>36.790072080575683</v>
      </c>
      <c r="J74" s="906"/>
      <c r="K74" s="369" t="str">
        <f>REPT("|",I74)</f>
        <v>||||||||||||||||||||||||||||||||||||</v>
      </c>
      <c r="L74" s="347">
        <v>2012</v>
      </c>
      <c r="M74" s="768"/>
      <c r="N74" s="892" t="s">
        <v>32</v>
      </c>
      <c r="AH74" s="370" t="s">
        <v>16</v>
      </c>
    </row>
    <row r="75" spans="2:34" s="370" customFormat="1" ht="12.6" hidden="1" customHeight="1">
      <c r="B75" s="874">
        <v>2013</v>
      </c>
      <c r="C75" s="883"/>
      <c r="D75" s="369" t="s">
        <v>33</v>
      </c>
      <c r="E75" s="903">
        <v>35.367024146769069</v>
      </c>
      <c r="F75" s="904"/>
      <c r="G75" s="904">
        <v>44.174703891708987</v>
      </c>
      <c r="H75" s="904"/>
      <c r="I75" s="967">
        <f t="shared" ref="I75:I82" si="5">SUM(E75:G75)/2</f>
        <v>39.770864019239028</v>
      </c>
      <c r="J75" s="968"/>
      <c r="K75" s="369" t="str">
        <f>REPT("|",I75)</f>
        <v>|||||||||||||||||||||||||||||||||||||||</v>
      </c>
      <c r="L75" s="347">
        <v>2013</v>
      </c>
      <c r="M75" s="768"/>
      <c r="N75" s="892" t="s">
        <v>33</v>
      </c>
      <c r="R75" s="969"/>
      <c r="U75" s="969"/>
    </row>
    <row r="76" spans="2:34" s="370" customFormat="1" ht="12.6" hidden="1" customHeight="1">
      <c r="B76" s="874">
        <v>2013</v>
      </c>
      <c r="C76" s="883"/>
      <c r="D76" s="369" t="s">
        <v>34</v>
      </c>
      <c r="E76" s="903">
        <v>32.045782213904516</v>
      </c>
      <c r="F76" s="909"/>
      <c r="G76" s="904">
        <v>46.372267759562867</v>
      </c>
      <c r="H76" s="909"/>
      <c r="I76" s="967">
        <f t="shared" si="5"/>
        <v>39.209024986733695</v>
      </c>
      <c r="J76" s="970"/>
      <c r="K76" s="369" t="str">
        <f>REPT("|",I76)</f>
        <v>|||||||||||||||||||||||||||||||||||||||</v>
      </c>
      <c r="L76" s="347">
        <v>2013</v>
      </c>
      <c r="M76" s="768"/>
      <c r="N76" s="892" t="s">
        <v>77</v>
      </c>
      <c r="R76" s="969"/>
      <c r="U76" s="969"/>
    </row>
    <row r="77" spans="2:34" s="370" customFormat="1" ht="12.6" hidden="1" customHeight="1">
      <c r="B77" s="874">
        <v>2013</v>
      </c>
      <c r="C77" s="883"/>
      <c r="D77" s="369" t="s">
        <v>29</v>
      </c>
      <c r="E77" s="903">
        <v>36.980461876832834</v>
      </c>
      <c r="F77" s="904"/>
      <c r="G77" s="904">
        <v>41.507222222222211</v>
      </c>
      <c r="H77" s="904"/>
      <c r="I77" s="967">
        <f t="shared" si="5"/>
        <v>39.243842049527522</v>
      </c>
      <c r="J77" s="968"/>
      <c r="K77" s="369"/>
      <c r="L77" s="347">
        <v>2013</v>
      </c>
      <c r="M77" s="768"/>
      <c r="N77" s="892" t="s">
        <v>78</v>
      </c>
      <c r="R77" s="969"/>
      <c r="U77" s="969"/>
    </row>
    <row r="78" spans="2:34" s="370" customFormat="1" ht="12.6" hidden="1" customHeight="1">
      <c r="B78" s="874">
        <v>2013</v>
      </c>
      <c r="C78" s="883"/>
      <c r="D78" s="369" t="s">
        <v>35</v>
      </c>
      <c r="E78" s="903">
        <v>38.107736494744628</v>
      </c>
      <c r="F78" s="904"/>
      <c r="G78" s="904">
        <v>34.390396659707676</v>
      </c>
      <c r="H78" s="904"/>
      <c r="I78" s="967">
        <f t="shared" si="5"/>
        <v>36.249066577226152</v>
      </c>
      <c r="J78" s="968"/>
      <c r="K78" s="369"/>
      <c r="L78" s="347">
        <v>2013</v>
      </c>
      <c r="M78" s="768"/>
      <c r="N78" s="892" t="s">
        <v>78</v>
      </c>
    </row>
    <row r="79" spans="2:34" s="370" customFormat="1" ht="12.6" hidden="1" customHeight="1">
      <c r="B79" s="874">
        <v>2013</v>
      </c>
      <c r="C79" s="883"/>
      <c r="D79" s="369" t="s">
        <v>4</v>
      </c>
      <c r="E79" s="903">
        <v>41.703097969589436</v>
      </c>
      <c r="F79" s="904"/>
      <c r="G79" s="904">
        <v>46.717687074829918</v>
      </c>
      <c r="H79" s="904"/>
      <c r="I79" s="967">
        <f t="shared" si="5"/>
        <v>44.210392522209673</v>
      </c>
      <c r="J79" s="968"/>
      <c r="K79" s="369"/>
      <c r="L79" s="347">
        <v>2013</v>
      </c>
      <c r="M79" s="768"/>
      <c r="N79" s="892" t="s">
        <v>79</v>
      </c>
    </row>
    <row r="80" spans="2:34" s="370" customFormat="1" ht="12.6" hidden="1" customHeight="1">
      <c r="B80" s="874">
        <v>2013</v>
      </c>
      <c r="C80" s="883"/>
      <c r="D80" s="369" t="s">
        <v>30</v>
      </c>
      <c r="E80" s="903">
        <v>36.954721063205206</v>
      </c>
      <c r="F80" s="904"/>
      <c r="G80" s="904">
        <v>37.529583333333328</v>
      </c>
      <c r="H80" s="904"/>
      <c r="I80" s="967">
        <f t="shared" si="5"/>
        <v>37.242152198269267</v>
      </c>
      <c r="J80" s="968"/>
      <c r="K80" s="369"/>
      <c r="L80" s="347">
        <v>2013</v>
      </c>
      <c r="M80" s="768"/>
      <c r="N80" s="892" t="s">
        <v>80</v>
      </c>
    </row>
    <row r="81" spans="2:22" s="370" customFormat="1" ht="12.6" hidden="1" customHeight="1">
      <c r="B81" s="874">
        <v>2013</v>
      </c>
      <c r="C81" s="883"/>
      <c r="D81" s="369" t="s">
        <v>36</v>
      </c>
      <c r="E81" s="903">
        <v>34.588108630690819</v>
      </c>
      <c r="F81" s="904"/>
      <c r="G81" s="904">
        <v>41.473182145428346</v>
      </c>
      <c r="H81" s="904"/>
      <c r="I81" s="967">
        <f t="shared" si="5"/>
        <v>38.030645388059583</v>
      </c>
      <c r="J81" s="968"/>
      <c r="K81" s="369"/>
      <c r="L81" s="347">
        <v>2013</v>
      </c>
      <c r="M81" s="768"/>
      <c r="N81" s="892" t="s">
        <v>81</v>
      </c>
    </row>
    <row r="82" spans="2:22" s="370" customFormat="1" ht="12.6" hidden="1" customHeight="1">
      <c r="B82" s="874">
        <v>2013</v>
      </c>
      <c r="C82" s="883"/>
      <c r="D82" s="369" t="s">
        <v>37</v>
      </c>
      <c r="E82" s="903">
        <v>38.125452559300925</v>
      </c>
      <c r="F82" s="904"/>
      <c r="G82" s="904">
        <v>43.652654867256629</v>
      </c>
      <c r="H82" s="904"/>
      <c r="I82" s="967">
        <f t="shared" si="5"/>
        <v>40.889053713278777</v>
      </c>
      <c r="J82" s="968"/>
      <c r="K82" s="369"/>
      <c r="L82" s="347">
        <v>2013</v>
      </c>
      <c r="M82" s="768"/>
      <c r="N82" s="892" t="s">
        <v>82</v>
      </c>
      <c r="R82" s="971"/>
    </row>
    <row r="83" spans="2:22" s="370" customFormat="1" ht="12.6" hidden="1" customHeight="1">
      <c r="B83" s="874">
        <v>2013</v>
      </c>
      <c r="C83" s="883"/>
      <c r="D83" s="369" t="s">
        <v>31</v>
      </c>
      <c r="E83" s="903">
        <v>35.922406950079221</v>
      </c>
      <c r="F83" s="904"/>
      <c r="G83" s="904">
        <v>39.229492187499993</v>
      </c>
      <c r="H83" s="904"/>
      <c r="I83" s="967">
        <f t="shared" ref="I83:I88" si="6">SUM(E83:G83)/2</f>
        <v>37.575949568789611</v>
      </c>
      <c r="J83" s="968"/>
      <c r="K83" s="369"/>
      <c r="L83" s="347">
        <v>2013</v>
      </c>
      <c r="M83" s="768"/>
      <c r="N83" s="892" t="s">
        <v>31</v>
      </c>
      <c r="Q83" s="864"/>
      <c r="R83" s="864"/>
      <c r="S83" s="864"/>
      <c r="T83" s="864"/>
      <c r="U83" s="864"/>
      <c r="V83" s="864"/>
    </row>
    <row r="84" spans="2:22" s="370" customFormat="1" ht="12.6" hidden="1" customHeight="1">
      <c r="B84" s="874">
        <v>2013</v>
      </c>
      <c r="C84" s="883"/>
      <c r="D84" s="369" t="s">
        <v>38</v>
      </c>
      <c r="E84" s="903">
        <v>34.090302505373195</v>
      </c>
      <c r="F84" s="904"/>
      <c r="G84" s="904">
        <v>31.861046959199385</v>
      </c>
      <c r="H84" s="904"/>
      <c r="I84" s="967">
        <f t="shared" si="6"/>
        <v>32.975674732286294</v>
      </c>
      <c r="J84" s="968"/>
      <c r="K84" s="369"/>
      <c r="L84" s="347">
        <v>2013</v>
      </c>
      <c r="M84" s="768"/>
      <c r="N84" s="892" t="s">
        <v>49</v>
      </c>
      <c r="Q84" s="864"/>
      <c r="R84" s="864"/>
      <c r="S84" s="864"/>
      <c r="T84" s="864"/>
      <c r="U84" s="864"/>
      <c r="V84" s="864"/>
    </row>
    <row r="85" spans="2:22" s="370" customFormat="1" ht="12.6" hidden="1" customHeight="1">
      <c r="B85" s="874">
        <v>2013</v>
      </c>
      <c r="C85" s="883"/>
      <c r="D85" s="369" t="s">
        <v>39</v>
      </c>
      <c r="E85" s="903">
        <v>32.502917997870163</v>
      </c>
      <c r="F85" s="904"/>
      <c r="G85" s="904">
        <v>38.744407158836651</v>
      </c>
      <c r="H85" s="904"/>
      <c r="I85" s="967">
        <f t="shared" si="6"/>
        <v>35.623662578353404</v>
      </c>
      <c r="J85" s="968"/>
      <c r="K85" s="369"/>
      <c r="L85" s="347">
        <v>2013</v>
      </c>
      <c r="M85" s="768"/>
      <c r="N85" s="892" t="s">
        <v>39</v>
      </c>
      <c r="Q85" s="864"/>
      <c r="R85" s="864"/>
      <c r="S85" s="864"/>
      <c r="T85" s="864"/>
      <c r="U85" s="864"/>
      <c r="V85" s="864"/>
    </row>
    <row r="86" spans="2:22" s="370" customFormat="1" ht="12.6" hidden="1" customHeight="1">
      <c r="B86" s="874">
        <v>2013</v>
      </c>
      <c r="C86" s="883"/>
      <c r="D86" s="369" t="s">
        <v>32</v>
      </c>
      <c r="E86" s="903">
        <v>29.821563038812169</v>
      </c>
      <c r="F86" s="904"/>
      <c r="G86" s="904">
        <v>33.614035087719287</v>
      </c>
      <c r="H86" s="904"/>
      <c r="I86" s="967">
        <f t="shared" si="6"/>
        <v>31.71779906326573</v>
      </c>
      <c r="J86" s="968"/>
      <c r="K86" s="369"/>
      <c r="L86" s="347">
        <v>2013</v>
      </c>
      <c r="M86" s="768"/>
      <c r="N86" s="892" t="s">
        <v>32</v>
      </c>
      <c r="Q86" s="864"/>
      <c r="R86" s="864"/>
      <c r="S86" s="864"/>
      <c r="T86" s="864"/>
      <c r="U86" s="864"/>
      <c r="V86" s="864"/>
    </row>
    <row r="87" spans="2:22" s="370" customFormat="1" ht="12.6" hidden="1" customHeight="1">
      <c r="B87" s="874">
        <v>2014</v>
      </c>
      <c r="C87" s="883"/>
      <c r="D87" s="369" t="s">
        <v>33</v>
      </c>
      <c r="E87" s="903">
        <v>35.076968709781198</v>
      </c>
      <c r="F87" s="904"/>
      <c r="G87" s="904">
        <v>32.372117400419263</v>
      </c>
      <c r="H87" s="904"/>
      <c r="I87" s="967">
        <f t="shared" si="6"/>
        <v>33.724543055100227</v>
      </c>
      <c r="J87" s="968"/>
      <c r="K87" s="369"/>
      <c r="L87" s="347">
        <v>2014</v>
      </c>
      <c r="M87" s="768"/>
      <c r="N87" s="892" t="s">
        <v>33</v>
      </c>
      <c r="Q87" s="864"/>
      <c r="R87" s="864"/>
      <c r="S87" s="864"/>
      <c r="T87" s="864"/>
      <c r="U87" s="864"/>
      <c r="V87" s="864"/>
    </row>
    <row r="88" spans="2:22" s="370" customFormat="1" ht="12.6" hidden="1" customHeight="1">
      <c r="B88" s="874">
        <v>2014</v>
      </c>
      <c r="C88" s="883"/>
      <c r="D88" s="369" t="s">
        <v>34</v>
      </c>
      <c r="E88" s="903">
        <v>44.822519083969475</v>
      </c>
      <c r="F88" s="904"/>
      <c r="G88" s="904">
        <v>38.908381167144903</v>
      </c>
      <c r="H88" s="904"/>
      <c r="I88" s="967">
        <f t="shared" si="6"/>
        <v>41.865450125557189</v>
      </c>
      <c r="J88" s="968"/>
      <c r="K88" s="369"/>
      <c r="L88" s="874">
        <v>2014</v>
      </c>
      <c r="M88" s="768"/>
      <c r="N88" s="892" t="s">
        <v>77</v>
      </c>
      <c r="Q88" s="864"/>
      <c r="R88" s="864"/>
      <c r="S88" s="864"/>
      <c r="T88" s="864"/>
      <c r="U88" s="864"/>
      <c r="V88" s="864"/>
    </row>
    <row r="89" spans="2:22" s="370" customFormat="1" ht="12.6" hidden="1" customHeight="1">
      <c r="B89" s="874">
        <v>2014</v>
      </c>
      <c r="C89" s="883"/>
      <c r="D89" s="369" t="s">
        <v>29</v>
      </c>
      <c r="E89" s="903">
        <v>40.066272221321633</v>
      </c>
      <c r="F89" s="904"/>
      <c r="G89" s="904">
        <v>46.914251207729471</v>
      </c>
      <c r="H89" s="904"/>
      <c r="I89" s="967">
        <f>SUM(E89:G89)/2</f>
        <v>43.490261714525552</v>
      </c>
      <c r="J89" s="968"/>
      <c r="K89" s="369"/>
      <c r="L89" s="874">
        <v>2014</v>
      </c>
      <c r="M89" s="768"/>
      <c r="N89" s="892" t="s">
        <v>29</v>
      </c>
      <c r="Q89" s="864"/>
      <c r="R89" s="864"/>
      <c r="S89" s="864"/>
      <c r="T89" s="864"/>
      <c r="U89" s="864"/>
      <c r="V89" s="864"/>
    </row>
    <row r="90" spans="2:22" s="370" customFormat="1" ht="12.6" hidden="1" customHeight="1">
      <c r="B90" s="874">
        <v>2014</v>
      </c>
      <c r="C90" s="883"/>
      <c r="D90" s="369" t="s">
        <v>35</v>
      </c>
      <c r="E90" s="903">
        <v>37.272881663555353</v>
      </c>
      <c r="F90" s="904"/>
      <c r="G90" s="904">
        <v>40.750449236298337</v>
      </c>
      <c r="H90" s="904"/>
      <c r="I90" s="967">
        <f>SUM(E90:G90)/2</f>
        <v>39.011665449926845</v>
      </c>
      <c r="J90" s="968"/>
      <c r="K90" s="369"/>
      <c r="L90" s="347">
        <v>2014</v>
      </c>
      <c r="M90" s="768"/>
      <c r="N90" s="892" t="s">
        <v>78</v>
      </c>
      <c r="Q90" s="864"/>
      <c r="R90" s="864"/>
      <c r="S90" s="864"/>
      <c r="T90" s="864"/>
      <c r="U90" s="864"/>
      <c r="V90" s="864"/>
    </row>
    <row r="91" spans="2:22" s="370" customFormat="1" ht="12.6" hidden="1" customHeight="1">
      <c r="B91" s="874">
        <v>2014</v>
      </c>
      <c r="C91" s="883"/>
      <c r="D91" s="369" t="s">
        <v>4</v>
      </c>
      <c r="E91" s="903">
        <v>41.821963116397356</v>
      </c>
      <c r="F91" s="904"/>
      <c r="G91" s="904">
        <v>44.324974670719349</v>
      </c>
      <c r="H91" s="904"/>
      <c r="I91" s="967">
        <f>SUM(E91:G91)/2</f>
        <v>43.073468893558356</v>
      </c>
      <c r="J91" s="968"/>
      <c r="K91" s="369"/>
      <c r="L91" s="347">
        <v>2014</v>
      </c>
      <c r="M91" s="768"/>
      <c r="N91" s="892" t="s">
        <v>79</v>
      </c>
      <c r="Q91" s="864"/>
      <c r="R91" s="864"/>
      <c r="S91" s="864"/>
      <c r="T91" s="864"/>
      <c r="U91" s="864"/>
      <c r="V91" s="864"/>
    </row>
    <row r="92" spans="2:22" s="370" customFormat="1" ht="12.6" hidden="1" customHeight="1">
      <c r="B92" s="874">
        <v>2014</v>
      </c>
      <c r="C92" s="883"/>
      <c r="D92" s="369" t="s">
        <v>30</v>
      </c>
      <c r="E92" s="903">
        <v>38.575127226463081</v>
      </c>
      <c r="F92" s="904"/>
      <c r="G92" s="904">
        <v>38.286506116207939</v>
      </c>
      <c r="H92" s="904"/>
      <c r="I92" s="967">
        <f>SUM(E92:G92)/2</f>
        <v>38.430816671335506</v>
      </c>
      <c r="J92" s="968"/>
      <c r="K92" s="369"/>
      <c r="L92" s="347">
        <v>2014</v>
      </c>
      <c r="M92" s="768"/>
      <c r="N92" s="892" t="s">
        <v>80</v>
      </c>
      <c r="Q92" s="864"/>
      <c r="R92" s="864"/>
      <c r="S92" s="864"/>
      <c r="T92" s="864"/>
      <c r="U92" s="864"/>
      <c r="V92" s="864"/>
    </row>
    <row r="93" spans="2:22" s="370" customFormat="1" ht="12.6" hidden="1" customHeight="1">
      <c r="B93" s="874">
        <v>2014</v>
      </c>
      <c r="C93" s="883"/>
      <c r="D93" s="369" t="s">
        <v>36</v>
      </c>
      <c r="E93" s="903">
        <v>37.896594785575282</v>
      </c>
      <c r="F93" s="904"/>
      <c r="G93" s="904">
        <v>41.23240371845953</v>
      </c>
      <c r="H93" s="904"/>
      <c r="I93" s="967">
        <v>39.564499252017406</v>
      </c>
      <c r="J93" s="968"/>
      <c r="K93" s="369"/>
      <c r="L93" s="347">
        <v>2014</v>
      </c>
      <c r="M93" s="768"/>
      <c r="N93" s="892" t="s">
        <v>81</v>
      </c>
      <c r="Q93" s="864"/>
      <c r="R93" s="864"/>
      <c r="S93" s="864"/>
      <c r="T93" s="864"/>
      <c r="U93" s="864"/>
      <c r="V93" s="864"/>
    </row>
    <row r="94" spans="2:22" s="370" customFormat="1" ht="12.6" hidden="1" customHeight="1">
      <c r="B94" s="874">
        <v>2014</v>
      </c>
      <c r="C94" s="883"/>
      <c r="D94" s="369" t="s">
        <v>37</v>
      </c>
      <c r="E94" s="903">
        <v>39.852214502822719</v>
      </c>
      <c r="F94" s="904"/>
      <c r="G94" s="904">
        <v>46.070714285714288</v>
      </c>
      <c r="H94" s="904"/>
      <c r="I94" s="967">
        <v>42.961464394268503</v>
      </c>
      <c r="J94" s="968"/>
      <c r="K94" s="369"/>
      <c r="L94" s="347">
        <v>2014</v>
      </c>
      <c r="M94" s="768"/>
      <c r="N94" s="892" t="s">
        <v>82</v>
      </c>
      <c r="Q94" s="864"/>
      <c r="R94" s="864"/>
      <c r="S94" s="864"/>
      <c r="T94" s="864"/>
      <c r="U94" s="864"/>
      <c r="V94" s="864"/>
    </row>
    <row r="95" spans="2:22" s="370" customFormat="1" ht="12.6" hidden="1" customHeight="1">
      <c r="B95" s="874">
        <v>2014</v>
      </c>
      <c r="C95" s="883"/>
      <c r="D95" s="369" t="s">
        <v>31</v>
      </c>
      <c r="E95" s="903">
        <v>37.533664150591562</v>
      </c>
      <c r="F95" s="904"/>
      <c r="G95" s="904">
        <v>40.35517654099349</v>
      </c>
      <c r="H95" s="904"/>
      <c r="I95" s="967">
        <v>38.944420345792523</v>
      </c>
      <c r="J95" s="968"/>
      <c r="K95" s="369"/>
      <c r="L95" s="347">
        <v>2014</v>
      </c>
      <c r="M95" s="768"/>
      <c r="N95" s="892" t="s">
        <v>31</v>
      </c>
      <c r="Q95" s="864"/>
      <c r="R95" s="864"/>
      <c r="S95" s="864"/>
      <c r="T95" s="864"/>
      <c r="U95" s="864"/>
      <c r="V95" s="864"/>
    </row>
    <row r="96" spans="2:22" s="370" customFormat="1" ht="12.6" hidden="1" customHeight="1">
      <c r="B96" s="874">
        <v>2014</v>
      </c>
      <c r="C96" s="883"/>
      <c r="D96" s="369" t="s">
        <v>38</v>
      </c>
      <c r="E96" s="903">
        <v>39.238740762932004</v>
      </c>
      <c r="F96" s="904"/>
      <c r="G96" s="904">
        <v>44.749031007751938</v>
      </c>
      <c r="H96" s="904"/>
      <c r="I96" s="967">
        <v>38.944420345792523</v>
      </c>
      <c r="J96" s="968"/>
      <c r="K96" s="369"/>
      <c r="L96" s="347">
        <v>2014</v>
      </c>
      <c r="M96" s="768"/>
      <c r="N96" s="892" t="s">
        <v>49</v>
      </c>
      <c r="Q96" s="864"/>
      <c r="R96" s="864"/>
      <c r="S96" s="864"/>
      <c r="T96" s="864"/>
      <c r="U96" s="864"/>
      <c r="V96" s="864"/>
    </row>
    <row r="97" spans="2:22" s="370" customFormat="1" ht="12.6" hidden="1" customHeight="1">
      <c r="B97" s="874">
        <v>2014</v>
      </c>
      <c r="C97" s="883"/>
      <c r="D97" s="369" t="s">
        <v>39</v>
      </c>
      <c r="E97" s="903">
        <v>38.937456047820056</v>
      </c>
      <c r="F97" s="904"/>
      <c r="G97" s="904">
        <v>41.122370550161875</v>
      </c>
      <c r="H97" s="904"/>
      <c r="I97" s="967">
        <v>40.029913298990962</v>
      </c>
      <c r="J97" s="968"/>
      <c r="K97" s="369"/>
      <c r="L97" s="347">
        <v>2014</v>
      </c>
      <c r="M97" s="768"/>
      <c r="N97" s="892" t="s">
        <v>39</v>
      </c>
      <c r="Q97" s="864"/>
      <c r="R97" s="864"/>
      <c r="S97" s="864"/>
      <c r="T97" s="864"/>
      <c r="U97" s="864"/>
      <c r="V97" s="864"/>
    </row>
    <row r="98" spans="2:22" s="370" customFormat="1" ht="12.6" hidden="1" customHeight="1">
      <c r="B98" s="874">
        <v>2014</v>
      </c>
      <c r="C98" s="883"/>
      <c r="D98" s="369" t="s">
        <v>32</v>
      </c>
      <c r="E98" s="903">
        <v>34.253404652274824</v>
      </c>
      <c r="F98" s="904"/>
      <c r="G98" s="904">
        <v>35.163941871026367</v>
      </c>
      <c r="H98" s="904"/>
      <c r="I98" s="967">
        <v>34.708673261650596</v>
      </c>
      <c r="J98" s="968"/>
      <c r="K98" s="369"/>
      <c r="L98" s="347">
        <v>2014</v>
      </c>
      <c r="M98" s="768"/>
      <c r="N98" s="892" t="s">
        <v>32</v>
      </c>
      <c r="Q98" s="864"/>
      <c r="R98" s="864"/>
      <c r="S98" s="864"/>
      <c r="T98" s="864"/>
      <c r="U98" s="864"/>
      <c r="V98" s="864"/>
    </row>
    <row r="99" spans="2:22" s="370" customFormat="1" ht="12.6" hidden="1" customHeight="1">
      <c r="B99" s="874">
        <v>2015</v>
      </c>
      <c r="C99" s="883"/>
      <c r="D99" s="369" t="s">
        <v>33</v>
      </c>
      <c r="E99" s="903">
        <v>33.339407398393824</v>
      </c>
      <c r="F99" s="904"/>
      <c r="G99" s="904">
        <v>36.21366120218579</v>
      </c>
      <c r="H99" s="904"/>
      <c r="I99" s="967">
        <v>34.776534300289811</v>
      </c>
      <c r="J99" s="968"/>
      <c r="K99" s="369"/>
      <c r="L99" s="347">
        <v>2015</v>
      </c>
      <c r="M99" s="768"/>
      <c r="N99" s="892" t="s">
        <v>33</v>
      </c>
      <c r="Q99" s="864"/>
      <c r="R99" s="864"/>
      <c r="S99" s="864"/>
      <c r="T99" s="864"/>
      <c r="U99" s="864"/>
      <c r="V99" s="864"/>
    </row>
    <row r="100" spans="2:22" s="370" customFormat="1" ht="12.6" hidden="1" customHeight="1">
      <c r="B100" s="874">
        <v>2015</v>
      </c>
      <c r="C100" s="883"/>
      <c r="D100" s="369" t="s">
        <v>34</v>
      </c>
      <c r="E100" s="903">
        <v>39.587713365539493</v>
      </c>
      <c r="F100" s="904"/>
      <c r="G100" s="904">
        <v>46.37323943661972</v>
      </c>
      <c r="H100" s="904"/>
      <c r="I100" s="967">
        <v>42.980476401079606</v>
      </c>
      <c r="J100" s="968"/>
      <c r="K100" s="369"/>
      <c r="L100" s="347">
        <v>2015</v>
      </c>
      <c r="M100" s="768"/>
      <c r="N100" s="892" t="s">
        <v>77</v>
      </c>
      <c r="Q100" s="864"/>
      <c r="R100" s="864"/>
      <c r="S100" s="864"/>
      <c r="T100" s="864"/>
      <c r="U100" s="864"/>
      <c r="V100" s="864"/>
    </row>
    <row r="101" spans="2:22" s="370" customFormat="1" ht="12.6" hidden="1" customHeight="1">
      <c r="B101" s="874">
        <v>2015</v>
      </c>
      <c r="C101" s="883"/>
      <c r="D101" s="369" t="s">
        <v>29</v>
      </c>
      <c r="E101" s="903">
        <v>39.644945143951155</v>
      </c>
      <c r="F101" s="904"/>
      <c r="G101" s="904">
        <v>41.206720430107531</v>
      </c>
      <c r="H101" s="904"/>
      <c r="I101" s="967">
        <f>SUM(E101:G101)/2</f>
        <v>40.425832787029343</v>
      </c>
      <c r="J101" s="968"/>
      <c r="K101" s="369"/>
      <c r="L101" s="347">
        <v>2015</v>
      </c>
      <c r="M101" s="768"/>
      <c r="N101" s="892" t="s">
        <v>29</v>
      </c>
      <c r="Q101" s="864"/>
      <c r="R101" s="864"/>
      <c r="S101" s="864"/>
      <c r="T101" s="864"/>
      <c r="U101" s="864"/>
      <c r="V101" s="864"/>
    </row>
    <row r="102" spans="2:22" s="370" customFormat="1" ht="12.6" hidden="1" customHeight="1">
      <c r="B102" s="874">
        <v>2015</v>
      </c>
      <c r="C102" s="883"/>
      <c r="D102" s="369" t="s">
        <v>35</v>
      </c>
      <c r="E102" s="903">
        <v>38.745640785049673</v>
      </c>
      <c r="F102" s="904"/>
      <c r="G102" s="904">
        <v>41.70264550264546</v>
      </c>
      <c r="H102" s="904"/>
      <c r="I102" s="967">
        <v>40.22414314384757</v>
      </c>
      <c r="J102" s="968"/>
      <c r="K102" s="369"/>
      <c r="L102" s="347">
        <v>2015</v>
      </c>
      <c r="M102" s="768"/>
      <c r="N102" s="892" t="s">
        <v>78</v>
      </c>
      <c r="Q102" s="864"/>
      <c r="R102" s="864"/>
      <c r="S102" s="864"/>
      <c r="T102" s="864"/>
      <c r="U102" s="864"/>
      <c r="V102" s="864"/>
    </row>
    <row r="103" spans="2:22" s="370" customFormat="1" ht="12.6" hidden="1" customHeight="1">
      <c r="B103" s="874">
        <v>2015</v>
      </c>
      <c r="C103" s="883"/>
      <c r="D103" s="369" t="s">
        <v>4</v>
      </c>
      <c r="E103" s="903">
        <v>38.806962218159583</v>
      </c>
      <c r="F103" s="904"/>
      <c r="G103" s="904">
        <v>48.512355415352268</v>
      </c>
      <c r="H103" s="904"/>
      <c r="I103" s="967">
        <v>43.659658816755922</v>
      </c>
      <c r="J103" s="968"/>
      <c r="K103" s="369"/>
      <c r="L103" s="347">
        <v>2015</v>
      </c>
      <c r="M103" s="768"/>
      <c r="N103" s="892" t="s">
        <v>79</v>
      </c>
      <c r="Q103" s="864"/>
      <c r="R103" s="864"/>
      <c r="S103" s="864"/>
      <c r="T103" s="864"/>
      <c r="U103" s="864"/>
      <c r="V103" s="864"/>
    </row>
    <row r="104" spans="2:22" s="370" customFormat="1" ht="12.6" hidden="1" customHeight="1">
      <c r="B104" s="874">
        <v>2015</v>
      </c>
      <c r="C104" s="883"/>
      <c r="D104" s="369" t="s">
        <v>30</v>
      </c>
      <c r="E104" s="903">
        <v>38.027079843662747</v>
      </c>
      <c r="F104" s="904"/>
      <c r="G104" s="904">
        <v>27.557133838383837</v>
      </c>
      <c r="H104" s="904"/>
      <c r="I104" s="967">
        <v>32.792106841023291</v>
      </c>
      <c r="J104" s="968"/>
      <c r="K104" s="369"/>
      <c r="L104" s="347">
        <v>2015</v>
      </c>
      <c r="M104" s="768"/>
      <c r="N104" s="892" t="s">
        <v>80</v>
      </c>
      <c r="Q104" s="864"/>
      <c r="R104" s="864"/>
      <c r="S104" s="864"/>
      <c r="T104" s="864"/>
      <c r="U104" s="864"/>
      <c r="V104" s="864"/>
    </row>
    <row r="105" spans="2:22" s="370" customFormat="1" ht="12.6" hidden="1" customHeight="1">
      <c r="B105" s="874">
        <v>2015</v>
      </c>
      <c r="C105" s="883"/>
      <c r="D105" s="369" t="s">
        <v>36</v>
      </c>
      <c r="E105" s="903">
        <v>38.149110631297752</v>
      </c>
      <c r="F105" s="904"/>
      <c r="G105" s="904">
        <v>43.761513157894733</v>
      </c>
      <c r="H105" s="904"/>
      <c r="I105" s="967">
        <v>40.955311894596242</v>
      </c>
      <c r="J105" s="968"/>
      <c r="K105" s="369"/>
      <c r="L105" s="347">
        <v>2015</v>
      </c>
      <c r="M105" s="768"/>
      <c r="N105" s="892" t="s">
        <v>81</v>
      </c>
      <c r="Q105" s="864"/>
      <c r="R105" s="864"/>
      <c r="S105" s="864"/>
      <c r="T105" s="864"/>
      <c r="U105" s="864"/>
      <c r="V105" s="864"/>
    </row>
    <row r="106" spans="2:22" s="370" customFormat="1" ht="12.6" hidden="1" customHeight="1">
      <c r="B106" s="874">
        <v>2015</v>
      </c>
      <c r="C106" s="883"/>
      <c r="D106" s="369" t="s">
        <v>37</v>
      </c>
      <c r="E106" s="903">
        <v>40.675143355771709</v>
      </c>
      <c r="F106" s="904"/>
      <c r="G106" s="904">
        <v>45.493432971014478</v>
      </c>
      <c r="H106" s="904"/>
      <c r="I106" s="967">
        <v>43.084288163393097</v>
      </c>
      <c r="J106" s="968"/>
      <c r="K106" s="369"/>
      <c r="L106" s="347">
        <v>2015</v>
      </c>
      <c r="M106" s="768"/>
      <c r="N106" s="892" t="s">
        <v>82</v>
      </c>
      <c r="Q106" s="864"/>
      <c r="R106" s="864"/>
      <c r="S106" s="864"/>
      <c r="T106" s="864"/>
      <c r="U106" s="864"/>
      <c r="V106" s="864"/>
    </row>
    <row r="107" spans="2:22" s="370" customFormat="1" ht="12.6" hidden="1" customHeight="1">
      <c r="B107" s="874">
        <v>2015</v>
      </c>
      <c r="C107" s="883"/>
      <c r="D107" s="369" t="s">
        <v>31</v>
      </c>
      <c r="E107" s="903">
        <v>37.598399999999998</v>
      </c>
      <c r="F107" s="904"/>
      <c r="G107" s="904">
        <v>40.069299999999998</v>
      </c>
      <c r="H107" s="904"/>
      <c r="I107" s="967">
        <v>38.833849999999998</v>
      </c>
      <c r="J107" s="968"/>
      <c r="K107" s="369"/>
      <c r="L107" s="347">
        <v>2015</v>
      </c>
      <c r="M107" s="768"/>
      <c r="N107" s="892" t="s">
        <v>31</v>
      </c>
      <c r="Q107" s="864"/>
      <c r="R107" s="864"/>
      <c r="S107" s="864"/>
      <c r="T107" s="864"/>
      <c r="U107" s="864"/>
      <c r="V107" s="864"/>
    </row>
    <row r="108" spans="2:22" s="370" customFormat="1" ht="12.6" hidden="1" customHeight="1">
      <c r="B108" s="874">
        <v>2015</v>
      </c>
      <c r="C108" s="883"/>
      <c r="D108" s="369" t="s">
        <v>38</v>
      </c>
      <c r="E108" s="903">
        <v>37.165947744638864</v>
      </c>
      <c r="F108" s="904"/>
      <c r="G108" s="904">
        <v>42.432615629984006</v>
      </c>
      <c r="H108" s="904"/>
      <c r="I108" s="967">
        <v>39.799281687311435</v>
      </c>
      <c r="J108" s="968"/>
      <c r="K108" s="369"/>
      <c r="L108" s="347">
        <v>2015</v>
      </c>
      <c r="M108" s="768"/>
      <c r="N108" s="892" t="s">
        <v>38</v>
      </c>
      <c r="Q108" s="864"/>
      <c r="R108" s="864"/>
      <c r="S108" s="864"/>
      <c r="T108" s="864"/>
      <c r="U108" s="864"/>
      <c r="V108" s="864"/>
    </row>
    <row r="109" spans="2:22" s="370" customFormat="1" ht="12.6" hidden="1" customHeight="1">
      <c r="B109" s="874">
        <v>2015</v>
      </c>
      <c r="C109" s="883"/>
      <c r="D109" s="369" t="s">
        <v>39</v>
      </c>
      <c r="E109" s="903">
        <v>39.852808691043876</v>
      </c>
      <c r="F109" s="904"/>
      <c r="G109" s="904">
        <v>41.612359550561827</v>
      </c>
      <c r="H109" s="904"/>
      <c r="I109" s="967">
        <v>40.732584120802855</v>
      </c>
      <c r="J109" s="968"/>
      <c r="K109" s="369"/>
      <c r="L109" s="347">
        <v>2015</v>
      </c>
      <c r="M109" s="768"/>
      <c r="N109" s="892" t="s">
        <v>39</v>
      </c>
      <c r="Q109" s="864"/>
      <c r="R109" s="864"/>
      <c r="S109" s="864"/>
      <c r="T109" s="864"/>
      <c r="U109" s="864"/>
      <c r="V109" s="864"/>
    </row>
    <row r="110" spans="2:22" s="370" customFormat="1" ht="12.6" hidden="1" customHeight="1">
      <c r="B110" s="874">
        <v>2015</v>
      </c>
      <c r="C110" s="883"/>
      <c r="D110" s="369" t="s">
        <v>32</v>
      </c>
      <c r="E110" s="903">
        <v>39.9</v>
      </c>
      <c r="F110" s="904"/>
      <c r="G110" s="904">
        <v>36.200000000000003</v>
      </c>
      <c r="H110" s="904"/>
      <c r="I110" s="967">
        <v>38</v>
      </c>
      <c r="J110" s="968"/>
      <c r="K110" s="369"/>
      <c r="L110" s="347">
        <v>2015</v>
      </c>
      <c r="M110" s="768"/>
      <c r="N110" s="892" t="s">
        <v>83</v>
      </c>
      <c r="Q110" s="864"/>
      <c r="R110" s="864"/>
      <c r="S110" s="864"/>
      <c r="T110" s="864"/>
      <c r="U110" s="864"/>
      <c r="V110" s="864"/>
    </row>
    <row r="111" spans="2:22" s="370" customFormat="1" ht="12.6" hidden="1" customHeight="1">
      <c r="B111" s="874">
        <v>2016</v>
      </c>
      <c r="C111" s="883"/>
      <c r="D111" s="369" t="s">
        <v>33</v>
      </c>
      <c r="E111" s="903">
        <v>34.112262788779105</v>
      </c>
      <c r="F111" s="904"/>
      <c r="G111" s="904">
        <v>38.89551926298158</v>
      </c>
      <c r="H111" s="904"/>
      <c r="I111" s="967">
        <v>36.503891025880343</v>
      </c>
      <c r="J111" s="968"/>
      <c r="K111" s="369"/>
      <c r="L111" s="347">
        <v>2016</v>
      </c>
      <c r="M111" s="768"/>
      <c r="N111" s="892" t="s">
        <v>33</v>
      </c>
      <c r="Q111" s="864"/>
      <c r="R111" s="864"/>
      <c r="S111" s="864"/>
      <c r="T111" s="864"/>
      <c r="U111" s="864"/>
      <c r="V111" s="864"/>
    </row>
    <row r="112" spans="2:22" s="370" customFormat="1" ht="12.6" hidden="1" customHeight="1">
      <c r="B112" s="874">
        <v>2016</v>
      </c>
      <c r="C112" s="883"/>
      <c r="D112" s="369" t="s">
        <v>34</v>
      </c>
      <c r="E112" s="903">
        <v>40.53330844532934</v>
      </c>
      <c r="F112" s="904"/>
      <c r="G112" s="904">
        <v>42.166341145833286</v>
      </c>
      <c r="H112" s="904"/>
      <c r="I112" s="967">
        <v>41.349824795581313</v>
      </c>
      <c r="J112" s="968"/>
      <c r="K112" s="369"/>
      <c r="L112" s="347">
        <v>2016</v>
      </c>
      <c r="M112" s="768"/>
      <c r="N112" s="892" t="s">
        <v>77</v>
      </c>
      <c r="Q112" s="864"/>
      <c r="R112" s="864"/>
      <c r="S112" s="864"/>
      <c r="T112" s="864"/>
      <c r="U112" s="864"/>
      <c r="V112" s="864"/>
    </row>
    <row r="113" spans="2:22" s="370" customFormat="1" ht="12.6" hidden="1" customHeight="1">
      <c r="B113" s="874">
        <v>2016</v>
      </c>
      <c r="C113" s="883"/>
      <c r="D113" s="369" t="s">
        <v>29</v>
      </c>
      <c r="E113" s="903">
        <v>38.440735520246072</v>
      </c>
      <c r="F113" s="904"/>
      <c r="G113" s="904">
        <v>39.609025032938106</v>
      </c>
      <c r="H113" s="904"/>
      <c r="I113" s="967">
        <f t="shared" ref="I113:I125" si="7">SUM(E113:G113)/2</f>
        <v>39.024880276592086</v>
      </c>
      <c r="J113" s="968"/>
      <c r="K113" s="829"/>
      <c r="L113" s="347">
        <v>2016</v>
      </c>
      <c r="M113" s="768"/>
      <c r="N113" s="892" t="s">
        <v>29</v>
      </c>
      <c r="Q113" s="864"/>
      <c r="R113" s="864"/>
      <c r="S113" s="864"/>
      <c r="T113" s="864"/>
      <c r="U113" s="864"/>
      <c r="V113" s="864"/>
    </row>
    <row r="114" spans="2:22" s="370" customFormat="1" ht="12.6" hidden="1" customHeight="1">
      <c r="B114" s="874">
        <v>2016</v>
      </c>
      <c r="C114" s="883"/>
      <c r="D114" s="369" t="s">
        <v>35</v>
      </c>
      <c r="E114" s="903">
        <v>39.644348452123815</v>
      </c>
      <c r="F114" s="904"/>
      <c r="G114" s="904">
        <v>39.644348452123815</v>
      </c>
      <c r="H114" s="904"/>
      <c r="I114" s="967">
        <f t="shared" si="7"/>
        <v>39.644348452123815</v>
      </c>
      <c r="J114" s="968"/>
      <c r="K114" s="828"/>
      <c r="L114" s="347">
        <v>2016</v>
      </c>
      <c r="M114" s="768"/>
      <c r="N114" s="892" t="s">
        <v>78</v>
      </c>
      <c r="Q114" s="864"/>
      <c r="R114" s="864"/>
      <c r="S114" s="864"/>
      <c r="T114" s="864"/>
      <c r="U114" s="864"/>
      <c r="V114" s="864"/>
    </row>
    <row r="115" spans="2:22" s="370" customFormat="1" ht="12.6" hidden="1" customHeight="1">
      <c r="B115" s="874">
        <v>2016</v>
      </c>
      <c r="C115" s="883"/>
      <c r="D115" s="369" t="s">
        <v>4</v>
      </c>
      <c r="E115" s="903">
        <v>41.995567540759993</v>
      </c>
      <c r="F115" s="904"/>
      <c r="G115" s="904">
        <v>45.587899543378995</v>
      </c>
      <c r="H115" s="904"/>
      <c r="I115" s="967">
        <f t="shared" si="7"/>
        <v>43.791733542069494</v>
      </c>
      <c r="J115" s="968"/>
      <c r="K115" s="369"/>
      <c r="L115" s="347">
        <v>2016</v>
      </c>
      <c r="M115" s="768"/>
      <c r="N115" s="892" t="s">
        <v>79</v>
      </c>
      <c r="Q115" s="864"/>
      <c r="R115" s="864"/>
      <c r="S115" s="864"/>
      <c r="T115" s="864"/>
      <c r="U115" s="864"/>
      <c r="V115" s="864"/>
    </row>
    <row r="116" spans="2:22" s="370" customFormat="1" ht="12.6" hidden="1" customHeight="1">
      <c r="B116" s="874">
        <v>2016</v>
      </c>
      <c r="C116" s="883"/>
      <c r="D116" s="369" t="s">
        <v>30</v>
      </c>
      <c r="E116" s="903">
        <v>37.412428725535506</v>
      </c>
      <c r="F116" s="904"/>
      <c r="G116" s="904">
        <v>42.106105610561052</v>
      </c>
      <c r="H116" s="904"/>
      <c r="I116" s="967">
        <f t="shared" si="7"/>
        <v>39.759267168048282</v>
      </c>
      <c r="J116" s="968"/>
      <c r="K116" s="369"/>
      <c r="L116" s="347">
        <v>2016</v>
      </c>
      <c r="M116" s="768"/>
      <c r="N116" s="892" t="s">
        <v>80</v>
      </c>
      <c r="Q116" s="864"/>
      <c r="R116" s="864"/>
      <c r="S116" s="864"/>
      <c r="T116" s="864"/>
      <c r="U116" s="864"/>
      <c r="V116" s="864"/>
    </row>
    <row r="117" spans="2:22" s="370" customFormat="1" ht="12.6" hidden="1" customHeight="1">
      <c r="B117" s="874">
        <v>2016</v>
      </c>
      <c r="C117" s="883"/>
      <c r="D117" s="369" t="s">
        <v>36</v>
      </c>
      <c r="E117" s="903">
        <v>35.526892946165482</v>
      </c>
      <c r="F117" s="904"/>
      <c r="G117" s="904">
        <v>42.401234567901227</v>
      </c>
      <c r="H117" s="904"/>
      <c r="I117" s="967">
        <f t="shared" si="7"/>
        <v>38.964063757033358</v>
      </c>
      <c r="J117" s="968"/>
      <c r="K117" s="369"/>
      <c r="L117" s="347">
        <v>2016</v>
      </c>
      <c r="M117" s="768"/>
      <c r="N117" s="892" t="s">
        <v>81</v>
      </c>
      <c r="Q117" s="864"/>
      <c r="R117" s="864"/>
      <c r="S117" s="864"/>
      <c r="T117" s="864"/>
      <c r="U117" s="864"/>
      <c r="V117" s="864"/>
    </row>
    <row r="118" spans="2:22" s="370" customFormat="1" ht="12.6" hidden="1" customHeight="1">
      <c r="B118" s="874">
        <v>2016</v>
      </c>
      <c r="C118" s="883"/>
      <c r="D118" s="369" t="s">
        <v>37</v>
      </c>
      <c r="E118" s="903">
        <v>40.716629464285646</v>
      </c>
      <c r="F118" s="904"/>
      <c r="G118" s="904">
        <v>43.456829646876216</v>
      </c>
      <c r="H118" s="904"/>
      <c r="I118" s="967">
        <f t="shared" si="7"/>
        <v>42.086729555580931</v>
      </c>
      <c r="J118" s="968"/>
      <c r="K118" s="369"/>
      <c r="L118" s="347">
        <v>2016</v>
      </c>
      <c r="M118" s="768"/>
      <c r="N118" s="892" t="str">
        <f>N106</f>
        <v>Aoû</v>
      </c>
      <c r="Q118" s="864"/>
      <c r="R118" s="864"/>
      <c r="S118" s="864"/>
      <c r="T118" s="864"/>
      <c r="U118" s="864"/>
      <c r="V118" s="864"/>
    </row>
    <row r="119" spans="2:22" s="370" customFormat="1" ht="12.6" hidden="1" customHeight="1">
      <c r="B119" s="874">
        <v>2016</v>
      </c>
      <c r="C119" s="883"/>
      <c r="D119" s="369" t="s">
        <v>31</v>
      </c>
      <c r="E119" s="903">
        <v>37.906857896472168</v>
      </c>
      <c r="F119" s="904"/>
      <c r="G119" s="904">
        <v>40.449970913321678</v>
      </c>
      <c r="H119" s="904"/>
      <c r="I119" s="967">
        <f t="shared" si="7"/>
        <v>39.178414404896927</v>
      </c>
      <c r="J119" s="968"/>
      <c r="K119" s="829"/>
      <c r="L119" s="347">
        <v>2016</v>
      </c>
      <c r="M119" s="768"/>
      <c r="N119" s="892" t="str">
        <f>N107</f>
        <v>Sep</v>
      </c>
      <c r="Q119" s="864"/>
      <c r="R119" s="864"/>
      <c r="S119" s="864"/>
      <c r="T119" s="864"/>
      <c r="U119" s="864"/>
      <c r="V119" s="864"/>
    </row>
    <row r="120" spans="2:22" s="370" customFormat="1" ht="12.6" hidden="1" customHeight="1">
      <c r="B120" s="874">
        <v>2016</v>
      </c>
      <c r="C120" s="883"/>
      <c r="D120" s="369" t="s">
        <v>38</v>
      </c>
      <c r="E120" s="903">
        <v>39.0450178975819</v>
      </c>
      <c r="F120" s="904"/>
      <c r="G120" s="904">
        <v>43.507747933884303</v>
      </c>
      <c r="H120" s="904"/>
      <c r="I120" s="967">
        <f t="shared" si="7"/>
        <v>41.276382915733102</v>
      </c>
      <c r="J120" s="968"/>
      <c r="K120" s="369"/>
      <c r="L120" s="347">
        <v>2016</v>
      </c>
      <c r="M120" s="768"/>
      <c r="N120" s="892" t="s">
        <v>38</v>
      </c>
      <c r="Q120" s="864"/>
      <c r="R120" s="864"/>
      <c r="S120" s="864"/>
      <c r="T120" s="864"/>
      <c r="U120" s="864"/>
      <c r="V120" s="864"/>
    </row>
    <row r="121" spans="2:22" s="370" customFormat="1" ht="12.6" hidden="1" customHeight="1">
      <c r="B121" s="874">
        <v>2016</v>
      </c>
      <c r="C121" s="883"/>
      <c r="D121" s="369" t="s">
        <v>39</v>
      </c>
      <c r="E121" s="903">
        <v>39.82327178030291</v>
      </c>
      <c r="F121" s="904"/>
      <c r="G121" s="904">
        <v>42.083687190375088</v>
      </c>
      <c r="H121" s="904"/>
      <c r="I121" s="967">
        <f t="shared" si="7"/>
        <v>40.953479485339003</v>
      </c>
      <c r="J121" s="968"/>
      <c r="K121" s="829"/>
      <c r="L121" s="347">
        <v>2016</v>
      </c>
      <c r="M121" s="768"/>
      <c r="N121" s="892" t="s">
        <v>39</v>
      </c>
      <c r="Q121" s="864"/>
      <c r="R121" s="864"/>
      <c r="S121" s="864"/>
      <c r="T121" s="864"/>
      <c r="U121" s="864"/>
      <c r="V121" s="864"/>
    </row>
    <row r="122" spans="2:22" s="370" customFormat="1" ht="12.6" hidden="1" customHeight="1">
      <c r="B122" s="874">
        <v>2016</v>
      </c>
      <c r="C122" s="883"/>
      <c r="D122" s="369" t="s">
        <v>32</v>
      </c>
      <c r="E122" s="903">
        <v>36.259327816492579</v>
      </c>
      <c r="F122" s="904"/>
      <c r="G122" s="904">
        <v>44.296755162241858</v>
      </c>
      <c r="H122" s="904"/>
      <c r="I122" s="967">
        <f t="shared" si="7"/>
        <v>40.278041489367219</v>
      </c>
      <c r="J122" s="968"/>
      <c r="K122" s="972"/>
      <c r="L122" s="347">
        <v>2016</v>
      </c>
      <c r="M122" s="768"/>
      <c r="N122" s="892" t="s">
        <v>83</v>
      </c>
      <c r="Q122" s="864"/>
      <c r="R122" s="864"/>
      <c r="S122" s="864"/>
      <c r="T122" s="864"/>
      <c r="U122" s="864"/>
      <c r="V122" s="864"/>
    </row>
    <row r="123" spans="2:22" s="370" customFormat="1" ht="12.6" hidden="1" customHeight="1">
      <c r="B123" s="874">
        <v>2017</v>
      </c>
      <c r="C123" s="883"/>
      <c r="D123" s="369" t="s">
        <v>33</v>
      </c>
      <c r="E123" s="903">
        <v>34.16851895409453</v>
      </c>
      <c r="F123" s="904"/>
      <c r="G123" s="904">
        <v>40.281938325991206</v>
      </c>
      <c r="H123" s="904"/>
      <c r="I123" s="967">
        <f t="shared" si="7"/>
        <v>37.225228640042872</v>
      </c>
      <c r="J123" s="968"/>
      <c r="K123" s="972"/>
      <c r="L123" s="347">
        <v>2017</v>
      </c>
      <c r="M123" s="768"/>
      <c r="N123" s="892" t="s">
        <v>33</v>
      </c>
      <c r="Q123" s="864"/>
      <c r="R123" s="864"/>
      <c r="S123" s="864"/>
      <c r="T123" s="864"/>
      <c r="U123" s="864"/>
      <c r="V123" s="864"/>
    </row>
    <row r="124" spans="2:22" s="370" customFormat="1" ht="12.6" hidden="1" customHeight="1">
      <c r="B124" s="874">
        <v>2017</v>
      </c>
      <c r="C124" s="883"/>
      <c r="D124" s="369" t="s">
        <v>34</v>
      </c>
      <c r="E124" s="903">
        <v>39.125997110734211</v>
      </c>
      <c r="F124" s="904"/>
      <c r="G124" s="904">
        <v>46.150440044004384</v>
      </c>
      <c r="H124" s="904"/>
      <c r="I124" s="967">
        <f t="shared" si="7"/>
        <v>42.638218577369301</v>
      </c>
      <c r="J124" s="968"/>
      <c r="K124" s="972"/>
      <c r="L124" s="347">
        <v>2017</v>
      </c>
      <c r="M124" s="768"/>
      <c r="N124" s="892" t="s">
        <v>77</v>
      </c>
      <c r="Q124" s="864"/>
      <c r="R124" s="864"/>
      <c r="S124" s="864"/>
      <c r="T124" s="864"/>
      <c r="U124" s="864"/>
      <c r="V124" s="864"/>
    </row>
    <row r="125" spans="2:22" s="370" customFormat="1" ht="12.6" hidden="1" customHeight="1">
      <c r="B125" s="874">
        <v>2017</v>
      </c>
      <c r="C125" s="883"/>
      <c r="D125" s="369" t="s">
        <v>29</v>
      </c>
      <c r="E125" s="903">
        <v>42.016358580075135</v>
      </c>
      <c r="F125" s="904"/>
      <c r="G125" s="904">
        <v>43.245198902606298</v>
      </c>
      <c r="H125" s="904"/>
      <c r="I125" s="967">
        <f t="shared" si="7"/>
        <v>42.63077874134072</v>
      </c>
      <c r="J125" s="968"/>
      <c r="K125" s="828"/>
      <c r="L125" s="347">
        <v>2017</v>
      </c>
      <c r="M125" s="768"/>
      <c r="N125" s="892" t="s">
        <v>65</v>
      </c>
      <c r="Q125" s="864"/>
      <c r="R125" s="864"/>
      <c r="S125" s="864"/>
      <c r="T125" s="864"/>
      <c r="U125" s="864"/>
      <c r="V125" s="864"/>
    </row>
    <row r="126" spans="2:22" s="370" customFormat="1" ht="12.6" hidden="1" customHeight="1">
      <c r="B126" s="874">
        <v>2017</v>
      </c>
      <c r="C126" s="883"/>
      <c r="D126" s="369" t="s">
        <v>35</v>
      </c>
      <c r="E126" s="903">
        <v>38.150508607198873</v>
      </c>
      <c r="F126" s="904"/>
      <c r="G126" s="904">
        <v>43.474497991967894</v>
      </c>
      <c r="H126" s="904"/>
      <c r="I126" s="967">
        <f>SUM(E126:G126)/2</f>
        <v>40.812503299583383</v>
      </c>
      <c r="J126" s="968"/>
      <c r="K126" s="369"/>
      <c r="L126" s="347">
        <v>2017</v>
      </c>
      <c r="M126" s="768"/>
      <c r="N126" s="892" t="s">
        <v>78</v>
      </c>
      <c r="Q126" s="864"/>
      <c r="R126" s="864"/>
      <c r="S126" s="864"/>
      <c r="T126" s="864"/>
      <c r="U126" s="864"/>
      <c r="V126" s="864"/>
    </row>
    <row r="127" spans="2:22" s="370" customFormat="1" ht="12.6" hidden="1" customHeight="1">
      <c r="B127" s="874">
        <v>2017</v>
      </c>
      <c r="C127" s="883"/>
      <c r="D127" s="369" t="s">
        <v>4</v>
      </c>
      <c r="E127" s="903">
        <v>41.45470533254624</v>
      </c>
      <c r="F127" s="904"/>
      <c r="G127" s="904">
        <v>44.38668320926385</v>
      </c>
      <c r="H127" s="904"/>
      <c r="I127" s="967">
        <f>SUM(E127:G127)/2</f>
        <v>42.920694270905045</v>
      </c>
      <c r="J127" s="968"/>
      <c r="K127" s="369"/>
      <c r="L127" s="347">
        <v>2017</v>
      </c>
      <c r="M127" s="768"/>
      <c r="N127" s="892" t="s">
        <v>79</v>
      </c>
      <c r="Q127" s="864"/>
      <c r="R127" s="864"/>
      <c r="S127" s="864"/>
      <c r="T127" s="864"/>
      <c r="U127" s="864"/>
      <c r="V127" s="864"/>
    </row>
    <row r="128" spans="2:22" s="370" customFormat="1" ht="12.6" hidden="1" customHeight="1">
      <c r="B128" s="874">
        <v>2017</v>
      </c>
      <c r="C128" s="883"/>
      <c r="D128" s="369" t="s">
        <v>30</v>
      </c>
      <c r="E128" s="903">
        <v>39.213171625222124</v>
      </c>
      <c r="F128" s="904"/>
      <c r="G128" s="904">
        <v>38.195630081300791</v>
      </c>
      <c r="H128" s="904"/>
      <c r="I128" s="967">
        <f>SUM(E128:G128)/2</f>
        <v>38.704400853261461</v>
      </c>
      <c r="J128" s="968"/>
      <c r="K128" s="369"/>
      <c r="L128" s="347">
        <v>2017</v>
      </c>
      <c r="M128" s="768"/>
      <c r="N128" s="892" t="s">
        <v>80</v>
      </c>
      <c r="Q128" s="864"/>
      <c r="R128" s="864"/>
      <c r="S128" s="864"/>
      <c r="T128" s="864"/>
      <c r="U128" s="864"/>
      <c r="V128" s="864"/>
    </row>
    <row r="129" spans="2:22" s="370" customFormat="1" ht="12.6" hidden="1" customHeight="1">
      <c r="B129" s="874">
        <v>2017</v>
      </c>
      <c r="C129" s="883"/>
      <c r="D129" s="369" t="s">
        <v>36</v>
      </c>
      <c r="E129" s="903">
        <v>37.846094545236781</v>
      </c>
      <c r="F129" s="904"/>
      <c r="G129" s="904">
        <v>40.538545059717741</v>
      </c>
      <c r="H129" s="904"/>
      <c r="I129" s="967">
        <f>SUM(E129:G129)/2</f>
        <v>39.192319802477257</v>
      </c>
      <c r="J129" s="968"/>
      <c r="K129" s="369"/>
      <c r="L129" s="347">
        <v>2017</v>
      </c>
      <c r="M129" s="768"/>
      <c r="N129" s="892" t="s">
        <v>81</v>
      </c>
      <c r="Q129" s="864"/>
      <c r="R129" s="864"/>
      <c r="S129" s="864"/>
      <c r="T129" s="864"/>
      <c r="U129" s="864"/>
      <c r="V129" s="864"/>
    </row>
    <row r="130" spans="2:22" s="370" customFormat="1" ht="12.6" hidden="1" customHeight="1">
      <c r="B130" s="874">
        <v>2017</v>
      </c>
      <c r="C130" s="883"/>
      <c r="D130" s="369" t="s">
        <v>37</v>
      </c>
      <c r="E130" s="903">
        <v>41.602497874149478</v>
      </c>
      <c r="F130" s="904"/>
      <c r="G130" s="904">
        <v>44.070679681851026</v>
      </c>
      <c r="H130" s="904"/>
      <c r="I130" s="967">
        <v>42.836588778000248</v>
      </c>
      <c r="J130" s="968"/>
      <c r="K130" s="369"/>
      <c r="L130" s="347"/>
      <c r="M130" s="768"/>
      <c r="N130" s="892" t="str">
        <f>N118</f>
        <v>Aoû</v>
      </c>
      <c r="Q130" s="864"/>
      <c r="R130" s="864"/>
      <c r="S130" s="864"/>
      <c r="T130" s="864"/>
      <c r="U130" s="864"/>
      <c r="V130" s="864"/>
    </row>
    <row r="131" spans="2:22" s="370" customFormat="1" ht="12.6" hidden="1" customHeight="1">
      <c r="B131" s="874">
        <v>2017</v>
      </c>
      <c r="C131" s="883"/>
      <c r="D131" s="369" t="s">
        <v>31</v>
      </c>
      <c r="E131" s="903">
        <v>35.744403764010478</v>
      </c>
      <c r="F131" s="904"/>
      <c r="G131" s="904">
        <v>43.021084337349379</v>
      </c>
      <c r="H131" s="904"/>
      <c r="I131" s="967">
        <v>39.382744050679932</v>
      </c>
      <c r="J131" s="968"/>
      <c r="K131" s="369"/>
      <c r="L131" s="347">
        <v>2017</v>
      </c>
      <c r="M131" s="768"/>
      <c r="N131" s="892" t="s">
        <v>31</v>
      </c>
      <c r="Q131" s="864"/>
      <c r="R131" s="864"/>
      <c r="S131" s="864"/>
      <c r="T131" s="864"/>
      <c r="U131" s="864"/>
      <c r="V131" s="864"/>
    </row>
    <row r="132" spans="2:22" s="370" customFormat="1" ht="12.6" hidden="1" customHeight="1">
      <c r="B132" s="874">
        <v>2017</v>
      </c>
      <c r="C132" s="883"/>
      <c r="D132" s="369" t="s">
        <v>38</v>
      </c>
      <c r="E132" s="903">
        <v>39.97213174086135</v>
      </c>
      <c r="F132" s="904"/>
      <c r="G132" s="904">
        <v>42.708506944444466</v>
      </c>
      <c r="H132" s="904"/>
      <c r="I132" s="967">
        <v>41.340319342652904</v>
      </c>
      <c r="J132" s="968"/>
      <c r="K132" s="369"/>
      <c r="L132" s="347">
        <v>2017</v>
      </c>
      <c r="M132" s="768"/>
      <c r="N132" s="892" t="s">
        <v>38</v>
      </c>
      <c r="Q132" s="864"/>
      <c r="R132" s="864"/>
      <c r="S132" s="864"/>
      <c r="T132" s="864"/>
      <c r="U132" s="864"/>
      <c r="V132" s="864"/>
    </row>
    <row r="133" spans="2:22" s="370" customFormat="1" ht="12.6" hidden="1" customHeight="1">
      <c r="B133" s="874">
        <v>2017</v>
      </c>
      <c r="C133" s="883"/>
      <c r="D133" s="369" t="s">
        <v>39</v>
      </c>
      <c r="E133" s="903">
        <v>41.605538468360834</v>
      </c>
      <c r="F133" s="904"/>
      <c r="G133" s="904">
        <v>43.419522326064353</v>
      </c>
      <c r="H133" s="904"/>
      <c r="I133" s="967">
        <v>40.734654470102662</v>
      </c>
      <c r="J133" s="968"/>
      <c r="K133" s="369"/>
      <c r="L133" s="347">
        <v>2017</v>
      </c>
      <c r="M133" s="768"/>
      <c r="N133" s="892" t="s">
        <v>39</v>
      </c>
      <c r="Q133" s="864"/>
      <c r="R133" s="864"/>
      <c r="S133" s="864"/>
      <c r="T133" s="864"/>
      <c r="U133" s="864"/>
      <c r="V133" s="864"/>
    </row>
    <row r="134" spans="2:22" s="370" customFormat="1" ht="12.6" hidden="1" customHeight="1">
      <c r="B134" s="874">
        <v>2017</v>
      </c>
      <c r="C134" s="883"/>
      <c r="D134" s="369" t="s">
        <v>32</v>
      </c>
      <c r="E134" s="903">
        <v>36.51170816761794</v>
      </c>
      <c r="F134" s="904"/>
      <c r="G134" s="904">
        <v>38.135242085661126</v>
      </c>
      <c r="H134" s="904"/>
      <c r="I134" s="967">
        <v>37.323475126639536</v>
      </c>
      <c r="J134" s="968"/>
      <c r="K134" s="369"/>
      <c r="L134" s="347">
        <v>2017</v>
      </c>
      <c r="M134" s="768"/>
      <c r="N134" s="892" t="s">
        <v>83</v>
      </c>
      <c r="Q134" s="864"/>
      <c r="R134" s="864"/>
      <c r="S134" s="864"/>
      <c r="T134" s="864"/>
      <c r="U134" s="864"/>
      <c r="V134" s="864"/>
    </row>
    <row r="135" spans="2:22" s="370" customFormat="1" ht="12.6" hidden="1" customHeight="1">
      <c r="B135" s="874">
        <v>2018</v>
      </c>
      <c r="C135" s="883"/>
      <c r="D135" s="369" t="s">
        <v>33</v>
      </c>
      <c r="E135" s="903">
        <v>36.405079250720455</v>
      </c>
      <c r="F135" s="904"/>
      <c r="G135" s="904">
        <v>39.376207729468582</v>
      </c>
      <c r="H135" s="904"/>
      <c r="I135" s="967">
        <v>37.890643490094519</v>
      </c>
      <c r="J135" s="968"/>
      <c r="K135" s="369"/>
      <c r="L135" s="347">
        <v>2018</v>
      </c>
      <c r="M135" s="768"/>
      <c r="N135" s="892" t="s">
        <v>33</v>
      </c>
      <c r="Q135" s="864"/>
      <c r="R135" s="864"/>
      <c r="S135" s="864"/>
      <c r="T135" s="864"/>
      <c r="U135" s="864"/>
      <c r="V135" s="864"/>
    </row>
    <row r="136" spans="2:22" s="370" customFormat="1" ht="12.6" hidden="1" customHeight="1">
      <c r="B136" s="874">
        <v>2018</v>
      </c>
      <c r="C136" s="883"/>
      <c r="D136" s="369" t="s">
        <v>34</v>
      </c>
      <c r="E136" s="903">
        <v>40.062736081458333</v>
      </c>
      <c r="F136" s="904"/>
      <c r="G136" s="904">
        <v>46.056967984934062</v>
      </c>
      <c r="H136" s="904"/>
      <c r="I136" s="967">
        <v>43.059852033196194</v>
      </c>
      <c r="J136" s="968"/>
      <c r="K136" s="369"/>
      <c r="L136" s="347">
        <v>2018</v>
      </c>
      <c r="M136" s="768"/>
      <c r="N136" s="892" t="s">
        <v>77</v>
      </c>
      <c r="Q136" s="864"/>
      <c r="R136" s="864"/>
      <c r="S136" s="864"/>
      <c r="T136" s="864"/>
      <c r="U136" s="864"/>
      <c r="V136" s="864"/>
    </row>
    <row r="137" spans="2:22" s="370" customFormat="1" ht="12.6" hidden="1" customHeight="1">
      <c r="B137" s="874">
        <v>2018</v>
      </c>
      <c r="C137" s="883"/>
      <c r="D137" s="369" t="s">
        <v>29</v>
      </c>
      <c r="E137" s="903">
        <v>40.976993492618462</v>
      </c>
      <c r="F137" s="904"/>
      <c r="G137" s="904">
        <v>43.941798941798943</v>
      </c>
      <c r="H137" s="904"/>
      <c r="I137" s="967">
        <v>42.459396217208706</v>
      </c>
      <c r="J137" s="968"/>
      <c r="K137" s="369"/>
      <c r="L137" s="347">
        <v>2018</v>
      </c>
      <c r="M137" s="768"/>
      <c r="N137" s="892" t="s">
        <v>29</v>
      </c>
      <c r="Q137" s="864"/>
      <c r="R137" s="864"/>
      <c r="S137" s="864"/>
      <c r="T137" s="864"/>
      <c r="U137" s="864"/>
      <c r="V137" s="864"/>
    </row>
    <row r="138" spans="2:22" s="370" customFormat="1" ht="12.6" hidden="1" customHeight="1">
      <c r="B138" s="874">
        <v>2018</v>
      </c>
      <c r="C138" s="883"/>
      <c r="D138" s="369" t="s">
        <v>35</v>
      </c>
      <c r="E138" s="903">
        <v>36.915194024104807</v>
      </c>
      <c r="F138" s="904"/>
      <c r="G138" s="904">
        <v>40.531897926634777</v>
      </c>
      <c r="H138" s="904"/>
      <c r="I138" s="967">
        <f>AVERAGE(E138:G138)</f>
        <v>38.723545975369788</v>
      </c>
      <c r="J138" s="968"/>
      <c r="K138" s="369"/>
      <c r="L138" s="347">
        <v>2018</v>
      </c>
      <c r="M138" s="768"/>
      <c r="N138" s="892" t="s">
        <v>78</v>
      </c>
      <c r="Q138" s="864"/>
      <c r="R138" s="864"/>
      <c r="S138" s="864"/>
      <c r="T138" s="864"/>
      <c r="U138" s="864"/>
      <c r="V138" s="864"/>
    </row>
    <row r="139" spans="2:22" s="370" customFormat="1" ht="12.6" hidden="1" customHeight="1">
      <c r="B139" s="874">
        <v>2018</v>
      </c>
      <c r="C139" s="883"/>
      <c r="D139" s="369" t="s">
        <v>4</v>
      </c>
      <c r="E139" s="903">
        <v>39.328815679733033</v>
      </c>
      <c r="F139" s="904"/>
      <c r="G139" s="904">
        <v>48.144528437725015</v>
      </c>
      <c r="H139" s="904"/>
      <c r="I139" s="967">
        <v>43.736672058729027</v>
      </c>
      <c r="J139" s="968"/>
      <c r="K139" s="369"/>
      <c r="L139" s="347">
        <v>2018</v>
      </c>
      <c r="M139" s="768"/>
      <c r="N139" s="892" t="s">
        <v>79</v>
      </c>
      <c r="Q139" s="864"/>
      <c r="R139" s="864"/>
      <c r="S139" s="864"/>
      <c r="T139" s="864"/>
      <c r="U139" s="864"/>
      <c r="V139" s="864"/>
    </row>
    <row r="140" spans="2:22" s="370" customFormat="1" ht="12.6" hidden="1" customHeight="1">
      <c r="B140" s="874">
        <v>2018</v>
      </c>
      <c r="C140" s="883"/>
      <c r="D140" s="369" t="s">
        <v>30</v>
      </c>
      <c r="E140" s="903">
        <v>39.79975771862614</v>
      </c>
      <c r="F140" s="904"/>
      <c r="G140" s="904">
        <v>43.11849957374254</v>
      </c>
      <c r="H140" s="904"/>
      <c r="I140" s="967">
        <v>41.45912864618434</v>
      </c>
      <c r="J140" s="968"/>
      <c r="K140" s="369"/>
      <c r="L140" s="347">
        <v>2018</v>
      </c>
      <c r="M140" s="768"/>
      <c r="N140" s="892" t="s">
        <v>80</v>
      </c>
      <c r="P140" s="370" t="s">
        <v>41</v>
      </c>
      <c r="Q140" s="864"/>
      <c r="R140" s="864"/>
      <c r="S140" s="864"/>
      <c r="T140" s="864"/>
      <c r="U140" s="864"/>
      <c r="V140" s="864"/>
    </row>
    <row r="141" spans="2:22" s="370" customFormat="1" ht="12.6" hidden="1" customHeight="1">
      <c r="B141" s="874">
        <v>2018</v>
      </c>
      <c r="C141" s="883"/>
      <c r="D141" s="369" t="s">
        <v>36</v>
      </c>
      <c r="E141" s="903">
        <v>38.371433596498221</v>
      </c>
      <c r="F141" s="904"/>
      <c r="G141" s="904">
        <v>40.596547314577961</v>
      </c>
      <c r="H141" s="904"/>
      <c r="I141" s="967">
        <v>39.483990455538091</v>
      </c>
      <c r="J141" s="968"/>
      <c r="K141" s="369"/>
      <c r="L141" s="347">
        <v>2018</v>
      </c>
      <c r="M141" s="768"/>
      <c r="N141" s="892" t="s">
        <v>81</v>
      </c>
      <c r="Q141" s="864"/>
      <c r="R141" s="864"/>
      <c r="S141" s="864"/>
      <c r="T141" s="864"/>
      <c r="U141" s="864"/>
      <c r="V141" s="864"/>
    </row>
    <row r="142" spans="2:22" s="370" customFormat="1" ht="12.6" hidden="1" customHeight="1">
      <c r="B142" s="874">
        <v>2018</v>
      </c>
      <c r="C142" s="883"/>
      <c r="D142" s="369" t="s">
        <v>271</v>
      </c>
      <c r="E142" s="903">
        <v>39.528989310009457</v>
      </c>
      <c r="F142" s="904"/>
      <c r="G142" s="904">
        <v>46.102015113350134</v>
      </c>
      <c r="H142" s="904"/>
      <c r="I142" s="967">
        <v>42.815502211679799</v>
      </c>
      <c r="J142" s="968"/>
      <c r="K142" s="369"/>
      <c r="L142" s="347">
        <v>2018</v>
      </c>
      <c r="M142" s="768"/>
      <c r="N142" s="892" t="str">
        <f>N130</f>
        <v>Aoû</v>
      </c>
      <c r="Q142" s="864"/>
      <c r="R142" s="864"/>
      <c r="S142" s="864"/>
      <c r="T142" s="864"/>
      <c r="U142" s="864"/>
      <c r="V142" s="864"/>
    </row>
    <row r="143" spans="2:22" s="370" customFormat="1" ht="12.6" hidden="1" customHeight="1">
      <c r="B143" s="874">
        <v>2018</v>
      </c>
      <c r="C143" s="883"/>
      <c r="D143" s="369" t="s">
        <v>31</v>
      </c>
      <c r="E143" s="903">
        <v>39.188181270701556</v>
      </c>
      <c r="F143" s="904"/>
      <c r="G143" s="904">
        <v>42.662687265917597</v>
      </c>
      <c r="H143" s="904"/>
      <c r="I143" s="967">
        <v>40.925434268309573</v>
      </c>
      <c r="J143" s="968"/>
      <c r="K143" s="369"/>
      <c r="L143" s="347">
        <v>2018</v>
      </c>
      <c r="M143" s="768"/>
      <c r="N143" s="892" t="s">
        <v>31</v>
      </c>
      <c r="Q143" s="864"/>
      <c r="R143" s="864"/>
      <c r="S143" s="864"/>
      <c r="T143" s="864"/>
      <c r="U143" s="864"/>
      <c r="V143" s="864"/>
    </row>
    <row r="144" spans="2:22" s="370" customFormat="1" ht="12.6" hidden="1" customHeight="1">
      <c r="B144" s="874">
        <v>2018</v>
      </c>
      <c r="C144" s="883"/>
      <c r="D144" s="369" t="s">
        <v>38</v>
      </c>
      <c r="E144" s="903">
        <v>39.577644791561063</v>
      </c>
      <c r="F144" s="904"/>
      <c r="G144" s="904">
        <v>44.626998769987715</v>
      </c>
      <c r="H144" s="904"/>
      <c r="I144" s="967">
        <v>42.102321780774389</v>
      </c>
      <c r="J144" s="968"/>
      <c r="K144" s="369"/>
      <c r="L144" s="347">
        <v>2018</v>
      </c>
      <c r="M144" s="768"/>
      <c r="N144" s="892" t="s">
        <v>38</v>
      </c>
      <c r="Q144" s="864"/>
      <c r="R144" s="864"/>
      <c r="S144" s="864"/>
      <c r="T144" s="864"/>
      <c r="U144" s="864"/>
      <c r="V144" s="864"/>
    </row>
    <row r="145" spans="2:22" s="370" customFormat="1" ht="12.6" hidden="1" customHeight="1">
      <c r="B145" s="874">
        <v>2018</v>
      </c>
      <c r="C145" s="883"/>
      <c r="D145" s="369" t="s">
        <v>39</v>
      </c>
      <c r="E145" s="903">
        <v>40.480565068493206</v>
      </c>
      <c r="F145" s="904"/>
      <c r="G145" s="904">
        <v>44.716255868544557</v>
      </c>
      <c r="H145" s="904"/>
      <c r="I145" s="967">
        <v>42.598410468518878</v>
      </c>
      <c r="J145" s="968"/>
      <c r="K145" s="369"/>
      <c r="L145" s="347">
        <v>2018</v>
      </c>
      <c r="M145" s="768"/>
      <c r="N145" s="348" t="s">
        <v>39</v>
      </c>
      <c r="Q145" s="864"/>
      <c r="R145" s="864"/>
      <c r="S145" s="864"/>
      <c r="T145" s="864"/>
      <c r="U145" s="864"/>
      <c r="V145" s="864"/>
    </row>
    <row r="146" spans="2:22" s="370" customFormat="1" ht="12.6" hidden="1" customHeight="1">
      <c r="B146" s="874">
        <v>2018</v>
      </c>
      <c r="C146" s="883"/>
      <c r="D146" s="369" t="s">
        <v>32</v>
      </c>
      <c r="E146" s="903">
        <v>36.003407268840192</v>
      </c>
      <c r="F146" s="904"/>
      <c r="G146" s="904">
        <v>38.772941970310413</v>
      </c>
      <c r="H146" s="904"/>
      <c r="I146" s="967">
        <v>37.388174619575302</v>
      </c>
      <c r="J146" s="968"/>
      <c r="K146" s="369"/>
      <c r="L146" s="347">
        <v>2018</v>
      </c>
      <c r="M146" s="768"/>
      <c r="N146" s="348" t="s">
        <v>83</v>
      </c>
      <c r="Q146" s="864"/>
      <c r="R146" s="864"/>
      <c r="S146" s="864"/>
      <c r="T146" s="864"/>
      <c r="U146" s="864"/>
      <c r="V146" s="864"/>
    </row>
    <row r="147" spans="2:22" s="370" customFormat="1" ht="12.6" hidden="1" customHeight="1">
      <c r="B147" s="874">
        <v>2019</v>
      </c>
      <c r="C147" s="883"/>
      <c r="D147" s="369" t="s">
        <v>260</v>
      </c>
      <c r="E147" s="903">
        <v>35.084787605346044</v>
      </c>
      <c r="F147" s="904"/>
      <c r="G147" s="904">
        <v>37.694901315789494</v>
      </c>
      <c r="H147" s="904"/>
      <c r="I147" s="967">
        <v>36.389844460567772</v>
      </c>
      <c r="J147" s="968"/>
      <c r="K147" s="369"/>
      <c r="L147" s="347">
        <v>2019</v>
      </c>
      <c r="M147" s="768"/>
      <c r="N147" s="348" t="s">
        <v>260</v>
      </c>
      <c r="Q147" s="864"/>
      <c r="R147" s="864"/>
      <c r="S147" s="864"/>
      <c r="T147" s="864"/>
      <c r="U147" s="864"/>
      <c r="V147" s="864"/>
    </row>
    <row r="148" spans="2:22" s="370" customFormat="1" ht="12.6" hidden="1" customHeight="1">
      <c r="B148" s="874">
        <v>2019</v>
      </c>
      <c r="C148" s="883"/>
      <c r="D148" s="369" t="s">
        <v>350</v>
      </c>
      <c r="E148" s="903">
        <v>39.874739551415615</v>
      </c>
      <c r="F148" s="904"/>
      <c r="G148" s="904">
        <v>44.335877862595417</v>
      </c>
      <c r="H148" s="904"/>
      <c r="I148" s="967">
        <v>42.10530870700552</v>
      </c>
      <c r="J148" s="968"/>
      <c r="K148" s="369"/>
      <c r="L148" s="347">
        <v>2019</v>
      </c>
      <c r="M148" s="768"/>
      <c r="N148" s="348" t="s">
        <v>357</v>
      </c>
      <c r="Q148" s="864"/>
      <c r="R148" s="864"/>
      <c r="S148" s="864"/>
      <c r="T148" s="864"/>
      <c r="U148" s="864"/>
      <c r="V148" s="864"/>
    </row>
    <row r="149" spans="2:22" s="370" customFormat="1" ht="12.6" hidden="1" customHeight="1">
      <c r="B149" s="874">
        <v>2019</v>
      </c>
      <c r="C149" s="883"/>
      <c r="D149" s="369" t="s">
        <v>65</v>
      </c>
      <c r="E149" s="903">
        <v>42.100594168854499</v>
      </c>
      <c r="F149" s="904"/>
      <c r="G149" s="904">
        <v>44.375</v>
      </c>
      <c r="H149" s="904"/>
      <c r="I149" s="967">
        <f>AVERAGE(E149:G149)</f>
        <v>43.23779708442725</v>
      </c>
      <c r="J149" s="968"/>
      <c r="K149" s="369"/>
      <c r="L149" s="347">
        <v>2019</v>
      </c>
      <c r="M149" s="768"/>
      <c r="N149" s="348" t="s">
        <v>65</v>
      </c>
      <c r="Q149" s="864"/>
      <c r="R149" s="864"/>
      <c r="S149" s="864"/>
      <c r="T149" s="864"/>
      <c r="U149" s="864"/>
      <c r="V149" s="864"/>
    </row>
    <row r="150" spans="2:22" s="370" customFormat="1" ht="12.6" hidden="1" customHeight="1">
      <c r="B150" s="874">
        <v>2019</v>
      </c>
      <c r="C150" s="883"/>
      <c r="D150" s="369" t="s">
        <v>351</v>
      </c>
      <c r="E150" s="903">
        <v>36.907277583041228</v>
      </c>
      <c r="F150" s="904"/>
      <c r="G150" s="904">
        <v>37.148936170212764</v>
      </c>
      <c r="H150" s="904"/>
      <c r="I150" s="967">
        <v>37.028106876626993</v>
      </c>
      <c r="J150" s="968"/>
      <c r="K150" s="369"/>
      <c r="L150" s="347">
        <v>2019</v>
      </c>
      <c r="M150" s="768"/>
      <c r="N150" s="348" t="s">
        <v>353</v>
      </c>
      <c r="Q150" s="864"/>
      <c r="R150" s="864"/>
      <c r="S150" s="864"/>
      <c r="T150" s="864"/>
      <c r="U150" s="864"/>
      <c r="V150" s="864"/>
    </row>
    <row r="151" spans="2:22" s="370" customFormat="1" ht="12.6" hidden="1" customHeight="1">
      <c r="B151" s="874">
        <v>2019</v>
      </c>
      <c r="C151" s="883"/>
      <c r="D151" s="369" t="s">
        <v>263</v>
      </c>
      <c r="E151" s="903">
        <v>41.276679841897234</v>
      </c>
      <c r="F151" s="904"/>
      <c r="G151" s="904">
        <v>44.538194444444443</v>
      </c>
      <c r="H151" s="904"/>
      <c r="I151" s="967">
        <v>42.907437143170839</v>
      </c>
      <c r="J151" s="968"/>
      <c r="K151" s="369"/>
      <c r="L151" s="347">
        <v>2019</v>
      </c>
      <c r="M151" s="768"/>
      <c r="N151" s="348" t="s">
        <v>354</v>
      </c>
      <c r="Q151" s="864"/>
      <c r="R151" s="864"/>
      <c r="S151" s="864"/>
      <c r="T151" s="864"/>
      <c r="U151" s="864"/>
      <c r="V151" s="864"/>
    </row>
    <row r="152" spans="2:22" s="370" customFormat="1" ht="12.6" hidden="1" customHeight="1">
      <c r="B152" s="874">
        <v>2019</v>
      </c>
      <c r="C152" s="883"/>
      <c r="D152" s="369" t="s">
        <v>352</v>
      </c>
      <c r="E152" s="903">
        <v>38.641311671782589</v>
      </c>
      <c r="F152" s="904"/>
      <c r="G152" s="904">
        <v>41.65292096219931</v>
      </c>
      <c r="H152" s="904"/>
      <c r="I152" s="967">
        <v>40.147116316990946</v>
      </c>
      <c r="J152" s="968"/>
      <c r="K152" s="369"/>
      <c r="L152" s="347">
        <v>2019</v>
      </c>
      <c r="M152" s="768"/>
      <c r="N152" s="348" t="s">
        <v>355</v>
      </c>
      <c r="Q152" s="864"/>
      <c r="R152" s="864"/>
      <c r="S152" s="864"/>
      <c r="T152" s="864"/>
      <c r="U152" s="864"/>
      <c r="V152" s="864"/>
    </row>
    <row r="153" spans="2:22" s="370" customFormat="1" ht="12.6" hidden="1" customHeight="1">
      <c r="B153" s="874">
        <v>2019</v>
      </c>
      <c r="C153" s="883"/>
      <c r="D153" s="369" t="s">
        <v>266</v>
      </c>
      <c r="E153" s="903">
        <v>38.778697933748774</v>
      </c>
      <c r="F153" s="904"/>
      <c r="G153" s="904">
        <v>42.64691943127962</v>
      </c>
      <c r="H153" s="904"/>
      <c r="I153" s="967">
        <f>AVERAGE(E153:G153)</f>
        <v>40.712808682514193</v>
      </c>
      <c r="J153" s="968"/>
      <c r="K153" s="369"/>
      <c r="L153" s="347">
        <v>2019</v>
      </c>
      <c r="M153" s="768"/>
      <c r="N153" s="348" t="s">
        <v>264</v>
      </c>
      <c r="Q153" s="864"/>
      <c r="R153" s="864"/>
      <c r="S153" s="864"/>
      <c r="T153" s="864"/>
      <c r="U153" s="864"/>
      <c r="V153" s="864"/>
    </row>
    <row r="154" spans="2:22" s="370" customFormat="1" ht="12.6" hidden="1" customHeight="1">
      <c r="B154" s="874">
        <v>2019</v>
      </c>
      <c r="C154" s="883"/>
      <c r="D154" s="369" t="s">
        <v>271</v>
      </c>
      <c r="E154" s="903">
        <v>41.323803191489361</v>
      </c>
      <c r="F154" s="904"/>
      <c r="G154" s="904">
        <v>44.530864197530867</v>
      </c>
      <c r="H154" s="904"/>
      <c r="I154" s="967">
        <v>42.927333694510111</v>
      </c>
      <c r="J154" s="968"/>
      <c r="K154" s="369"/>
      <c r="L154" s="347">
        <v>2019</v>
      </c>
      <c r="M154" s="768"/>
      <c r="N154" s="348" t="s">
        <v>356</v>
      </c>
      <c r="Q154" s="864"/>
      <c r="R154" s="864"/>
      <c r="S154" s="864"/>
      <c r="T154" s="864"/>
      <c r="U154" s="864"/>
      <c r="V154" s="864"/>
    </row>
    <row r="155" spans="2:22" s="370" customFormat="1" ht="12.6" hidden="1" customHeight="1">
      <c r="B155" s="874">
        <v>2019</v>
      </c>
      <c r="C155" s="883"/>
      <c r="D155" s="369" t="s">
        <v>347</v>
      </c>
      <c r="E155" s="903">
        <v>38.575860863485403</v>
      </c>
      <c r="F155" s="904"/>
      <c r="G155" s="904">
        <v>43.058139534883722</v>
      </c>
      <c r="H155" s="904"/>
      <c r="I155" s="967">
        <f>AVERAGE(E155:G155)</f>
        <v>40.817000199184562</v>
      </c>
      <c r="J155" s="968"/>
      <c r="K155" s="369"/>
      <c r="L155" s="347">
        <v>2019</v>
      </c>
      <c r="M155" s="768"/>
      <c r="N155" s="348" t="s">
        <v>347</v>
      </c>
      <c r="Q155" s="864"/>
      <c r="R155" s="864"/>
      <c r="S155" s="864"/>
      <c r="T155" s="864"/>
      <c r="U155" s="864"/>
      <c r="V155" s="864"/>
    </row>
    <row r="156" spans="2:22" s="370" customFormat="1" ht="12.6" hidden="1" customHeight="1">
      <c r="B156" s="874">
        <v>2019</v>
      </c>
      <c r="C156" s="883"/>
      <c r="D156" s="369" t="s">
        <v>50</v>
      </c>
      <c r="E156" s="903">
        <v>39.33339672879422</v>
      </c>
      <c r="F156" s="904"/>
      <c r="G156" s="904">
        <v>43.714285714285715</v>
      </c>
      <c r="H156" s="904"/>
      <c r="I156" s="967">
        <f>AVERAGE(E156:G156)</f>
        <v>41.523841221539968</v>
      </c>
      <c r="J156" s="968"/>
      <c r="K156" s="369"/>
      <c r="L156" s="347">
        <v>2019</v>
      </c>
      <c r="M156" s="768"/>
      <c r="N156" s="348" t="s">
        <v>50</v>
      </c>
      <c r="Q156" s="864"/>
      <c r="R156" s="864"/>
      <c r="S156" s="864"/>
      <c r="T156" s="864"/>
      <c r="U156" s="864"/>
      <c r="V156" s="864"/>
    </row>
    <row r="157" spans="2:22" s="370" customFormat="1" ht="12.6" hidden="1" customHeight="1">
      <c r="B157" s="874">
        <v>2019</v>
      </c>
      <c r="C157" s="883"/>
      <c r="D157" s="369" t="s">
        <v>348</v>
      </c>
      <c r="E157" s="903">
        <v>41.143148547637473</v>
      </c>
      <c r="F157" s="904"/>
      <c r="G157" s="904">
        <v>46.577819877586677</v>
      </c>
      <c r="H157" s="904"/>
      <c r="I157" s="967">
        <v>43.860484212612079</v>
      </c>
      <c r="J157" s="968"/>
      <c r="K157" s="369"/>
      <c r="L157" s="347">
        <v>2019</v>
      </c>
      <c r="M157" s="768"/>
      <c r="N157" s="348" t="s">
        <v>348</v>
      </c>
      <c r="Q157" s="864"/>
      <c r="R157" s="864"/>
      <c r="S157" s="864"/>
      <c r="T157" s="864"/>
      <c r="U157" s="864"/>
      <c r="V157" s="864"/>
    </row>
    <row r="158" spans="2:22" s="370" customFormat="1" ht="12.6" hidden="1" customHeight="1">
      <c r="B158" s="874">
        <v>2019</v>
      </c>
      <c r="C158" s="883"/>
      <c r="D158" s="369" t="s">
        <v>349</v>
      </c>
      <c r="E158" s="903">
        <v>36.160873882820255</v>
      </c>
      <c r="F158" s="904"/>
      <c r="G158" s="904">
        <v>39.387909319899244</v>
      </c>
      <c r="H158" s="904"/>
      <c r="I158" s="967">
        <v>37.774391601359753</v>
      </c>
      <c r="J158" s="968"/>
      <c r="K158" s="369"/>
      <c r="L158" s="347">
        <v>2019</v>
      </c>
      <c r="M158" s="768"/>
      <c r="N158" s="348" t="s">
        <v>83</v>
      </c>
      <c r="Q158" s="864"/>
      <c r="R158" s="864"/>
      <c r="S158" s="864"/>
      <c r="T158" s="864"/>
      <c r="U158" s="864"/>
      <c r="V158" s="864"/>
    </row>
    <row r="159" spans="2:22" s="370" customFormat="1" ht="12.6" hidden="1" customHeight="1">
      <c r="B159" s="874">
        <v>2020</v>
      </c>
      <c r="C159" s="883"/>
      <c r="D159" s="369" t="s">
        <v>260</v>
      </c>
      <c r="E159" s="903">
        <v>35.4</v>
      </c>
      <c r="F159" s="904"/>
      <c r="G159" s="904">
        <v>37.1</v>
      </c>
      <c r="H159" s="904"/>
      <c r="I159" s="967">
        <v>36.25</v>
      </c>
      <c r="J159" s="968"/>
      <c r="K159" s="829"/>
      <c r="L159" s="874">
        <v>2020</v>
      </c>
      <c r="M159" s="768"/>
      <c r="N159" s="348" t="s">
        <v>260</v>
      </c>
      <c r="Q159" s="864"/>
      <c r="R159" s="864"/>
      <c r="S159" s="864"/>
      <c r="T159" s="864"/>
      <c r="U159" s="864"/>
      <c r="V159" s="864"/>
    </row>
    <row r="160" spans="2:22" s="370" customFormat="1" ht="12.6" hidden="1" customHeight="1">
      <c r="B160" s="874">
        <v>2020</v>
      </c>
      <c r="C160" s="883"/>
      <c r="D160" s="369" t="s">
        <v>350</v>
      </c>
      <c r="E160" s="903">
        <v>41.352134152675077</v>
      </c>
      <c r="F160" s="904"/>
      <c r="G160" s="904">
        <v>0</v>
      </c>
      <c r="H160" s="904"/>
      <c r="I160" s="967">
        <v>41.352134152675077</v>
      </c>
      <c r="J160" s="968"/>
      <c r="K160" s="829"/>
      <c r="L160" s="874">
        <v>2020</v>
      </c>
      <c r="M160" s="768"/>
      <c r="N160" s="348" t="s">
        <v>357</v>
      </c>
      <c r="Q160" s="864"/>
      <c r="R160" s="864"/>
      <c r="S160" s="864"/>
      <c r="T160" s="864"/>
      <c r="U160" s="864"/>
      <c r="V160" s="864"/>
    </row>
    <row r="161" spans="2:22" s="370" customFormat="1" ht="12.6" hidden="1" customHeight="1">
      <c r="B161" s="874">
        <v>2020</v>
      </c>
      <c r="C161" s="883"/>
      <c r="D161" s="369" t="s">
        <v>29</v>
      </c>
      <c r="E161" s="903">
        <v>41.773705642815592</v>
      </c>
      <c r="F161" s="904"/>
      <c r="G161" s="904">
        <v>0</v>
      </c>
      <c r="H161" s="904"/>
      <c r="I161" s="967">
        <v>41.773705642815592</v>
      </c>
      <c r="J161" s="968"/>
      <c r="K161" s="369"/>
      <c r="L161" s="874">
        <v>2020</v>
      </c>
      <c r="M161" s="768"/>
      <c r="N161" s="348" t="s">
        <v>65</v>
      </c>
      <c r="Q161" s="864"/>
      <c r="R161" s="864"/>
      <c r="S161" s="864"/>
      <c r="T161" s="864"/>
      <c r="U161" s="864"/>
      <c r="V161" s="864"/>
    </row>
    <row r="162" spans="2:22" s="370" customFormat="1" ht="12.6" hidden="1" customHeight="1">
      <c r="B162" s="874">
        <v>2020</v>
      </c>
      <c r="C162" s="883"/>
      <c r="D162" s="369" t="s">
        <v>351</v>
      </c>
      <c r="E162" s="903">
        <v>0</v>
      </c>
      <c r="F162" s="904"/>
      <c r="G162" s="904">
        <v>0</v>
      </c>
      <c r="H162" s="904"/>
      <c r="I162" s="967">
        <v>0</v>
      </c>
      <c r="J162" s="968"/>
      <c r="K162" s="369"/>
      <c r="L162" s="874">
        <v>2020</v>
      </c>
      <c r="M162" s="768"/>
      <c r="N162" s="348" t="s">
        <v>353</v>
      </c>
      <c r="Q162" s="864"/>
      <c r="R162" s="864"/>
      <c r="S162" s="864"/>
      <c r="T162" s="864"/>
      <c r="U162" s="864"/>
      <c r="V162" s="864"/>
    </row>
    <row r="163" spans="2:22" s="370" customFormat="1" ht="12.6" hidden="1" customHeight="1">
      <c r="B163" s="874">
        <v>2020</v>
      </c>
      <c r="C163" s="883"/>
      <c r="D163" s="369" t="s">
        <v>4</v>
      </c>
      <c r="E163" s="903">
        <v>0</v>
      </c>
      <c r="F163" s="904"/>
      <c r="G163" s="904">
        <v>0</v>
      </c>
      <c r="H163" s="904"/>
      <c r="I163" s="967">
        <v>0</v>
      </c>
      <c r="J163" s="968"/>
      <c r="K163" s="829"/>
      <c r="L163" s="874">
        <v>2020</v>
      </c>
      <c r="M163" s="768"/>
      <c r="N163" s="348" t="s">
        <v>354</v>
      </c>
      <c r="Q163" s="864"/>
      <c r="R163" s="864"/>
      <c r="S163" s="864"/>
      <c r="T163" s="864"/>
      <c r="U163" s="864"/>
      <c r="V163" s="864"/>
    </row>
    <row r="164" spans="2:22" s="370" customFormat="1" ht="12.6" hidden="1" customHeight="1">
      <c r="B164" s="874">
        <v>2020</v>
      </c>
      <c r="C164" s="883"/>
      <c r="D164" s="369" t="s">
        <v>352</v>
      </c>
      <c r="E164" s="903">
        <v>0</v>
      </c>
      <c r="F164" s="904"/>
      <c r="G164" s="904">
        <v>0</v>
      </c>
      <c r="H164" s="904"/>
      <c r="I164" s="967">
        <v>0</v>
      </c>
      <c r="J164" s="968"/>
      <c r="K164" s="829"/>
      <c r="L164" s="874">
        <v>2020</v>
      </c>
      <c r="M164" s="768"/>
      <c r="N164" s="348" t="s">
        <v>355</v>
      </c>
      <c r="Q164" s="864"/>
      <c r="R164" s="864"/>
      <c r="S164" s="864"/>
      <c r="T164" s="864"/>
      <c r="U164" s="864"/>
      <c r="V164" s="864"/>
    </row>
    <row r="165" spans="2:22" s="370" customFormat="1" ht="12.6" hidden="1" customHeight="1">
      <c r="B165" s="874">
        <v>2020</v>
      </c>
      <c r="C165" s="883"/>
      <c r="D165" s="369" t="s">
        <v>266</v>
      </c>
      <c r="E165" s="903">
        <v>0</v>
      </c>
      <c r="F165" s="904"/>
      <c r="G165" s="904">
        <v>0</v>
      </c>
      <c r="H165" s="904"/>
      <c r="I165" s="967">
        <v>0</v>
      </c>
      <c r="J165" s="968"/>
      <c r="K165" s="369"/>
      <c r="L165" s="874">
        <v>2020</v>
      </c>
      <c r="M165" s="768"/>
      <c r="N165" s="348" t="s">
        <v>264</v>
      </c>
      <c r="Q165" s="864"/>
      <c r="R165" s="864"/>
      <c r="S165" s="864"/>
      <c r="T165" s="864"/>
      <c r="U165" s="864"/>
      <c r="V165" s="864"/>
    </row>
    <row r="166" spans="2:22" s="370" customFormat="1" ht="12" hidden="1" customHeight="1">
      <c r="B166" s="874">
        <v>2020</v>
      </c>
      <c r="C166" s="883"/>
      <c r="D166" s="369" t="s">
        <v>271</v>
      </c>
      <c r="E166" s="903">
        <v>0</v>
      </c>
      <c r="F166" s="904"/>
      <c r="G166" s="904">
        <v>0</v>
      </c>
      <c r="H166" s="904"/>
      <c r="I166" s="967">
        <v>0</v>
      </c>
      <c r="J166" s="967"/>
      <c r="K166" s="369"/>
      <c r="L166" s="874">
        <v>2020</v>
      </c>
      <c r="M166" s="768"/>
      <c r="N166" s="348" t="s">
        <v>356</v>
      </c>
      <c r="Q166" s="864"/>
      <c r="R166" s="864"/>
      <c r="S166" s="864"/>
      <c r="T166" s="864"/>
      <c r="U166" s="864"/>
      <c r="V166" s="864"/>
    </row>
    <row r="167" spans="2:22" s="370" customFormat="1" ht="12.6" hidden="1" customHeight="1">
      <c r="B167" s="874">
        <v>2020</v>
      </c>
      <c r="C167" s="883"/>
      <c r="D167" s="369" t="s">
        <v>347</v>
      </c>
      <c r="E167" s="903">
        <v>0</v>
      </c>
      <c r="F167" s="904"/>
      <c r="G167" s="904">
        <v>0</v>
      </c>
      <c r="H167" s="904"/>
      <c r="I167" s="967">
        <v>0</v>
      </c>
      <c r="J167" s="967"/>
      <c r="K167" s="369"/>
      <c r="L167" s="874">
        <v>2020</v>
      </c>
      <c r="M167" s="768"/>
      <c r="N167" s="348" t="s">
        <v>347</v>
      </c>
      <c r="Q167" s="864"/>
      <c r="R167" s="864"/>
      <c r="S167" s="864"/>
      <c r="T167" s="864"/>
      <c r="U167" s="864"/>
      <c r="V167" s="864"/>
    </row>
    <row r="168" spans="2:22" s="370" customFormat="1" ht="12.6" hidden="1" customHeight="1">
      <c r="B168" s="874">
        <v>2020</v>
      </c>
      <c r="C168" s="883"/>
      <c r="D168" s="369" t="s">
        <v>50</v>
      </c>
      <c r="E168" s="903">
        <v>0</v>
      </c>
      <c r="F168" s="904"/>
      <c r="G168" s="904">
        <v>0</v>
      </c>
      <c r="H168" s="904"/>
      <c r="I168" s="967">
        <v>0</v>
      </c>
      <c r="J168" s="967"/>
      <c r="K168" s="829"/>
      <c r="L168" s="874">
        <v>2020</v>
      </c>
      <c r="M168" s="768"/>
      <c r="N168" s="348" t="s">
        <v>50</v>
      </c>
      <c r="Q168" s="864"/>
      <c r="R168" s="864"/>
      <c r="S168" s="864"/>
      <c r="T168" s="864"/>
      <c r="U168" s="864"/>
      <c r="V168" s="864"/>
    </row>
    <row r="169" spans="2:22" s="370" customFormat="1" ht="12.6" hidden="1" customHeight="1">
      <c r="B169" s="874">
        <v>2020</v>
      </c>
      <c r="C169" s="883"/>
      <c r="D169" s="348" t="s">
        <v>348</v>
      </c>
      <c r="E169" s="904">
        <v>0</v>
      </c>
      <c r="F169" s="904"/>
      <c r="G169" s="904">
        <v>0</v>
      </c>
      <c r="H169" s="904"/>
      <c r="I169" s="967">
        <v>0</v>
      </c>
      <c r="J169" s="967"/>
      <c r="K169" s="369"/>
      <c r="L169" s="874">
        <v>2020</v>
      </c>
      <c r="M169" s="768"/>
      <c r="N169" s="348" t="s">
        <v>348</v>
      </c>
      <c r="Q169" s="864"/>
      <c r="R169" s="864"/>
      <c r="S169" s="864"/>
      <c r="T169" s="864"/>
      <c r="U169" s="864"/>
      <c r="V169" s="864"/>
    </row>
    <row r="170" spans="2:22" s="370" customFormat="1" ht="12.6" hidden="1" customHeight="1">
      <c r="B170" s="874">
        <v>2020</v>
      </c>
      <c r="C170" s="883"/>
      <c r="D170" s="348" t="s">
        <v>349</v>
      </c>
      <c r="E170" s="904">
        <v>0</v>
      </c>
      <c r="F170" s="904"/>
      <c r="G170" s="904">
        <v>0</v>
      </c>
      <c r="H170" s="904"/>
      <c r="I170" s="967">
        <v>0</v>
      </c>
      <c r="J170" s="968"/>
      <c r="K170" s="369"/>
      <c r="L170" s="874">
        <v>2020</v>
      </c>
      <c r="M170" s="768"/>
      <c r="N170" s="348" t="s">
        <v>83</v>
      </c>
      <c r="Q170" s="864"/>
      <c r="R170" s="864"/>
      <c r="S170" s="864"/>
      <c r="T170" s="864"/>
      <c r="U170" s="864"/>
      <c r="V170" s="864"/>
    </row>
    <row r="171" spans="2:22" s="370" customFormat="1" ht="12.6" hidden="1" customHeight="1">
      <c r="B171" s="874">
        <v>2021</v>
      </c>
      <c r="C171" s="883"/>
      <c r="D171" s="348" t="s">
        <v>33</v>
      </c>
      <c r="E171" s="904">
        <v>0</v>
      </c>
      <c r="F171" s="904"/>
      <c r="G171" s="904">
        <v>0</v>
      </c>
      <c r="H171" s="904"/>
      <c r="I171" s="967">
        <v>0</v>
      </c>
      <c r="J171" s="968"/>
      <c r="K171" s="369"/>
      <c r="L171" s="883">
        <v>2021</v>
      </c>
      <c r="M171" s="768"/>
      <c r="N171" s="348" t="s">
        <v>260</v>
      </c>
      <c r="Q171" s="864"/>
      <c r="R171" s="864"/>
      <c r="S171" s="864"/>
      <c r="T171" s="864"/>
      <c r="U171" s="864"/>
      <c r="V171" s="864"/>
    </row>
    <row r="172" spans="2:22" s="370" customFormat="1" ht="12.6" hidden="1" customHeight="1">
      <c r="B172" s="874">
        <v>2021</v>
      </c>
      <c r="C172" s="883"/>
      <c r="D172" s="348" t="s">
        <v>350</v>
      </c>
      <c r="E172" s="904">
        <v>0</v>
      </c>
      <c r="F172" s="904"/>
      <c r="G172" s="904">
        <v>0</v>
      </c>
      <c r="H172" s="904"/>
      <c r="I172" s="967">
        <v>0</v>
      </c>
      <c r="J172" s="968"/>
      <c r="K172" s="369"/>
      <c r="L172" s="883">
        <v>2021</v>
      </c>
      <c r="M172" s="768"/>
      <c r="N172" s="348" t="s">
        <v>357</v>
      </c>
      <c r="Q172" s="864"/>
      <c r="R172" s="864"/>
      <c r="S172" s="864"/>
      <c r="T172" s="864"/>
      <c r="U172" s="864"/>
      <c r="V172" s="864"/>
    </row>
    <row r="173" spans="2:22" s="370" customFormat="1" ht="12.6" hidden="1" customHeight="1">
      <c r="B173" s="874">
        <v>2021</v>
      </c>
      <c r="C173" s="883"/>
      <c r="D173" s="348" t="s">
        <v>29</v>
      </c>
      <c r="E173" s="904">
        <v>0</v>
      </c>
      <c r="F173" s="904"/>
      <c r="G173" s="904">
        <v>0</v>
      </c>
      <c r="H173" s="904"/>
      <c r="I173" s="967">
        <v>0</v>
      </c>
      <c r="J173" s="968"/>
      <c r="K173" s="369"/>
      <c r="L173" s="883">
        <v>2021</v>
      </c>
      <c r="M173" s="768"/>
      <c r="N173" s="348" t="s">
        <v>65</v>
      </c>
      <c r="Q173" s="864"/>
      <c r="R173" s="864"/>
      <c r="S173" s="864"/>
      <c r="T173" s="864"/>
      <c r="U173" s="864"/>
      <c r="V173" s="864"/>
    </row>
    <row r="174" spans="2:22" s="370" customFormat="1" ht="12.6" hidden="1" customHeight="1">
      <c r="B174" s="874">
        <v>2021</v>
      </c>
      <c r="C174" s="883"/>
      <c r="D174" s="348" t="s">
        <v>351</v>
      </c>
      <c r="E174" s="904">
        <v>0</v>
      </c>
      <c r="F174" s="904"/>
      <c r="G174" s="904">
        <v>0</v>
      </c>
      <c r="H174" s="904"/>
      <c r="I174" s="967">
        <v>0</v>
      </c>
      <c r="J174" s="968"/>
      <c r="K174" s="369"/>
      <c r="L174" s="883">
        <v>2021</v>
      </c>
      <c r="M174" s="768"/>
      <c r="N174" s="348" t="s">
        <v>353</v>
      </c>
      <c r="Q174" s="864"/>
      <c r="R174" s="864"/>
      <c r="S174" s="864"/>
      <c r="T174" s="864"/>
      <c r="U174" s="864"/>
      <c r="V174" s="864"/>
    </row>
    <row r="175" spans="2:22" s="370" customFormat="1" ht="12.6" hidden="1" customHeight="1">
      <c r="B175" s="874">
        <v>2021</v>
      </c>
      <c r="C175" s="883"/>
      <c r="D175" s="348" t="s">
        <v>4</v>
      </c>
      <c r="E175" s="904">
        <v>0</v>
      </c>
      <c r="F175" s="904"/>
      <c r="G175" s="904">
        <v>0</v>
      </c>
      <c r="H175" s="904"/>
      <c r="I175" s="967">
        <v>0</v>
      </c>
      <c r="J175" s="968"/>
      <c r="K175" s="369"/>
      <c r="L175" s="883">
        <v>2021</v>
      </c>
      <c r="M175" s="768"/>
      <c r="N175" s="348" t="s">
        <v>354</v>
      </c>
      <c r="Q175" s="864"/>
      <c r="R175" s="864"/>
      <c r="S175" s="864"/>
      <c r="T175" s="864"/>
      <c r="U175" s="864"/>
      <c r="V175" s="864"/>
    </row>
    <row r="176" spans="2:22" s="370" customFormat="1" ht="12.6" hidden="1" customHeight="1">
      <c r="B176" s="874">
        <v>2021</v>
      </c>
      <c r="C176" s="883"/>
      <c r="D176" s="348" t="s">
        <v>352</v>
      </c>
      <c r="E176" s="904">
        <v>0</v>
      </c>
      <c r="F176" s="904"/>
      <c r="G176" s="904">
        <v>0</v>
      </c>
      <c r="H176" s="904"/>
      <c r="I176" s="967">
        <v>0</v>
      </c>
      <c r="J176" s="968"/>
      <c r="K176" s="369"/>
      <c r="L176" s="883">
        <v>2021</v>
      </c>
      <c r="M176" s="768"/>
      <c r="N176" s="348" t="s">
        <v>355</v>
      </c>
      <c r="Q176" s="864"/>
      <c r="R176" s="864"/>
      <c r="S176" s="864"/>
      <c r="T176" s="864"/>
      <c r="U176" s="864"/>
      <c r="V176" s="864"/>
    </row>
    <row r="177" spans="1:22" s="370" customFormat="1" ht="12.6" hidden="1" customHeight="1">
      <c r="B177" s="874">
        <v>2021</v>
      </c>
      <c r="C177" s="883"/>
      <c r="D177" s="348" t="s">
        <v>266</v>
      </c>
      <c r="E177" s="904">
        <v>0</v>
      </c>
      <c r="F177" s="904"/>
      <c r="G177" s="904">
        <v>0</v>
      </c>
      <c r="H177" s="904"/>
      <c r="I177" s="967">
        <v>0</v>
      </c>
      <c r="J177" s="968"/>
      <c r="K177" s="369"/>
      <c r="L177" s="883">
        <v>2021</v>
      </c>
      <c r="M177" s="768"/>
      <c r="N177" s="348" t="s">
        <v>264</v>
      </c>
      <c r="Q177" s="864"/>
      <c r="R177" s="864"/>
      <c r="S177" s="864"/>
      <c r="T177" s="864"/>
      <c r="U177" s="864"/>
      <c r="V177" s="864"/>
    </row>
    <row r="178" spans="1:22" s="370" customFormat="1" ht="12.6" hidden="1" customHeight="1">
      <c r="B178" s="874">
        <v>2021</v>
      </c>
      <c r="C178" s="883"/>
      <c r="D178" s="348" t="s">
        <v>271</v>
      </c>
      <c r="E178" s="904">
        <v>0</v>
      </c>
      <c r="F178" s="904"/>
      <c r="G178" s="904">
        <v>0</v>
      </c>
      <c r="H178" s="904"/>
      <c r="I178" s="967">
        <v>0</v>
      </c>
      <c r="J178" s="968"/>
      <c r="K178" s="369"/>
      <c r="L178" s="883">
        <v>2021</v>
      </c>
      <c r="M178" s="768"/>
      <c r="N178" s="348" t="s">
        <v>356</v>
      </c>
      <c r="Q178" s="864"/>
      <c r="R178" s="864"/>
      <c r="S178" s="864"/>
      <c r="T178" s="864"/>
      <c r="U178" s="864"/>
      <c r="V178" s="864"/>
    </row>
    <row r="179" spans="1:22" s="370" customFormat="1" ht="12.6" hidden="1" customHeight="1">
      <c r="B179" s="874">
        <v>2021</v>
      </c>
      <c r="C179" s="883"/>
      <c r="D179" s="348" t="s">
        <v>347</v>
      </c>
      <c r="E179" s="904">
        <v>0</v>
      </c>
      <c r="F179" s="904"/>
      <c r="G179" s="904">
        <v>0</v>
      </c>
      <c r="H179" s="904"/>
      <c r="I179" s="967">
        <v>0</v>
      </c>
      <c r="J179" s="968"/>
      <c r="K179" s="369"/>
      <c r="L179" s="883">
        <v>2021</v>
      </c>
      <c r="M179" s="768"/>
      <c r="N179" s="348" t="s">
        <v>347</v>
      </c>
      <c r="Q179" s="864"/>
      <c r="R179" s="864"/>
      <c r="S179" s="864"/>
      <c r="T179" s="864"/>
      <c r="U179" s="864"/>
      <c r="V179" s="864"/>
    </row>
    <row r="180" spans="1:22" s="370" customFormat="1" ht="12.6" hidden="1" customHeight="1">
      <c r="B180" s="874">
        <v>2021</v>
      </c>
      <c r="C180" s="883"/>
      <c r="D180" s="348" t="s">
        <v>50</v>
      </c>
      <c r="E180" s="904">
        <v>0</v>
      </c>
      <c r="F180" s="904"/>
      <c r="G180" s="904">
        <v>0</v>
      </c>
      <c r="H180" s="904"/>
      <c r="I180" s="967">
        <v>0</v>
      </c>
      <c r="J180" s="968"/>
      <c r="K180" s="369"/>
      <c r="L180" s="883">
        <v>2021</v>
      </c>
      <c r="M180" s="768"/>
      <c r="N180" s="348" t="s">
        <v>50</v>
      </c>
      <c r="Q180" s="864"/>
      <c r="R180" s="864"/>
      <c r="S180" s="864"/>
      <c r="T180" s="864"/>
      <c r="U180" s="864"/>
      <c r="V180" s="864"/>
    </row>
    <row r="181" spans="1:22" s="370" customFormat="1" ht="12.6" hidden="1" customHeight="1">
      <c r="B181" s="874">
        <v>2021</v>
      </c>
      <c r="C181" s="883"/>
      <c r="D181" s="348" t="s">
        <v>348</v>
      </c>
      <c r="E181" s="904">
        <v>0</v>
      </c>
      <c r="F181" s="904"/>
      <c r="G181" s="904">
        <v>0</v>
      </c>
      <c r="H181" s="904"/>
      <c r="I181" s="967">
        <v>0</v>
      </c>
      <c r="J181" s="968"/>
      <c r="K181" s="369"/>
      <c r="L181" s="883">
        <v>2021</v>
      </c>
      <c r="M181" s="768"/>
      <c r="N181" s="348" t="s">
        <v>348</v>
      </c>
      <c r="Q181" s="864"/>
      <c r="R181" s="864"/>
      <c r="S181" s="864"/>
      <c r="T181" s="864"/>
      <c r="U181" s="864"/>
      <c r="V181" s="864"/>
    </row>
    <row r="182" spans="1:22" s="370" customFormat="1" ht="12.6" hidden="1" customHeight="1">
      <c r="B182" s="874">
        <v>2021</v>
      </c>
      <c r="C182" s="883"/>
      <c r="D182" s="348" t="s">
        <v>349</v>
      </c>
      <c r="E182" s="904">
        <v>0</v>
      </c>
      <c r="F182" s="904"/>
      <c r="G182" s="904">
        <v>0</v>
      </c>
      <c r="H182" s="904"/>
      <c r="I182" s="967">
        <v>0</v>
      </c>
      <c r="J182" s="968"/>
      <c r="K182" s="369"/>
      <c r="L182" s="883">
        <v>2021</v>
      </c>
      <c r="M182" s="768"/>
      <c r="N182" s="348" t="s">
        <v>83</v>
      </c>
      <c r="Q182" s="864"/>
      <c r="R182" s="864"/>
      <c r="S182" s="864"/>
      <c r="T182" s="864"/>
      <c r="U182" s="864"/>
      <c r="V182" s="864"/>
    </row>
    <row r="183" spans="1:22" s="370" customFormat="1" ht="12.6" hidden="1" customHeight="1">
      <c r="A183" s="892"/>
      <c r="B183" s="883">
        <v>2022</v>
      </c>
      <c r="C183" s="883"/>
      <c r="D183" s="348" t="s">
        <v>260</v>
      </c>
      <c r="E183" s="904">
        <v>0</v>
      </c>
      <c r="F183" s="904"/>
      <c r="G183" s="904">
        <v>0</v>
      </c>
      <c r="H183" s="904"/>
      <c r="I183" s="967">
        <v>0</v>
      </c>
      <c r="J183" s="968"/>
      <c r="K183" s="369"/>
      <c r="L183" s="883">
        <v>2022</v>
      </c>
      <c r="M183" s="768"/>
      <c r="N183" s="348" t="s">
        <v>260</v>
      </c>
      <c r="Q183" s="864"/>
      <c r="R183" s="864"/>
      <c r="S183" s="864"/>
      <c r="T183" s="864"/>
      <c r="U183" s="864"/>
      <c r="V183" s="864"/>
    </row>
    <row r="184" spans="1:22" s="370" customFormat="1" ht="12.6" hidden="1" customHeight="1">
      <c r="A184" s="892"/>
      <c r="B184" s="883">
        <v>2022</v>
      </c>
      <c r="C184" s="883"/>
      <c r="D184" s="348" t="s">
        <v>350</v>
      </c>
      <c r="E184" s="904">
        <v>0</v>
      </c>
      <c r="F184" s="904"/>
      <c r="G184" s="904">
        <v>0</v>
      </c>
      <c r="H184" s="904"/>
      <c r="I184" s="967">
        <v>0</v>
      </c>
      <c r="J184" s="968"/>
      <c r="K184" s="369"/>
      <c r="L184" s="883">
        <v>2022</v>
      </c>
      <c r="M184" s="768"/>
      <c r="N184" s="348" t="s">
        <v>357</v>
      </c>
      <c r="Q184" s="864"/>
      <c r="R184" s="864"/>
      <c r="S184" s="864"/>
      <c r="T184" s="864"/>
      <c r="U184" s="864"/>
      <c r="V184" s="864"/>
    </row>
    <row r="185" spans="1:22" s="370" customFormat="1" ht="12.6" hidden="1" customHeight="1">
      <c r="A185" s="892"/>
      <c r="B185" s="883">
        <v>2022</v>
      </c>
      <c r="C185" s="883"/>
      <c r="D185" s="348" t="s">
        <v>65</v>
      </c>
      <c r="E185" s="904">
        <v>0</v>
      </c>
      <c r="F185" s="904"/>
      <c r="G185" s="904">
        <v>0</v>
      </c>
      <c r="H185" s="904"/>
      <c r="I185" s="967">
        <v>0</v>
      </c>
      <c r="J185" s="968"/>
      <c r="K185" s="369"/>
      <c r="L185" s="883">
        <v>2022</v>
      </c>
      <c r="M185" s="768"/>
      <c r="N185" s="348" t="s">
        <v>65</v>
      </c>
      <c r="Q185" s="864"/>
      <c r="R185" s="864"/>
      <c r="S185" s="864"/>
      <c r="T185" s="864"/>
      <c r="U185" s="864"/>
      <c r="V185" s="864"/>
    </row>
    <row r="186" spans="1:22" s="370" customFormat="1" ht="12.6" customHeight="1">
      <c r="A186" s="892"/>
      <c r="B186" s="883">
        <v>2022</v>
      </c>
      <c r="C186" s="883"/>
      <c r="D186" s="348" t="s">
        <v>351</v>
      </c>
      <c r="E186" s="904">
        <v>0</v>
      </c>
      <c r="F186" s="904"/>
      <c r="G186" s="904">
        <v>0</v>
      </c>
      <c r="H186" s="904"/>
      <c r="I186" s="967">
        <v>0</v>
      </c>
      <c r="J186" s="968"/>
      <c r="K186" s="369"/>
      <c r="L186" s="883">
        <v>2022</v>
      </c>
      <c r="M186" s="768"/>
      <c r="N186" s="348" t="s">
        <v>353</v>
      </c>
      <c r="Q186" s="864"/>
      <c r="R186" s="864"/>
      <c r="S186" s="864"/>
      <c r="T186" s="864"/>
      <c r="U186" s="864"/>
      <c r="V186" s="864"/>
    </row>
    <row r="187" spans="1:22" s="370" customFormat="1" ht="12.6" hidden="1" customHeight="1">
      <c r="A187" s="892"/>
      <c r="B187" s="883">
        <v>2022</v>
      </c>
      <c r="C187" s="883"/>
      <c r="D187" s="348" t="s">
        <v>263</v>
      </c>
      <c r="E187" s="904">
        <v>0</v>
      </c>
      <c r="F187" s="904"/>
      <c r="G187" s="904">
        <v>0</v>
      </c>
      <c r="H187" s="904"/>
      <c r="I187" s="967">
        <v>0</v>
      </c>
      <c r="J187" s="968"/>
      <c r="K187" s="369"/>
      <c r="L187" s="883">
        <v>2022</v>
      </c>
      <c r="M187" s="768"/>
      <c r="N187" s="348" t="s">
        <v>354</v>
      </c>
      <c r="Q187" s="864"/>
      <c r="R187" s="864"/>
      <c r="S187" s="864"/>
      <c r="T187" s="864"/>
      <c r="U187" s="864"/>
      <c r="V187" s="864"/>
    </row>
    <row r="188" spans="1:22" s="370" customFormat="1" ht="12.6" hidden="1" customHeight="1">
      <c r="A188" s="892"/>
      <c r="B188" s="883">
        <v>2022</v>
      </c>
      <c r="C188" s="883"/>
      <c r="D188" s="348" t="s">
        <v>352</v>
      </c>
      <c r="E188" s="904">
        <v>0</v>
      </c>
      <c r="F188" s="904"/>
      <c r="G188" s="904">
        <v>0</v>
      </c>
      <c r="H188" s="904"/>
      <c r="I188" s="967">
        <v>0</v>
      </c>
      <c r="J188" s="968"/>
      <c r="K188" s="369"/>
      <c r="L188" s="883">
        <v>2022</v>
      </c>
      <c r="M188" s="768"/>
      <c r="N188" s="348" t="s">
        <v>355</v>
      </c>
      <c r="Q188" s="864"/>
      <c r="R188" s="864"/>
      <c r="S188" s="864"/>
      <c r="T188" s="864"/>
      <c r="U188" s="864"/>
      <c r="V188" s="864"/>
    </row>
    <row r="189" spans="1:22" s="370" customFormat="1" ht="12.6" hidden="1" customHeight="1">
      <c r="A189" s="892"/>
      <c r="B189" s="883">
        <v>2022</v>
      </c>
      <c r="C189" s="883"/>
      <c r="D189" s="348" t="s">
        <v>266</v>
      </c>
      <c r="E189" s="904">
        <v>41.6</v>
      </c>
      <c r="F189" s="904"/>
      <c r="G189" s="975" t="s">
        <v>43</v>
      </c>
      <c r="H189" s="904"/>
      <c r="I189" s="967">
        <v>56.1</v>
      </c>
      <c r="J189" s="968"/>
      <c r="K189" s="369"/>
      <c r="L189" s="883">
        <v>2022</v>
      </c>
      <c r="M189" s="768"/>
      <c r="N189" s="348" t="s">
        <v>264</v>
      </c>
      <c r="Q189" s="864"/>
      <c r="R189" s="864"/>
      <c r="S189" s="864"/>
      <c r="T189" s="864"/>
      <c r="U189" s="864"/>
      <c r="V189" s="864"/>
    </row>
    <row r="190" spans="1:22" s="370" customFormat="1" ht="12.6" hidden="1" customHeight="1">
      <c r="A190" s="892"/>
      <c r="B190" s="883">
        <v>2022</v>
      </c>
      <c r="C190" s="883"/>
      <c r="D190" s="348" t="s">
        <v>37</v>
      </c>
      <c r="E190" s="904">
        <v>43.404358865848501</v>
      </c>
      <c r="F190" s="904"/>
      <c r="G190" s="924" t="s">
        <v>43</v>
      </c>
      <c r="H190" s="904"/>
      <c r="I190" s="967">
        <v>43.404358865848501</v>
      </c>
      <c r="J190" s="968"/>
      <c r="K190" s="369"/>
      <c r="L190" s="883">
        <v>2022</v>
      </c>
      <c r="M190" s="768"/>
      <c r="N190" s="348" t="s">
        <v>82</v>
      </c>
      <c r="Q190" s="864"/>
      <c r="R190" s="864"/>
      <c r="S190" s="864"/>
      <c r="T190" s="864"/>
      <c r="U190" s="864"/>
      <c r="V190" s="864"/>
    </row>
    <row r="191" spans="1:22" s="370" customFormat="1" ht="12.6" hidden="1" customHeight="1">
      <c r="B191" s="874">
        <v>2022</v>
      </c>
      <c r="C191" s="883"/>
      <c r="D191" s="348" t="s">
        <v>31</v>
      </c>
      <c r="E191" s="904">
        <v>39.472325760265001</v>
      </c>
      <c r="F191" s="904"/>
      <c r="G191" s="973">
        <v>0</v>
      </c>
      <c r="H191" s="904"/>
      <c r="I191" s="967">
        <v>39.472325760265001</v>
      </c>
      <c r="J191" s="968"/>
      <c r="K191" s="369"/>
      <c r="L191" s="883">
        <v>2022</v>
      </c>
      <c r="M191" s="768"/>
      <c r="N191" s="348" t="s">
        <v>31</v>
      </c>
      <c r="Q191" s="864"/>
      <c r="R191" s="864"/>
      <c r="S191" s="864"/>
      <c r="T191" s="864"/>
      <c r="U191" s="864"/>
      <c r="V191" s="864"/>
    </row>
    <row r="192" spans="1:22" s="370" customFormat="1" ht="12.6" hidden="1" customHeight="1">
      <c r="B192" s="874">
        <v>2022</v>
      </c>
      <c r="C192" s="883"/>
      <c r="D192" s="996" t="s">
        <v>50</v>
      </c>
      <c r="E192" s="974">
        <v>41.3</v>
      </c>
      <c r="F192" s="974"/>
      <c r="G192" s="975" t="s">
        <v>43</v>
      </c>
      <c r="H192" s="974"/>
      <c r="I192" s="974">
        <v>41.3</v>
      </c>
      <c r="J192" s="968"/>
      <c r="K192" s="369"/>
      <c r="L192" s="883">
        <v>2022</v>
      </c>
      <c r="M192" s="768"/>
      <c r="N192" s="348" t="s">
        <v>50</v>
      </c>
      <c r="Q192" s="864"/>
      <c r="R192" s="864"/>
      <c r="S192" s="864"/>
      <c r="T192" s="864"/>
      <c r="U192" s="864"/>
      <c r="V192" s="864"/>
    </row>
    <row r="193" spans="2:22" s="370" customFormat="1" ht="12.6" hidden="1" customHeight="1">
      <c r="B193" s="874">
        <v>2022</v>
      </c>
      <c r="C193" s="883"/>
      <c r="D193" s="996" t="s">
        <v>348</v>
      </c>
      <c r="E193" s="974">
        <v>42.8</v>
      </c>
      <c r="F193" s="974"/>
      <c r="G193" s="975" t="s">
        <v>43</v>
      </c>
      <c r="H193" s="974"/>
      <c r="I193" s="974">
        <v>42.8</v>
      </c>
      <c r="J193" s="967"/>
      <c r="K193" s="369"/>
      <c r="L193" s="874">
        <v>2022</v>
      </c>
      <c r="M193" s="768"/>
      <c r="N193" s="348" t="s">
        <v>348</v>
      </c>
      <c r="Q193" s="864"/>
      <c r="R193" s="864"/>
      <c r="S193" s="864"/>
      <c r="T193" s="864"/>
      <c r="U193" s="864"/>
      <c r="V193" s="864"/>
    </row>
    <row r="194" spans="2:22" s="370" customFormat="1" ht="12.6" hidden="1" customHeight="1">
      <c r="B194" s="874">
        <v>2022</v>
      </c>
      <c r="C194" s="883"/>
      <c r="D194" s="996" t="s">
        <v>349</v>
      </c>
      <c r="E194" s="974">
        <v>36.6</v>
      </c>
      <c r="F194" s="974"/>
      <c r="G194" s="924" t="s">
        <v>43</v>
      </c>
      <c r="H194" s="974"/>
      <c r="I194" s="974">
        <v>36.6</v>
      </c>
      <c r="J194" s="967"/>
      <c r="K194" s="369"/>
      <c r="L194" s="874">
        <v>2022</v>
      </c>
      <c r="M194" s="768"/>
      <c r="N194" s="348" t="s">
        <v>362</v>
      </c>
      <c r="Q194" s="864"/>
      <c r="R194" s="864"/>
      <c r="S194" s="864"/>
      <c r="T194" s="864"/>
      <c r="U194" s="864"/>
      <c r="V194" s="864"/>
    </row>
    <row r="195" spans="2:22" s="370" customFormat="1" ht="12.6" hidden="1" customHeight="1">
      <c r="B195" s="874">
        <v>2023</v>
      </c>
      <c r="C195" s="883"/>
      <c r="D195" s="996" t="s">
        <v>33</v>
      </c>
      <c r="E195" s="903">
        <v>36.269341408024196</v>
      </c>
      <c r="F195" s="904"/>
      <c r="G195" s="973">
        <v>0</v>
      </c>
      <c r="H195" s="904"/>
      <c r="I195" s="967">
        <v>36.269341408024196</v>
      </c>
      <c r="J195" s="967"/>
      <c r="K195" s="369"/>
      <c r="L195" s="874">
        <v>2023</v>
      </c>
      <c r="M195" s="768"/>
      <c r="N195" s="348" t="s">
        <v>33</v>
      </c>
      <c r="Q195" s="864"/>
      <c r="R195" s="864"/>
      <c r="S195" s="864"/>
      <c r="T195" s="864"/>
      <c r="U195" s="864"/>
      <c r="V195" s="864"/>
    </row>
    <row r="196" spans="2:22" s="370" customFormat="1" ht="12.6" hidden="1" customHeight="1">
      <c r="B196" s="874">
        <v>2023</v>
      </c>
      <c r="C196" s="883"/>
      <c r="D196" s="996" t="s">
        <v>34</v>
      </c>
      <c r="E196" s="904">
        <v>42.575940860215098</v>
      </c>
      <c r="F196" s="904"/>
      <c r="G196" s="973">
        <v>0</v>
      </c>
      <c r="H196" s="904"/>
      <c r="I196" s="967">
        <v>42.575940860215098</v>
      </c>
      <c r="J196" s="968"/>
      <c r="K196" s="369"/>
      <c r="L196" s="874">
        <v>2023</v>
      </c>
      <c r="M196" s="768"/>
      <c r="N196" s="348" t="s">
        <v>77</v>
      </c>
      <c r="Q196" s="864"/>
      <c r="R196" s="864"/>
      <c r="S196" s="864"/>
      <c r="T196" s="864"/>
      <c r="U196" s="864"/>
      <c r="V196" s="864"/>
    </row>
    <row r="197" spans="2:22" s="370" customFormat="1" ht="12.6" hidden="1" customHeight="1">
      <c r="B197" s="874">
        <v>2023</v>
      </c>
      <c r="C197" s="883"/>
      <c r="D197" s="996" t="s">
        <v>29</v>
      </c>
      <c r="E197" s="904">
        <v>38.333030852994497</v>
      </c>
      <c r="F197" s="904"/>
      <c r="G197" s="924" t="s">
        <v>43</v>
      </c>
      <c r="H197" s="904"/>
      <c r="I197" s="967">
        <v>38.333030852994497</v>
      </c>
      <c r="J197" s="968"/>
      <c r="K197" s="369"/>
      <c r="L197" s="874">
        <v>2023</v>
      </c>
      <c r="M197" s="768"/>
      <c r="N197" s="348" t="s">
        <v>29</v>
      </c>
      <c r="Q197" s="864"/>
      <c r="R197" s="864"/>
      <c r="S197" s="864"/>
      <c r="T197" s="864"/>
      <c r="U197" s="864"/>
      <c r="V197" s="864"/>
    </row>
    <row r="198" spans="2:22" s="370" customFormat="1" ht="12.6" customHeight="1">
      <c r="B198" s="874">
        <v>2023</v>
      </c>
      <c r="C198" s="883"/>
      <c r="D198" s="998" t="s">
        <v>35</v>
      </c>
      <c r="E198" s="904">
        <v>38.699092088197098</v>
      </c>
      <c r="F198" s="904"/>
      <c r="G198" s="973">
        <v>0</v>
      </c>
      <c r="H198" s="904"/>
      <c r="I198" s="967">
        <v>38.699092088197098</v>
      </c>
      <c r="J198" s="968"/>
      <c r="K198" s="369"/>
      <c r="L198" s="874">
        <v>2023</v>
      </c>
      <c r="M198" s="768"/>
      <c r="N198" s="348" t="s">
        <v>78</v>
      </c>
      <c r="Q198" s="864"/>
      <c r="R198" s="864"/>
      <c r="S198" s="864"/>
      <c r="T198" s="864"/>
      <c r="U198" s="864"/>
      <c r="V198" s="864"/>
    </row>
    <row r="199" spans="2:22" s="370" customFormat="1" ht="12.6" hidden="1" customHeight="1">
      <c r="B199" s="874">
        <v>2023</v>
      </c>
      <c r="C199" s="883"/>
      <c r="D199" s="348" t="s">
        <v>4</v>
      </c>
      <c r="E199" s="904">
        <v>43.2018557422969</v>
      </c>
      <c r="F199" s="904"/>
      <c r="G199" s="904">
        <v>0</v>
      </c>
      <c r="H199" s="904"/>
      <c r="I199" s="967">
        <v>43.2018557422969</v>
      </c>
      <c r="J199" s="968"/>
      <c r="K199" s="369"/>
      <c r="L199" s="874">
        <v>2023</v>
      </c>
      <c r="M199" s="768"/>
      <c r="N199" s="348" t="s">
        <v>79</v>
      </c>
      <c r="Q199" s="864"/>
      <c r="R199" s="864"/>
      <c r="S199" s="864"/>
      <c r="T199" s="864"/>
      <c r="U199" s="864"/>
      <c r="V199" s="864"/>
    </row>
    <row r="200" spans="2:22" s="370" customFormat="1" ht="12.6" hidden="1" customHeight="1">
      <c r="B200" s="874">
        <v>2023</v>
      </c>
      <c r="C200" s="883"/>
      <c r="D200" s="348" t="s">
        <v>30</v>
      </c>
      <c r="E200" s="904">
        <v>39.217864668695903</v>
      </c>
      <c r="F200" s="904"/>
      <c r="G200" s="904">
        <v>45.260869565217398</v>
      </c>
      <c r="H200" s="904"/>
      <c r="I200" s="967">
        <v>42.23936711695665</v>
      </c>
      <c r="J200" s="968"/>
      <c r="K200" s="369"/>
      <c r="L200" s="874">
        <v>2023</v>
      </c>
      <c r="M200" s="768"/>
      <c r="N200" s="348" t="s">
        <v>80</v>
      </c>
      <c r="Q200" s="864"/>
      <c r="R200" s="864"/>
      <c r="S200" s="864"/>
      <c r="T200" s="864"/>
      <c r="U200" s="864"/>
      <c r="V200" s="864"/>
    </row>
    <row r="201" spans="2:22" s="370" customFormat="1" ht="12.6" hidden="1" customHeight="1">
      <c r="B201" s="874">
        <v>2023</v>
      </c>
      <c r="C201" s="883"/>
      <c r="D201" s="348" t="s">
        <v>36</v>
      </c>
      <c r="E201" s="904">
        <v>43.2751445086705</v>
      </c>
      <c r="F201" s="904"/>
      <c r="G201" s="904">
        <v>48.625</v>
      </c>
      <c r="H201" s="904"/>
      <c r="I201" s="967">
        <v>45.950072254335254</v>
      </c>
      <c r="J201" s="968"/>
      <c r="K201" s="369"/>
      <c r="L201" s="874">
        <v>2023</v>
      </c>
      <c r="M201" s="768"/>
      <c r="N201" s="348" t="s">
        <v>81</v>
      </c>
      <c r="Q201" s="864"/>
      <c r="R201" s="864"/>
      <c r="S201" s="864"/>
      <c r="T201" s="864"/>
      <c r="U201" s="864"/>
      <c r="V201" s="864"/>
    </row>
    <row r="202" spans="2:22" s="370" customFormat="1" ht="12.6" hidden="1" customHeight="1">
      <c r="B202" s="874">
        <v>2023</v>
      </c>
      <c r="C202" s="883"/>
      <c r="D202" s="348" t="s">
        <v>37</v>
      </c>
      <c r="E202" s="904">
        <v>41.797973706428699</v>
      </c>
      <c r="F202" s="904"/>
      <c r="G202" s="904">
        <v>49.111801242235998</v>
      </c>
      <c r="H202" s="904"/>
      <c r="I202" s="967">
        <v>45.454887474332352</v>
      </c>
      <c r="J202" s="968"/>
      <c r="K202" s="369"/>
      <c r="L202" s="874">
        <v>2023</v>
      </c>
      <c r="M202" s="768"/>
      <c r="N202" s="348" t="s">
        <v>82</v>
      </c>
      <c r="Q202" s="864"/>
      <c r="R202" s="864"/>
      <c r="S202" s="864"/>
      <c r="T202" s="864"/>
      <c r="U202" s="864"/>
      <c r="V202" s="864"/>
    </row>
    <row r="203" spans="2:22" s="370" customFormat="1" ht="12.6" hidden="1" customHeight="1">
      <c r="B203" s="874">
        <v>2023</v>
      </c>
      <c r="C203" s="883"/>
      <c r="D203" s="348" t="s">
        <v>31</v>
      </c>
      <c r="E203" s="904">
        <v>39.9264020341856</v>
      </c>
      <c r="F203" s="904"/>
      <c r="G203" s="904">
        <v>47.092948717948701</v>
      </c>
      <c r="H203" s="904"/>
      <c r="I203" s="967">
        <v>45.454887474332352</v>
      </c>
      <c r="J203" s="968"/>
      <c r="K203" s="369"/>
      <c r="L203" s="874">
        <v>2023</v>
      </c>
      <c r="M203" s="768"/>
      <c r="N203" s="348" t="s">
        <v>31</v>
      </c>
      <c r="Q203" s="864"/>
      <c r="R203" s="864"/>
      <c r="S203" s="864"/>
      <c r="T203" s="864"/>
      <c r="U203" s="864"/>
      <c r="V203" s="864"/>
    </row>
    <row r="204" spans="2:22" s="370" customFormat="1" ht="12.6" hidden="1" customHeight="1">
      <c r="B204" s="874">
        <v>2023</v>
      </c>
      <c r="C204" s="883"/>
      <c r="D204" s="348" t="s">
        <v>38</v>
      </c>
      <c r="E204" s="904">
        <v>42.3330527497194</v>
      </c>
      <c r="F204" s="904"/>
      <c r="G204" s="904">
        <v>56.678111587982798</v>
      </c>
      <c r="H204" s="904"/>
      <c r="I204" s="967">
        <v>49.505582168851099</v>
      </c>
      <c r="J204" s="968"/>
      <c r="K204" s="369"/>
      <c r="L204" s="874">
        <v>2023</v>
      </c>
      <c r="M204" s="768"/>
      <c r="N204" s="348" t="s">
        <v>38</v>
      </c>
      <c r="Q204" s="864"/>
      <c r="R204" s="864"/>
      <c r="S204" s="864"/>
      <c r="T204" s="864"/>
      <c r="U204" s="864"/>
      <c r="V204" s="864"/>
    </row>
    <row r="205" spans="2:22" s="370" customFormat="1" ht="12.6" hidden="1" customHeight="1">
      <c r="B205" s="874">
        <v>2023</v>
      </c>
      <c r="C205" s="883"/>
      <c r="D205" s="348" t="s">
        <v>39</v>
      </c>
      <c r="E205" s="904">
        <v>42.881220209723502</v>
      </c>
      <c r="F205" s="904"/>
      <c r="G205" s="904">
        <v>44.537313432835802</v>
      </c>
      <c r="H205" s="904"/>
      <c r="I205" s="967">
        <v>43.709266821279655</v>
      </c>
      <c r="J205" s="968"/>
      <c r="K205" s="369"/>
      <c r="L205" s="874">
        <v>2023</v>
      </c>
      <c r="M205" s="768"/>
      <c r="N205" s="348" t="s">
        <v>39</v>
      </c>
      <c r="Q205" s="864"/>
      <c r="R205" s="864"/>
      <c r="S205" s="864"/>
      <c r="T205" s="864"/>
      <c r="U205" s="864"/>
      <c r="V205" s="864"/>
    </row>
    <row r="206" spans="2:22" s="370" customFormat="1" ht="12.6" hidden="1" customHeight="1">
      <c r="B206" s="874">
        <v>2023</v>
      </c>
      <c r="C206" s="883"/>
      <c r="D206" s="348" t="s">
        <v>32</v>
      </c>
      <c r="E206" s="904">
        <v>37.699522562759903</v>
      </c>
      <c r="F206" s="904"/>
      <c r="G206" s="904">
        <v>39.015576323987503</v>
      </c>
      <c r="H206" s="904"/>
      <c r="I206" s="967">
        <v>38.357549443373699</v>
      </c>
      <c r="J206" s="968"/>
      <c r="K206" s="369"/>
      <c r="L206" s="874">
        <v>2023</v>
      </c>
      <c r="M206" s="768"/>
      <c r="N206" s="348" t="s">
        <v>83</v>
      </c>
      <c r="Q206" s="864"/>
      <c r="R206" s="864"/>
      <c r="S206" s="864"/>
      <c r="T206" s="864"/>
      <c r="U206" s="864"/>
      <c r="V206" s="864"/>
    </row>
    <row r="207" spans="2:22" s="370" customFormat="1" ht="12.6" hidden="1" customHeight="1">
      <c r="B207" s="874">
        <v>2024</v>
      </c>
      <c r="C207" s="883"/>
      <c r="D207" s="348" t="s">
        <v>33</v>
      </c>
      <c r="E207" s="904">
        <v>37.901127635234502</v>
      </c>
      <c r="F207" s="904"/>
      <c r="G207" s="904">
        <v>37.818181818181799</v>
      </c>
      <c r="H207" s="904"/>
      <c r="I207" s="967">
        <v>37.85965472670815</v>
      </c>
      <c r="J207" s="968"/>
      <c r="K207" s="369"/>
      <c r="L207" s="883">
        <v>2024</v>
      </c>
      <c r="M207" s="768"/>
      <c r="N207" s="348" t="s">
        <v>33</v>
      </c>
      <c r="Q207" s="864"/>
      <c r="R207" s="864"/>
      <c r="S207" s="864"/>
      <c r="T207" s="864"/>
      <c r="U207" s="864"/>
      <c r="V207" s="864"/>
    </row>
    <row r="208" spans="2:22" s="370" customFormat="1" ht="12.6" hidden="1" customHeight="1">
      <c r="B208" s="874">
        <v>2024</v>
      </c>
      <c r="C208" s="883"/>
      <c r="D208" s="348" t="s">
        <v>34</v>
      </c>
      <c r="E208" s="904">
        <v>43.598999999999997</v>
      </c>
      <c r="F208" s="904"/>
      <c r="G208" s="904">
        <v>48</v>
      </c>
      <c r="H208" s="904"/>
      <c r="I208" s="967">
        <v>45.799499999999995</v>
      </c>
      <c r="J208" s="968"/>
      <c r="K208" s="369"/>
      <c r="L208" s="883">
        <v>2024</v>
      </c>
      <c r="M208" s="768"/>
      <c r="N208" s="348" t="s">
        <v>34</v>
      </c>
      <c r="Q208" s="864"/>
      <c r="R208" s="864"/>
      <c r="S208" s="864"/>
      <c r="T208" s="864"/>
      <c r="U208" s="864"/>
      <c r="V208" s="864"/>
    </row>
    <row r="209" spans="2:22" s="370" customFormat="1" ht="12.6" hidden="1" customHeight="1">
      <c r="B209" s="874">
        <v>2024</v>
      </c>
      <c r="C209" s="883"/>
      <c r="D209" s="348" t="s">
        <v>29</v>
      </c>
      <c r="E209" s="904">
        <v>41.52605612087573</v>
      </c>
      <c r="F209" s="904"/>
      <c r="G209" s="904">
        <v>44.103999999999999</v>
      </c>
      <c r="H209" s="904"/>
      <c r="I209" s="967">
        <v>42.815028060437868</v>
      </c>
      <c r="J209" s="968"/>
      <c r="K209" s="369"/>
      <c r="L209" s="883">
        <v>2024</v>
      </c>
      <c r="M209" s="768"/>
      <c r="N209" s="348" t="s">
        <v>29</v>
      </c>
      <c r="Q209" s="864"/>
      <c r="R209" s="864"/>
      <c r="S209" s="864"/>
      <c r="T209" s="864"/>
      <c r="U209" s="864"/>
      <c r="V209" s="864"/>
    </row>
    <row r="210" spans="2:22" s="370" customFormat="1" ht="12.6" customHeight="1">
      <c r="B210" s="874">
        <v>2024</v>
      </c>
      <c r="C210" s="883"/>
      <c r="D210" s="348" t="s">
        <v>35</v>
      </c>
      <c r="E210" s="904">
        <v>39.9447927199191</v>
      </c>
      <c r="F210" s="904"/>
      <c r="G210" s="904">
        <v>44.556149732620298</v>
      </c>
      <c r="H210" s="904"/>
      <c r="I210" s="967">
        <v>42.250471226269696</v>
      </c>
      <c r="J210" s="968"/>
      <c r="K210" s="369"/>
      <c r="L210" s="883">
        <v>2024</v>
      </c>
      <c r="M210" s="768"/>
      <c r="N210" s="348" t="s">
        <v>78</v>
      </c>
      <c r="Q210" s="864"/>
      <c r="R210" s="864"/>
      <c r="S210" s="864"/>
      <c r="T210" s="864"/>
      <c r="U210" s="864"/>
      <c r="V210" s="864"/>
    </row>
    <row r="211" spans="2:22" s="370" customFormat="1" ht="12.6" hidden="1" customHeight="1">
      <c r="B211" s="874">
        <v>2024</v>
      </c>
      <c r="C211" s="883"/>
      <c r="D211" s="348" t="s">
        <v>4</v>
      </c>
      <c r="E211" s="904">
        <v>39.9447927199191</v>
      </c>
      <c r="F211" s="904"/>
      <c r="G211" s="904">
        <v>44.556149732620298</v>
      </c>
      <c r="H211" s="904"/>
      <c r="I211" s="967">
        <v>42.250471226269696</v>
      </c>
      <c r="J211" s="968"/>
      <c r="K211" s="369"/>
      <c r="L211" s="883">
        <v>2024</v>
      </c>
      <c r="M211" s="768"/>
      <c r="N211" s="348" t="s">
        <v>79</v>
      </c>
      <c r="Q211" s="864"/>
      <c r="R211" s="864"/>
      <c r="S211" s="864"/>
      <c r="T211" s="864"/>
      <c r="U211" s="864"/>
      <c r="V211" s="864"/>
    </row>
    <row r="212" spans="2:22" s="370" customFormat="1" ht="12.6" hidden="1" customHeight="1">
      <c r="B212" s="874">
        <v>2024</v>
      </c>
      <c r="C212" s="883"/>
      <c r="D212" s="348" t="s">
        <v>30</v>
      </c>
      <c r="E212" s="904">
        <v>43.648148148148103</v>
      </c>
      <c r="F212" s="904"/>
      <c r="G212" s="904">
        <v>37.048780487804898</v>
      </c>
      <c r="H212" s="904"/>
      <c r="I212" s="967">
        <v>40.3484643179765</v>
      </c>
      <c r="J212" s="968"/>
      <c r="K212" s="369"/>
      <c r="L212" s="883">
        <v>2024</v>
      </c>
      <c r="M212" s="768"/>
      <c r="N212" s="348" t="s">
        <v>80</v>
      </c>
      <c r="Q212" s="864"/>
      <c r="R212" s="864"/>
      <c r="S212" s="864"/>
      <c r="T212" s="864"/>
      <c r="U212" s="864"/>
      <c r="V212" s="864"/>
    </row>
    <row r="213" spans="2:22" s="370" customFormat="1" ht="12.6" hidden="1" customHeight="1">
      <c r="B213" s="874">
        <v>2024</v>
      </c>
      <c r="C213" s="883"/>
      <c r="D213" s="348" t="s">
        <v>36</v>
      </c>
      <c r="E213" s="904">
        <v>40.929661421077697</v>
      </c>
      <c r="F213" s="904"/>
      <c r="G213" s="904">
        <v>54.597938144329902</v>
      </c>
      <c r="H213" s="904"/>
      <c r="I213" s="967">
        <v>47.763799782703799</v>
      </c>
      <c r="J213" s="968"/>
      <c r="K213" s="369"/>
      <c r="L213" s="883">
        <v>2024</v>
      </c>
      <c r="M213" s="768"/>
      <c r="N213" s="348" t="s">
        <v>81</v>
      </c>
      <c r="Q213" s="864"/>
      <c r="R213" s="864"/>
      <c r="S213" s="864"/>
      <c r="T213" s="864"/>
      <c r="U213" s="864"/>
      <c r="V213" s="864"/>
    </row>
    <row r="214" spans="2:22" s="370" customFormat="1" ht="12.6" hidden="1" customHeight="1">
      <c r="B214" s="874">
        <v>2024</v>
      </c>
      <c r="C214" s="883"/>
      <c r="D214" s="348" t="s">
        <v>37</v>
      </c>
      <c r="E214" s="904">
        <v>44.437145020825398</v>
      </c>
      <c r="F214" s="904"/>
      <c r="G214" s="904">
        <v>0</v>
      </c>
      <c r="H214" s="904"/>
      <c r="I214" s="967">
        <v>44.437145020825398</v>
      </c>
      <c r="J214" s="968"/>
      <c r="K214" s="369"/>
      <c r="L214" s="883">
        <v>2024</v>
      </c>
      <c r="M214" s="768"/>
      <c r="N214" s="348" t="s">
        <v>82</v>
      </c>
      <c r="Q214" s="864"/>
      <c r="R214" s="864"/>
      <c r="S214" s="864"/>
      <c r="T214" s="864"/>
      <c r="U214" s="864"/>
      <c r="V214" s="864"/>
    </row>
    <row r="215" spans="2:22" s="370" customFormat="1" ht="12.6" hidden="1" customHeight="1">
      <c r="B215" s="874">
        <v>2024</v>
      </c>
      <c r="C215" s="883"/>
      <c r="D215" s="348" t="s">
        <v>31</v>
      </c>
      <c r="E215" s="904">
        <v>41.194225721784797</v>
      </c>
      <c r="F215" s="904"/>
      <c r="G215" s="904">
        <v>41.098326359832598</v>
      </c>
      <c r="H215" s="904"/>
      <c r="I215" s="967">
        <v>41.146276040808701</v>
      </c>
      <c r="J215" s="968"/>
      <c r="K215" s="369"/>
      <c r="L215" s="883">
        <v>2024</v>
      </c>
      <c r="M215" s="768"/>
      <c r="N215" s="348" t="s">
        <v>31</v>
      </c>
      <c r="Q215" s="864"/>
      <c r="R215" s="864"/>
      <c r="S215" s="864"/>
      <c r="T215" s="864"/>
      <c r="U215" s="864"/>
      <c r="V215" s="864"/>
    </row>
    <row r="216" spans="2:22" s="370" customFormat="1" ht="12.6" hidden="1" customHeight="1">
      <c r="B216" s="874">
        <v>2024</v>
      </c>
      <c r="C216" s="883"/>
      <c r="D216" s="348" t="s">
        <v>38</v>
      </c>
      <c r="E216" s="904">
        <v>42.145067848722867</v>
      </c>
      <c r="F216" s="904"/>
      <c r="G216" s="904">
        <v>46.913699031974197</v>
      </c>
      <c r="H216" s="904"/>
      <c r="I216" s="967">
        <v>44.529383440348532</v>
      </c>
      <c r="J216" s="968"/>
      <c r="K216" s="369"/>
      <c r="L216" s="883">
        <v>2024</v>
      </c>
      <c r="M216" s="768"/>
      <c r="N216" s="348" t="s">
        <v>38</v>
      </c>
      <c r="Q216" s="864"/>
      <c r="R216" s="864"/>
      <c r="S216" s="864"/>
      <c r="T216" s="864"/>
      <c r="U216" s="864"/>
      <c r="V216" s="864"/>
    </row>
    <row r="217" spans="2:22" s="370" customFormat="1" ht="12.6" hidden="1" customHeight="1">
      <c r="B217" s="874">
        <v>2024</v>
      </c>
      <c r="C217" s="883"/>
      <c r="D217" s="348" t="s">
        <v>39</v>
      </c>
      <c r="E217" s="904">
        <v>41.903144627205236</v>
      </c>
      <c r="F217" s="904"/>
      <c r="G217" s="904">
        <v>40.334435194470522</v>
      </c>
      <c r="H217" s="904"/>
      <c r="I217" s="967">
        <v>41.118789910837876</v>
      </c>
      <c r="J217" s="968"/>
      <c r="K217" s="369"/>
      <c r="L217" s="883">
        <v>2024</v>
      </c>
      <c r="M217" s="768"/>
      <c r="N217" s="348" t="s">
        <v>39</v>
      </c>
      <c r="Q217" s="864"/>
      <c r="R217" s="864"/>
      <c r="S217" s="864"/>
      <c r="T217" s="864"/>
      <c r="U217" s="864"/>
      <c r="V217" s="864"/>
    </row>
    <row r="218" spans="2:22" s="370" customFormat="1" ht="12.6" hidden="1" customHeight="1">
      <c r="B218" s="874">
        <v>2024</v>
      </c>
      <c r="C218" s="883"/>
      <c r="D218" s="348" t="s">
        <v>32</v>
      </c>
      <c r="E218" s="904">
        <v>37.149487136371278</v>
      </c>
      <c r="F218" s="904"/>
      <c r="G218" s="904">
        <v>39.068010075566754</v>
      </c>
      <c r="H218" s="904"/>
      <c r="I218" s="967">
        <v>37.269546027742749</v>
      </c>
      <c r="J218" s="968"/>
      <c r="K218" s="369"/>
      <c r="L218" s="883">
        <v>2024</v>
      </c>
      <c r="M218" s="768"/>
      <c r="N218" s="348" t="s">
        <v>83</v>
      </c>
      <c r="Q218" s="864"/>
      <c r="R218" s="864"/>
      <c r="S218" s="864"/>
      <c r="T218" s="864"/>
      <c r="U218" s="864"/>
      <c r="V218" s="864"/>
    </row>
    <row r="219" spans="2:22" s="370" customFormat="1" ht="12.6" hidden="1" customHeight="1">
      <c r="B219" s="874">
        <v>2025</v>
      </c>
      <c r="C219" s="883"/>
      <c r="D219" s="348" t="s">
        <v>33</v>
      </c>
      <c r="E219" s="904">
        <v>36.856179422835631</v>
      </c>
      <c r="F219" s="904"/>
      <c r="G219" s="904">
        <v>40.687679083094558</v>
      </c>
      <c r="H219" s="904"/>
      <c r="I219" s="967">
        <v>38.771929252965094</v>
      </c>
      <c r="J219" s="968"/>
      <c r="K219" s="369"/>
      <c r="L219" s="883">
        <v>2025</v>
      </c>
      <c r="M219" s="768"/>
      <c r="N219" s="348" t="s">
        <v>33</v>
      </c>
      <c r="Q219" s="864"/>
      <c r="R219" s="864"/>
      <c r="S219" s="864"/>
      <c r="T219" s="864"/>
      <c r="U219" s="864"/>
      <c r="V219" s="864"/>
    </row>
    <row r="220" spans="2:22" s="370" customFormat="1" ht="12.6" hidden="1" customHeight="1">
      <c r="B220" s="874">
        <v>2025</v>
      </c>
      <c r="C220" s="883"/>
      <c r="D220" s="348" t="s">
        <v>34</v>
      </c>
      <c r="E220" s="904">
        <v>39.791287063110815</v>
      </c>
      <c r="F220" s="904"/>
      <c r="G220" s="904">
        <v>44.913333333333334</v>
      </c>
      <c r="H220" s="904"/>
      <c r="I220" s="967">
        <v>42.352310198222071</v>
      </c>
      <c r="J220" s="968"/>
      <c r="K220" s="369"/>
      <c r="L220" s="883">
        <v>2025</v>
      </c>
      <c r="M220" s="768"/>
      <c r="N220" s="348" t="s">
        <v>77</v>
      </c>
      <c r="Q220" s="864"/>
      <c r="R220" s="864"/>
      <c r="S220" s="864"/>
      <c r="T220" s="864"/>
      <c r="U220" s="864"/>
      <c r="V220" s="864"/>
    </row>
    <row r="221" spans="2:22" s="370" customFormat="1" ht="12.6" hidden="1" customHeight="1">
      <c r="B221" s="874">
        <v>2025</v>
      </c>
      <c r="C221" s="883"/>
      <c r="D221" s="348" t="s">
        <v>29</v>
      </c>
      <c r="E221" s="904">
        <v>42.581811541271001</v>
      </c>
      <c r="F221" s="904"/>
      <c r="G221" s="904">
        <v>58.4</v>
      </c>
      <c r="H221" s="904"/>
      <c r="I221" s="967">
        <v>50.4909057706355</v>
      </c>
      <c r="J221" s="968"/>
      <c r="K221" s="369"/>
      <c r="L221" s="883">
        <v>2025</v>
      </c>
      <c r="M221" s="768"/>
      <c r="N221" s="348" t="s">
        <v>29</v>
      </c>
      <c r="Q221" s="864"/>
      <c r="R221" s="864"/>
      <c r="S221" s="864"/>
      <c r="T221" s="864"/>
      <c r="U221" s="864"/>
      <c r="V221" s="864"/>
    </row>
    <row r="222" spans="2:22" s="370" customFormat="1" ht="12.6" customHeight="1">
      <c r="B222" s="874">
        <v>2025</v>
      </c>
      <c r="C222" s="883"/>
      <c r="D222" s="348" t="s">
        <v>35</v>
      </c>
      <c r="E222" s="904">
        <v>37.273968860966946</v>
      </c>
      <c r="F222" s="904"/>
      <c r="G222" s="905" t="s">
        <v>391</v>
      </c>
      <c r="H222" s="904"/>
      <c r="I222" s="967">
        <v>37.273968860966946</v>
      </c>
      <c r="J222" s="968"/>
      <c r="K222" s="369"/>
      <c r="L222" s="883">
        <v>2025</v>
      </c>
      <c r="M222" s="768"/>
      <c r="N222" s="348" t="s">
        <v>78</v>
      </c>
      <c r="Q222" s="864"/>
      <c r="R222" s="864"/>
      <c r="S222" s="864"/>
      <c r="T222" s="864"/>
      <c r="U222" s="864"/>
      <c r="V222" s="864"/>
    </row>
    <row r="223" spans="2:22" s="370" customFormat="1" ht="12.6" customHeight="1">
      <c r="B223" s="874"/>
      <c r="C223" s="883"/>
      <c r="D223" s="348" t="s">
        <v>4</v>
      </c>
      <c r="E223" s="904">
        <v>41.947346189999998</v>
      </c>
      <c r="F223" s="904"/>
      <c r="G223" s="905" t="s">
        <v>391</v>
      </c>
      <c r="H223" s="904"/>
      <c r="I223" s="967">
        <f>E223</f>
        <v>41.947346189999998</v>
      </c>
      <c r="J223" s="968"/>
      <c r="K223" s="369"/>
      <c r="L223" s="883"/>
      <c r="M223" s="768"/>
      <c r="N223" s="348" t="s">
        <v>79</v>
      </c>
      <c r="Q223" s="864"/>
      <c r="R223" s="864"/>
      <c r="S223" s="864"/>
      <c r="T223" s="864"/>
      <c r="U223" s="864"/>
      <c r="V223" s="864"/>
    </row>
    <row r="224" spans="2:22" s="370" customFormat="1" ht="12.6" customHeight="1">
      <c r="B224" s="874"/>
      <c r="C224" s="883"/>
      <c r="D224" s="348" t="s">
        <v>30</v>
      </c>
      <c r="E224" s="904">
        <v>38.952181709503883</v>
      </c>
      <c r="F224" s="904"/>
      <c r="G224" s="905" t="s">
        <v>391</v>
      </c>
      <c r="H224" s="904"/>
      <c r="I224" s="967">
        <v>38.952181709503883</v>
      </c>
      <c r="J224" s="968"/>
      <c r="K224" s="369"/>
      <c r="L224" s="883"/>
      <c r="M224" s="768"/>
      <c r="N224" s="348" t="s">
        <v>80</v>
      </c>
      <c r="Q224" s="864"/>
      <c r="R224" s="864"/>
      <c r="S224" s="864"/>
      <c r="T224" s="864"/>
      <c r="U224" s="864"/>
      <c r="V224" s="864"/>
    </row>
    <row r="225" spans="2:22" s="370" customFormat="1" ht="12.6" customHeight="1">
      <c r="B225" s="874"/>
      <c r="C225" s="883"/>
      <c r="D225" s="348" t="s">
        <v>36</v>
      </c>
      <c r="E225" s="904">
        <v>38.085340011558465</v>
      </c>
      <c r="F225" s="904"/>
      <c r="G225" s="905" t="s">
        <v>391</v>
      </c>
      <c r="H225" s="904"/>
      <c r="I225" s="967">
        <v>38.085340011558465</v>
      </c>
      <c r="J225" s="968"/>
      <c r="K225" s="369"/>
      <c r="L225" s="883"/>
      <c r="M225" s="768"/>
      <c r="N225" s="348" t="s">
        <v>81</v>
      </c>
      <c r="Q225" s="864"/>
      <c r="R225" s="864"/>
      <c r="S225" s="864"/>
      <c r="T225" s="864"/>
      <c r="U225" s="864"/>
      <c r="V225" s="864"/>
    </row>
    <row r="226" spans="2:22" s="370" customFormat="1" ht="12.6" customHeight="1">
      <c r="B226" s="874"/>
      <c r="C226" s="883"/>
      <c r="D226" s="348" t="s">
        <v>37</v>
      </c>
      <c r="E226" s="904">
        <v>42.498754197811721</v>
      </c>
      <c r="F226" s="904"/>
      <c r="G226" s="905" t="s">
        <v>391</v>
      </c>
      <c r="H226" s="904"/>
      <c r="I226" s="967">
        <v>42.498754197811721</v>
      </c>
      <c r="J226" s="968"/>
      <c r="K226" s="369"/>
      <c r="L226" s="883"/>
      <c r="M226" s="768"/>
      <c r="N226" s="892" t="s">
        <v>356</v>
      </c>
      <c r="Q226" s="864"/>
      <c r="R226" s="864"/>
      <c r="S226" s="864"/>
      <c r="T226" s="864"/>
      <c r="U226" s="864"/>
      <c r="V226" s="864"/>
    </row>
    <row r="227" spans="2:22" s="370" customFormat="1" ht="12.6" customHeight="1">
      <c r="B227" s="874"/>
      <c r="C227" s="883"/>
      <c r="D227" s="369" t="s">
        <v>31</v>
      </c>
      <c r="E227" s="903">
        <v>38.37251343616947</v>
      </c>
      <c r="F227" s="904"/>
      <c r="G227" s="905" t="s">
        <v>391</v>
      </c>
      <c r="H227" s="904"/>
      <c r="I227" s="967">
        <v>38.37251343616947</v>
      </c>
      <c r="J227" s="967"/>
      <c r="K227" s="369"/>
      <c r="L227" s="874"/>
      <c r="M227" s="768"/>
      <c r="N227" s="892" t="s">
        <v>31</v>
      </c>
      <c r="Q227" s="864"/>
      <c r="R227" s="864"/>
      <c r="S227" s="864"/>
      <c r="T227" s="864"/>
      <c r="U227" s="864"/>
      <c r="V227" s="864"/>
    </row>
    <row r="228" spans="2:22" s="370" customFormat="1" ht="12.6" customHeight="1">
      <c r="B228" s="874"/>
      <c r="C228" s="883"/>
      <c r="D228" s="348" t="s">
        <v>38</v>
      </c>
      <c r="E228" s="904">
        <v>40.479946661196017</v>
      </c>
      <c r="F228" s="904"/>
      <c r="G228" s="905" t="s">
        <v>391</v>
      </c>
      <c r="H228" s="904"/>
      <c r="I228" s="967">
        <f>E228</f>
        <v>40.479946661196017</v>
      </c>
      <c r="J228" s="968"/>
      <c r="K228" s="369"/>
      <c r="L228" s="883"/>
      <c r="M228" s="768"/>
      <c r="N228" s="892" t="s">
        <v>38</v>
      </c>
      <c r="Q228" s="864"/>
      <c r="R228" s="864"/>
      <c r="S228" s="864"/>
      <c r="T228" s="864"/>
      <c r="U228" s="864"/>
      <c r="V228" s="864"/>
    </row>
    <row r="229" spans="2:22" s="370" customFormat="1" ht="12.6" customHeight="1">
      <c r="B229" s="874"/>
      <c r="C229" s="883"/>
      <c r="D229" s="348" t="s">
        <v>39</v>
      </c>
      <c r="E229" s="904">
        <v>39.580829566604628</v>
      </c>
      <c r="F229" s="904"/>
      <c r="G229" s="905" t="s">
        <v>391</v>
      </c>
      <c r="H229" s="904"/>
      <c r="I229" s="967">
        <v>39.580829566604628</v>
      </c>
      <c r="J229" s="968"/>
      <c r="K229" s="369"/>
      <c r="L229" s="883"/>
      <c r="M229" s="768"/>
      <c r="N229" s="892" t="s">
        <v>39</v>
      </c>
      <c r="Q229" s="864"/>
      <c r="R229" s="864"/>
      <c r="S229" s="864"/>
      <c r="T229" s="864"/>
      <c r="U229" s="864"/>
      <c r="V229" s="864"/>
    </row>
    <row r="230" spans="2:22" s="370" customFormat="1" ht="12.6" customHeight="1">
      <c r="B230" s="874"/>
      <c r="C230" s="883"/>
      <c r="D230" s="348" t="s">
        <v>32</v>
      </c>
      <c r="E230" s="904">
        <v>35.890937575319356</v>
      </c>
      <c r="F230" s="904"/>
      <c r="G230" s="905" t="s">
        <v>391</v>
      </c>
      <c r="H230" s="904"/>
      <c r="I230" s="967">
        <v>35.890937575319356</v>
      </c>
      <c r="J230" s="968"/>
      <c r="K230" s="369"/>
      <c r="L230" s="883"/>
      <c r="M230" s="768"/>
      <c r="N230" s="892" t="s">
        <v>83</v>
      </c>
      <c r="Q230" s="864"/>
      <c r="R230" s="864"/>
      <c r="S230" s="864"/>
      <c r="T230" s="864"/>
      <c r="U230" s="864"/>
      <c r="V230" s="864"/>
    </row>
    <row r="231" spans="2:22" s="370" customFormat="1" ht="12.6" customHeight="1">
      <c r="B231" s="874">
        <v>2026</v>
      </c>
      <c r="C231" s="883"/>
      <c r="D231" s="348" t="s">
        <v>33</v>
      </c>
      <c r="E231" s="904">
        <v>36.079320700010356</v>
      </c>
      <c r="F231" s="904"/>
      <c r="G231" s="905" t="s">
        <v>391</v>
      </c>
      <c r="H231" s="904"/>
      <c r="I231" s="967">
        <v>36.079320700010356</v>
      </c>
      <c r="J231" s="968"/>
      <c r="K231" s="369"/>
      <c r="L231" s="883">
        <v>2026</v>
      </c>
      <c r="M231" s="768"/>
      <c r="N231" s="892" t="s">
        <v>33</v>
      </c>
      <c r="Q231" s="864"/>
      <c r="R231" s="864"/>
      <c r="S231" s="864"/>
      <c r="T231" s="864"/>
      <c r="U231" s="864"/>
      <c r="V231" s="864"/>
    </row>
    <row r="232" spans="2:22" s="370" customFormat="1" ht="12.6" customHeight="1">
      <c r="B232" s="874"/>
      <c r="C232" s="883"/>
      <c r="D232" s="348" t="s">
        <v>34</v>
      </c>
      <c r="E232" s="904">
        <v>41.962085308056871</v>
      </c>
      <c r="F232" s="904"/>
      <c r="G232" s="905" t="s">
        <v>391</v>
      </c>
      <c r="H232" s="904"/>
      <c r="I232" s="967">
        <v>41.962085308056871</v>
      </c>
      <c r="J232" s="968"/>
      <c r="K232" s="369"/>
      <c r="L232" s="883"/>
      <c r="M232" s="768"/>
      <c r="N232" s="892" t="s">
        <v>77</v>
      </c>
      <c r="Q232" s="864"/>
      <c r="R232" s="864"/>
      <c r="S232" s="864"/>
      <c r="T232" s="864"/>
      <c r="U232" s="864"/>
      <c r="V232" s="864"/>
    </row>
    <row r="233" spans="2:22" s="370" customFormat="1" ht="12.6" customHeight="1">
      <c r="B233" s="874"/>
      <c r="C233" s="883"/>
      <c r="D233" s="348" t="s">
        <v>29</v>
      </c>
      <c r="E233" s="904">
        <v>43.136086118251932</v>
      </c>
      <c r="F233" s="904"/>
      <c r="G233" s="905" t="s">
        <v>391</v>
      </c>
      <c r="H233" s="904"/>
      <c r="I233" s="967">
        <v>43.136086118251932</v>
      </c>
      <c r="J233" s="968"/>
      <c r="K233" s="369"/>
      <c r="L233" s="883"/>
      <c r="M233" s="768"/>
      <c r="N233" s="892" t="s">
        <v>29</v>
      </c>
      <c r="Q233" s="864"/>
      <c r="R233" s="864"/>
      <c r="S233" s="864"/>
      <c r="T233" s="864"/>
      <c r="U233" s="864"/>
      <c r="V233" s="864"/>
    </row>
    <row r="234" spans="2:22" s="370" customFormat="1" ht="12.6" customHeight="1">
      <c r="B234" s="976"/>
      <c r="C234" s="977"/>
      <c r="D234" s="1189" t="s">
        <v>601</v>
      </c>
      <c r="E234" s="978">
        <v>38.260173294135853</v>
      </c>
      <c r="F234" s="978"/>
      <c r="G234" s="1165" t="s">
        <v>391</v>
      </c>
      <c r="H234" s="978"/>
      <c r="I234" s="979">
        <v>38.260173294135853</v>
      </c>
      <c r="J234" s="1190"/>
      <c r="K234" s="829"/>
      <c r="L234" s="977"/>
      <c r="M234" s="922"/>
      <c r="N234" s="1074" t="s">
        <v>602</v>
      </c>
      <c r="Q234" s="864"/>
      <c r="R234" s="864"/>
      <c r="S234" s="864"/>
      <c r="T234" s="864"/>
      <c r="U234" s="864"/>
      <c r="V234" s="864"/>
    </row>
    <row r="235" spans="2:22" ht="12.6" customHeight="1">
      <c r="B235" s="802" t="s">
        <v>84</v>
      </c>
      <c r="C235" s="392" t="s">
        <v>470</v>
      </c>
      <c r="D235" s="392"/>
      <c r="E235" s="936"/>
      <c r="F235" s="936"/>
      <c r="G235" s="936"/>
      <c r="H235" s="936"/>
      <c r="K235" s="864" t="str">
        <f>REPT("|",I235)</f>
        <v/>
      </c>
    </row>
    <row r="236" spans="2:22" ht="12.6" customHeight="1">
      <c r="B236" s="388"/>
      <c r="C236" s="389"/>
      <c r="D236" s="938" t="s">
        <v>299</v>
      </c>
      <c r="E236" s="936"/>
    </row>
    <row r="237" spans="2:22" ht="12.6" customHeight="1">
      <c r="B237" s="388"/>
      <c r="C237" s="389"/>
      <c r="D237" s="389" t="s">
        <v>423</v>
      </c>
      <c r="E237" s="936"/>
    </row>
    <row r="238" spans="2:22" ht="12.6" customHeight="1">
      <c r="E238" s="980">
        <f>E233/E221-1</f>
        <v>1.3016697902664909E-2</v>
      </c>
      <c r="F238" s="980" t="e">
        <f t="shared" ref="F238:I238" si="8">F233/F221-1</f>
        <v>#DIV/0!</v>
      </c>
      <c r="G238" s="980" t="e">
        <f t="shared" si="8"/>
        <v>#VALUE!</v>
      </c>
      <c r="H238" s="980" t="e">
        <f t="shared" si="8"/>
        <v>#DIV/0!</v>
      </c>
      <c r="I238" s="980">
        <f t="shared" si="8"/>
        <v>-0.14566622523656492</v>
      </c>
      <c r="J238" s="980"/>
      <c r="K238" s="981"/>
      <c r="L238" s="982" t="s">
        <v>231</v>
      </c>
    </row>
    <row r="239" spans="2:22" ht="12.6" customHeight="1">
      <c r="E239" s="983">
        <f>E233/E232-1</f>
        <v>2.7977656533900719E-2</v>
      </c>
      <c r="F239" s="983" t="e">
        <f t="shared" ref="F239:I239" si="9">F233/F232-1</f>
        <v>#DIV/0!</v>
      </c>
      <c r="G239" s="983" t="e">
        <f t="shared" si="9"/>
        <v>#VALUE!</v>
      </c>
      <c r="H239" s="983" t="e">
        <f t="shared" si="9"/>
        <v>#DIV/0!</v>
      </c>
      <c r="I239" s="983">
        <f t="shared" si="9"/>
        <v>2.7977656533900719E-2</v>
      </c>
      <c r="J239" s="983"/>
      <c r="K239" s="984"/>
      <c r="L239" s="985" t="s">
        <v>230</v>
      </c>
    </row>
    <row r="240" spans="2:22" ht="12.6" customHeight="1">
      <c r="E240" s="986"/>
      <c r="F240" s="986"/>
      <c r="G240" s="986"/>
      <c r="H240" s="986"/>
      <c r="I240" s="986">
        <f>I221-I209</f>
        <v>7.6758777101976321</v>
      </c>
      <c r="J240" s="986"/>
      <c r="K240" s="987"/>
      <c r="L240" s="988"/>
    </row>
    <row r="241" spans="5:13" ht="12.6" customHeight="1">
      <c r="E241" s="986"/>
      <c r="F241" s="986"/>
      <c r="G241" s="986"/>
      <c r="H241" s="986"/>
      <c r="I241" s="986">
        <f>I221-I220</f>
        <v>8.1385955724134291</v>
      </c>
      <c r="J241" s="986"/>
      <c r="K241" s="987"/>
      <c r="L241" s="988"/>
    </row>
    <row r="242" spans="5:13" ht="12.6" customHeight="1"/>
    <row r="243" spans="5:13" ht="12.6" customHeight="1"/>
    <row r="244" spans="5:13" ht="12.6" customHeight="1"/>
    <row r="245" spans="5:13" ht="12.6" customHeight="1"/>
    <row r="246" spans="5:13" ht="12.6" customHeight="1"/>
    <row r="247" spans="5:13" ht="12.6" customHeight="1"/>
    <row r="248" spans="5:13" ht="12.6" customHeight="1">
      <c r="J248" s="864"/>
      <c r="K248" s="863"/>
      <c r="M248" s="864"/>
    </row>
    <row r="249" spans="5:13" ht="12.6" customHeight="1">
      <c r="G249" s="950"/>
      <c r="J249" s="864"/>
      <c r="L249" s="864"/>
      <c r="M249" s="864"/>
    </row>
    <row r="250" spans="5:13" ht="12.6" customHeight="1">
      <c r="J250" s="864"/>
      <c r="K250" s="863"/>
      <c r="M250" s="864"/>
    </row>
    <row r="251" spans="5:13" ht="12.6" customHeight="1">
      <c r="J251" s="864"/>
      <c r="L251" s="864"/>
      <c r="M251" s="864"/>
    </row>
    <row r="252" spans="5:13" ht="12.6" customHeight="1">
      <c r="J252" s="864"/>
      <c r="K252" s="863"/>
      <c r="M252" s="864"/>
    </row>
    <row r="253" spans="5:13" ht="12.6" customHeight="1">
      <c r="E253" s="947"/>
      <c r="F253" s="947"/>
      <c r="J253" s="864"/>
      <c r="L253" s="864"/>
      <c r="M253" s="864"/>
    </row>
    <row r="254" spans="5:13" ht="12.6" customHeight="1">
      <c r="E254" s="947"/>
      <c r="F254" s="947"/>
      <c r="J254" s="864"/>
      <c r="L254" s="864"/>
      <c r="M254" s="864"/>
    </row>
    <row r="255" spans="5:13" ht="12.6" customHeight="1">
      <c r="E255" s="947"/>
      <c r="F255" s="947"/>
      <c r="J255" s="864"/>
      <c r="L255" s="864"/>
      <c r="M255" s="864"/>
    </row>
    <row r="256" spans="5:13" ht="12.6" customHeight="1">
      <c r="E256" s="947"/>
      <c r="F256" s="947"/>
      <c r="J256" s="864"/>
      <c r="L256" s="864"/>
      <c r="M256" s="864"/>
    </row>
    <row r="257" spans="5:13" ht="13.5">
      <c r="E257" s="947"/>
      <c r="F257" s="947"/>
      <c r="J257" s="864"/>
      <c r="L257" s="864"/>
      <c r="M257" s="864"/>
    </row>
    <row r="258" spans="5:13" ht="13.5">
      <c r="E258" s="947"/>
      <c r="F258" s="947"/>
      <c r="J258" s="864"/>
      <c r="L258" s="864"/>
      <c r="M258" s="864"/>
    </row>
    <row r="259" spans="5:13" ht="13.5">
      <c r="E259" s="947"/>
      <c r="F259" s="947"/>
      <c r="J259" s="864"/>
      <c r="L259" s="864"/>
      <c r="M259" s="864"/>
    </row>
    <row r="260" spans="5:13" ht="13.5">
      <c r="E260" s="947"/>
      <c r="F260" s="947"/>
      <c r="J260" s="864"/>
      <c r="L260" s="864"/>
      <c r="M260" s="864"/>
    </row>
    <row r="261" spans="5:13" ht="13.5">
      <c r="E261" s="947"/>
      <c r="F261" s="947"/>
      <c r="L261" s="864"/>
      <c r="M261" s="864"/>
    </row>
    <row r="264" spans="5:13" ht="13.5">
      <c r="E264" s="947"/>
      <c r="F264" s="947"/>
      <c r="L264" s="864"/>
      <c r="M264" s="864"/>
    </row>
    <row r="265" spans="5:13" ht="13.5">
      <c r="E265" s="947"/>
      <c r="F265" s="947"/>
      <c r="L265" s="864"/>
      <c r="M265" s="864"/>
    </row>
  </sheetData>
  <mergeCells count="6">
    <mergeCell ref="N7:N8"/>
    <mergeCell ref="B7:B8"/>
    <mergeCell ref="D7:D8"/>
    <mergeCell ref="E7:I7"/>
    <mergeCell ref="K7:K8"/>
    <mergeCell ref="L7:L8"/>
  </mergeCells>
  <conditionalFormatting sqref="K32:K234">
    <cfRule type="expression" dxfId="0" priority="1" stopIfTrue="1">
      <formula>(#REF!&gt;AVERAGE(#REF!))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</sheetPr>
  <dimension ref="A2:L19"/>
  <sheetViews>
    <sheetView topLeftCell="C1" zoomScale="90" zoomScaleNormal="90" workbookViewId="0">
      <selection activeCell="N15" sqref="N15"/>
    </sheetView>
  </sheetViews>
  <sheetFormatPr defaultColWidth="9.140625" defaultRowHeight="12.75"/>
  <cols>
    <col min="1" max="1" width="15.42578125" style="787" customWidth="1"/>
    <col min="2" max="10" width="9.140625" style="787"/>
    <col min="11" max="11" width="11.42578125" style="787" customWidth="1"/>
    <col min="12" max="12" width="11.28515625" style="787" bestFit="1" customWidth="1"/>
    <col min="13" max="16384" width="9.140625" style="787"/>
  </cols>
  <sheetData>
    <row r="2" spans="1:12" ht="14.25">
      <c r="B2" s="800" t="s">
        <v>419</v>
      </c>
      <c r="C2" s="800"/>
    </row>
    <row r="3" spans="1:12" ht="14.25">
      <c r="B3" s="800" t="s">
        <v>420</v>
      </c>
      <c r="C3" s="800"/>
    </row>
    <row r="4" spans="1:12" ht="15">
      <c r="B4" s="801"/>
      <c r="C4" s="801"/>
    </row>
    <row r="5" spans="1:12" ht="51">
      <c r="A5" s="784"/>
      <c r="B5" s="785" t="s">
        <v>277</v>
      </c>
      <c r="C5" s="786"/>
      <c r="D5" s="792" t="s">
        <v>190</v>
      </c>
      <c r="E5" s="793"/>
      <c r="F5" s="793" t="s">
        <v>172</v>
      </c>
      <c r="G5" s="793"/>
      <c r="H5" s="793" t="s">
        <v>178</v>
      </c>
      <c r="I5" s="793"/>
      <c r="J5" s="793" t="s">
        <v>278</v>
      </c>
      <c r="K5" s="786"/>
      <c r="L5" s="1303" t="s">
        <v>225</v>
      </c>
    </row>
    <row r="6" spans="1:12" ht="38.25">
      <c r="B6" s="788" t="s">
        <v>283</v>
      </c>
      <c r="C6" s="789"/>
      <c r="D6" s="794" t="s">
        <v>279</v>
      </c>
      <c r="E6" s="795" t="s">
        <v>242</v>
      </c>
      <c r="F6" s="795" t="s">
        <v>99</v>
      </c>
      <c r="G6" s="795" t="s">
        <v>242</v>
      </c>
      <c r="H6" s="795" t="s">
        <v>281</v>
      </c>
      <c r="I6" s="795" t="s">
        <v>242</v>
      </c>
      <c r="J6" s="795" t="s">
        <v>282</v>
      </c>
      <c r="K6" s="789" t="s">
        <v>242</v>
      </c>
      <c r="L6" s="1304"/>
    </row>
    <row r="7" spans="1:12">
      <c r="A7" s="790"/>
      <c r="B7" s="790"/>
      <c r="C7" s="791"/>
      <c r="D7" s="804"/>
      <c r="E7" s="804"/>
      <c r="F7" s="804"/>
      <c r="G7" s="804"/>
      <c r="H7" s="804"/>
      <c r="I7" s="804"/>
      <c r="J7" s="804"/>
      <c r="K7" s="805"/>
      <c r="L7" s="791"/>
    </row>
    <row r="8" spans="1:12" ht="25.5" customHeight="1">
      <c r="A8" s="1306" t="s">
        <v>290</v>
      </c>
      <c r="B8" s="1306"/>
      <c r="C8" s="1306"/>
      <c r="D8" s="825">
        <v>169</v>
      </c>
      <c r="E8" s="809">
        <f>D8/L8</f>
        <v>2.6672979797979796E-2</v>
      </c>
      <c r="F8" s="828">
        <v>5772</v>
      </c>
      <c r="G8" s="809">
        <f>F8/L8</f>
        <v>0.91098484848484851</v>
      </c>
      <c r="H8" s="828">
        <v>107</v>
      </c>
      <c r="I8" s="809">
        <f>H8/L8</f>
        <v>1.6887626262626264E-2</v>
      </c>
      <c r="J8" s="828">
        <v>288</v>
      </c>
      <c r="K8" s="810">
        <f>J8/L8</f>
        <v>4.5454545454545456E-2</v>
      </c>
      <c r="L8" s="798">
        <f>SUM(J8+H8+F8+D8)</f>
        <v>6336</v>
      </c>
    </row>
    <row r="9" spans="1:12" ht="25.5" customHeight="1">
      <c r="A9" s="1305" t="s">
        <v>291</v>
      </c>
      <c r="B9" s="1305"/>
      <c r="C9" s="1305"/>
      <c r="D9" s="826">
        <v>26</v>
      </c>
      <c r="E9" s="796">
        <f t="shared" ref="E9:E16" si="0">D9/L9</f>
        <v>4.9429657794676805E-2</v>
      </c>
      <c r="F9" s="369">
        <v>320</v>
      </c>
      <c r="G9" s="796">
        <f t="shared" ref="G9:G15" si="1">F9/L9</f>
        <v>0.60836501901140683</v>
      </c>
      <c r="H9" s="369">
        <v>27</v>
      </c>
      <c r="I9" s="796">
        <f t="shared" ref="I9:I16" si="2">H9/L9</f>
        <v>5.1330798479087454E-2</v>
      </c>
      <c r="J9" s="369">
        <v>153</v>
      </c>
      <c r="K9" s="797">
        <f t="shared" ref="K9:K16" si="3">J9/L9</f>
        <v>0.29087452471482889</v>
      </c>
      <c r="L9" s="798">
        <f t="shared" ref="L9:L16" si="4">SUM(J9+H9+F9+D9)</f>
        <v>526</v>
      </c>
    </row>
    <row r="10" spans="1:12" ht="25.5" customHeight="1">
      <c r="A10" s="1305" t="s">
        <v>305</v>
      </c>
      <c r="B10" s="1305"/>
      <c r="C10" s="1305"/>
      <c r="D10" s="826">
        <v>72</v>
      </c>
      <c r="E10" s="796">
        <f t="shared" si="0"/>
        <v>0.08</v>
      </c>
      <c r="F10" s="369">
        <v>670</v>
      </c>
      <c r="G10" s="796">
        <f t="shared" si="1"/>
        <v>0.74444444444444446</v>
      </c>
      <c r="H10" s="369">
        <v>32</v>
      </c>
      <c r="I10" s="796">
        <f t="shared" si="2"/>
        <v>3.5555555555555556E-2</v>
      </c>
      <c r="J10" s="369">
        <v>126</v>
      </c>
      <c r="K10" s="797">
        <f t="shared" si="3"/>
        <v>0.14000000000000001</v>
      </c>
      <c r="L10" s="798">
        <f t="shared" si="4"/>
        <v>900</v>
      </c>
    </row>
    <row r="11" spans="1:12" ht="25.5" customHeight="1">
      <c r="A11" s="1306" t="s">
        <v>292</v>
      </c>
      <c r="B11" s="1306"/>
      <c r="C11" s="1306"/>
      <c r="D11" s="826"/>
      <c r="E11" s="796">
        <f t="shared" si="0"/>
        <v>0</v>
      </c>
      <c r="F11" s="369">
        <v>44</v>
      </c>
      <c r="G11" s="796">
        <f t="shared" si="1"/>
        <v>0.53658536585365857</v>
      </c>
      <c r="H11" s="369">
        <v>18</v>
      </c>
      <c r="I11" s="796">
        <f t="shared" si="2"/>
        <v>0.21951219512195122</v>
      </c>
      <c r="J11" s="369">
        <v>20</v>
      </c>
      <c r="K11" s="797">
        <f t="shared" si="3"/>
        <v>0.24390243902439024</v>
      </c>
      <c r="L11" s="798">
        <f t="shared" si="4"/>
        <v>82</v>
      </c>
    </row>
    <row r="12" spans="1:12" ht="25.5" customHeight="1">
      <c r="A12" s="1305" t="s">
        <v>304</v>
      </c>
      <c r="B12" s="1305"/>
      <c r="C12" s="1305"/>
      <c r="D12" s="826">
        <v>87</v>
      </c>
      <c r="E12" s="796">
        <f t="shared" si="0"/>
        <v>0.22955145118733508</v>
      </c>
      <c r="F12" s="369">
        <v>247</v>
      </c>
      <c r="G12" s="796">
        <f t="shared" si="1"/>
        <v>0.65171503957783639</v>
      </c>
      <c r="H12" s="369">
        <v>17</v>
      </c>
      <c r="I12" s="796">
        <f t="shared" si="2"/>
        <v>4.4854881266490766E-2</v>
      </c>
      <c r="J12" s="369">
        <v>28</v>
      </c>
      <c r="K12" s="797">
        <f t="shared" si="3"/>
        <v>7.3878627968337732E-2</v>
      </c>
      <c r="L12" s="798">
        <f t="shared" si="4"/>
        <v>379</v>
      </c>
    </row>
    <row r="13" spans="1:12" ht="25.5" customHeight="1">
      <c r="A13" s="1305" t="s">
        <v>306</v>
      </c>
      <c r="B13" s="1305"/>
      <c r="C13" s="1305"/>
      <c r="D13" s="826">
        <v>72</v>
      </c>
      <c r="E13" s="796">
        <f t="shared" si="0"/>
        <v>0.10449927431059507</v>
      </c>
      <c r="F13" s="369">
        <v>463</v>
      </c>
      <c r="G13" s="796">
        <f t="shared" si="1"/>
        <v>0.67198838896952107</v>
      </c>
      <c r="H13" s="369">
        <v>59</v>
      </c>
      <c r="I13" s="796">
        <f t="shared" si="2"/>
        <v>8.5631349782293184E-2</v>
      </c>
      <c r="J13" s="369">
        <v>95</v>
      </c>
      <c r="K13" s="797">
        <f t="shared" si="3"/>
        <v>0.13788098693759071</v>
      </c>
      <c r="L13" s="798">
        <f t="shared" si="4"/>
        <v>689</v>
      </c>
    </row>
    <row r="14" spans="1:12" ht="25.5" customHeight="1">
      <c r="A14" s="1305" t="s">
        <v>307</v>
      </c>
      <c r="B14" s="1305"/>
      <c r="C14" s="1305"/>
      <c r="D14" s="826">
        <v>38</v>
      </c>
      <c r="E14" s="796">
        <f t="shared" si="0"/>
        <v>0.14285714285714285</v>
      </c>
      <c r="F14" s="369">
        <v>155</v>
      </c>
      <c r="G14" s="796">
        <f>F14/L14</f>
        <v>0.58270676691729328</v>
      </c>
      <c r="H14" s="369">
        <v>24</v>
      </c>
      <c r="I14" s="796">
        <f t="shared" si="2"/>
        <v>9.0225563909774431E-2</v>
      </c>
      <c r="J14" s="369">
        <v>49</v>
      </c>
      <c r="K14" s="797">
        <f t="shared" si="3"/>
        <v>0.18421052631578946</v>
      </c>
      <c r="L14" s="798">
        <f t="shared" si="4"/>
        <v>266</v>
      </c>
    </row>
    <row r="15" spans="1:12" ht="25.5" customHeight="1">
      <c r="A15" s="1310" t="s">
        <v>308</v>
      </c>
      <c r="B15" s="1310"/>
      <c r="C15" s="1310"/>
      <c r="D15" s="826">
        <v>16</v>
      </c>
      <c r="E15" s="796">
        <f t="shared" si="0"/>
        <v>4.5325779036827198E-2</v>
      </c>
      <c r="F15" s="369">
        <v>186</v>
      </c>
      <c r="G15" s="796">
        <f t="shared" si="1"/>
        <v>0.52691218130311612</v>
      </c>
      <c r="H15" s="369">
        <v>20</v>
      </c>
      <c r="I15" s="796">
        <f t="shared" si="2"/>
        <v>5.6657223796033995E-2</v>
      </c>
      <c r="J15" s="369">
        <v>131</v>
      </c>
      <c r="K15" s="797">
        <f t="shared" si="3"/>
        <v>0.37110481586402266</v>
      </c>
      <c r="L15" s="798">
        <f t="shared" si="4"/>
        <v>353</v>
      </c>
    </row>
    <row r="16" spans="1:12" ht="25.5" customHeight="1">
      <c r="A16" s="1305" t="s">
        <v>309</v>
      </c>
      <c r="B16" s="1305"/>
      <c r="C16" s="1305"/>
      <c r="D16" s="827">
        <v>93</v>
      </c>
      <c r="E16" s="811">
        <f t="shared" si="0"/>
        <v>0.22682926829268293</v>
      </c>
      <c r="F16" s="829">
        <v>69</v>
      </c>
      <c r="G16" s="811">
        <f>F16/L16</f>
        <v>0.16829268292682928</v>
      </c>
      <c r="H16" s="829">
        <v>91</v>
      </c>
      <c r="I16" s="811">
        <f t="shared" si="2"/>
        <v>0.22195121951219512</v>
      </c>
      <c r="J16" s="829">
        <v>157</v>
      </c>
      <c r="K16" s="812">
        <f t="shared" si="3"/>
        <v>0.38292682926829269</v>
      </c>
      <c r="L16" s="798">
        <f t="shared" si="4"/>
        <v>410</v>
      </c>
    </row>
    <row r="17" spans="1:12" ht="25.5" customHeight="1">
      <c r="A17" s="1307" t="s">
        <v>225</v>
      </c>
      <c r="B17" s="1308"/>
      <c r="C17" s="1309"/>
      <c r="D17" s="806">
        <f>SUM(D8:D16)</f>
        <v>573</v>
      </c>
      <c r="E17" s="807"/>
      <c r="F17" s="806">
        <f>SUM(F8:F16)</f>
        <v>7926</v>
      </c>
      <c r="G17" s="807"/>
      <c r="H17" s="806">
        <f>SUM(H8:H16)</f>
        <v>395</v>
      </c>
      <c r="I17" s="807"/>
      <c r="J17" s="806">
        <f>SUM(J8:J16)</f>
        <v>1047</v>
      </c>
      <c r="K17" s="808"/>
      <c r="L17" s="799">
        <f>SUM(D17:K17)</f>
        <v>9941</v>
      </c>
    </row>
    <row r="18" spans="1:12">
      <c r="B18" s="802" t="s">
        <v>468</v>
      </c>
      <c r="C18" s="802"/>
    </row>
    <row r="19" spans="1:12">
      <c r="L19" s="803"/>
    </row>
  </sheetData>
  <mergeCells count="11">
    <mergeCell ref="L5:L6"/>
    <mergeCell ref="A9:C9"/>
    <mergeCell ref="A10:C10"/>
    <mergeCell ref="A8:C8"/>
    <mergeCell ref="A17:C17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>
    <tabColor rgb="FFFFC000"/>
  </sheetPr>
  <dimension ref="A2:I165"/>
  <sheetViews>
    <sheetView showWhiteSpace="0" topLeftCell="A76" zoomScale="96" zoomScaleNormal="96" workbookViewId="0">
      <selection activeCell="A152" sqref="A152:A153"/>
    </sheetView>
  </sheetViews>
  <sheetFormatPr defaultColWidth="9.140625" defaultRowHeight="12.75"/>
  <cols>
    <col min="1" max="1" width="6" style="582" bestFit="1" customWidth="1"/>
    <col min="2" max="2" width="7.28515625" style="582" customWidth="1"/>
    <col min="3" max="3" width="14.7109375" style="582" bestFit="1" customWidth="1"/>
    <col min="4" max="4" width="16.7109375" style="582" bestFit="1" customWidth="1"/>
    <col min="5" max="5" width="6.85546875" style="582" bestFit="1" customWidth="1"/>
    <col min="6" max="7" width="7.28515625" style="582" bestFit="1" customWidth="1"/>
    <col min="8" max="8" width="9.28515625" style="288" bestFit="1" customWidth="1"/>
    <col min="9" max="9" width="7.28515625" style="288" bestFit="1" customWidth="1"/>
    <col min="10" max="16384" width="9.140625" style="288"/>
  </cols>
  <sheetData>
    <row r="2" spans="1:9" ht="18.75" customHeight="1">
      <c r="B2" s="583" t="s">
        <v>205</v>
      </c>
      <c r="C2" s="583"/>
    </row>
    <row r="3" spans="1:9" ht="6.75" customHeight="1"/>
    <row r="4" spans="1:9">
      <c r="A4" s="1311" t="s">
        <v>28</v>
      </c>
      <c r="B4" s="1313" t="s">
        <v>206</v>
      </c>
      <c r="C4" s="647" t="s">
        <v>207</v>
      </c>
      <c r="D4" s="637" t="s">
        <v>208</v>
      </c>
      <c r="E4" s="638"/>
      <c r="F4" s="638"/>
      <c r="G4" s="639"/>
    </row>
    <row r="5" spans="1:9">
      <c r="A5" s="1312"/>
      <c r="B5" s="1314"/>
      <c r="C5" s="648" t="s">
        <v>209</v>
      </c>
      <c r="D5" s="584" t="s">
        <v>138</v>
      </c>
      <c r="E5" s="585" t="s">
        <v>19</v>
      </c>
      <c r="F5" s="585" t="s">
        <v>210</v>
      </c>
      <c r="G5" s="640" t="s">
        <v>211</v>
      </c>
      <c r="I5" s="289" t="s">
        <v>212</v>
      </c>
    </row>
    <row r="6" spans="1:9" ht="12.75" hidden="1" customHeight="1">
      <c r="A6" s="641">
        <v>2013</v>
      </c>
      <c r="B6" s="586" t="s">
        <v>33</v>
      </c>
      <c r="C6" s="646">
        <v>7612</v>
      </c>
      <c r="D6" s="587">
        <v>33491</v>
      </c>
      <c r="E6" s="588">
        <f t="shared" ref="E6:E37" si="0">SUM(C6:D6)</f>
        <v>41103</v>
      </c>
      <c r="F6" s="588">
        <f t="shared" ref="F6:F37" si="1">(D6/E6)*100</f>
        <v>81.480670510668318</v>
      </c>
      <c r="G6" s="642">
        <f t="shared" ref="G6:G37" si="2">(C6/E6)*100</f>
        <v>18.519329489331678</v>
      </c>
    </row>
    <row r="7" spans="1:9" ht="12.75" hidden="1" customHeight="1">
      <c r="A7" s="641"/>
      <c r="B7" s="586" t="s">
        <v>34</v>
      </c>
      <c r="C7" s="646">
        <v>4931</v>
      </c>
      <c r="D7" s="587">
        <v>16127</v>
      </c>
      <c r="E7" s="588">
        <f t="shared" si="0"/>
        <v>21058</v>
      </c>
      <c r="F7" s="588">
        <f t="shared" si="1"/>
        <v>76.58372115110646</v>
      </c>
      <c r="G7" s="642">
        <f t="shared" si="2"/>
        <v>23.416278848893533</v>
      </c>
    </row>
    <row r="8" spans="1:9" ht="12.75" hidden="1" customHeight="1">
      <c r="A8" s="641"/>
      <c r="B8" s="586" t="s">
        <v>29</v>
      </c>
      <c r="C8" s="646">
        <v>6977</v>
      </c>
      <c r="D8" s="587">
        <v>16060</v>
      </c>
      <c r="E8" s="588">
        <f t="shared" si="0"/>
        <v>23037</v>
      </c>
      <c r="F8" s="588">
        <f t="shared" si="1"/>
        <v>69.713938446846385</v>
      </c>
      <c r="G8" s="642">
        <f t="shared" si="2"/>
        <v>30.286061553153619</v>
      </c>
    </row>
    <row r="9" spans="1:9" ht="12.75" hidden="1" customHeight="1">
      <c r="A9" s="641"/>
      <c r="B9" s="586" t="s">
        <v>35</v>
      </c>
      <c r="C9" s="646">
        <v>8662</v>
      </c>
      <c r="D9" s="587">
        <v>22314</v>
      </c>
      <c r="E9" s="588">
        <f t="shared" si="0"/>
        <v>30976</v>
      </c>
      <c r="F9" s="588">
        <f t="shared" si="1"/>
        <v>72.036415289256198</v>
      </c>
      <c r="G9" s="642">
        <f t="shared" si="2"/>
        <v>27.963584710743799</v>
      </c>
    </row>
    <row r="10" spans="1:9" ht="12.75" hidden="1" customHeight="1">
      <c r="A10" s="641"/>
      <c r="B10" s="586" t="s">
        <v>4</v>
      </c>
      <c r="C10" s="646">
        <v>7670</v>
      </c>
      <c r="D10" s="587">
        <v>16817</v>
      </c>
      <c r="E10" s="588">
        <f t="shared" si="0"/>
        <v>24487</v>
      </c>
      <c r="F10" s="588">
        <f t="shared" si="1"/>
        <v>68.677257320210728</v>
      </c>
      <c r="G10" s="642">
        <f t="shared" si="2"/>
        <v>31.322742679789279</v>
      </c>
    </row>
    <row r="11" spans="1:9" ht="12.75" hidden="1" customHeight="1">
      <c r="A11" s="641"/>
      <c r="B11" s="586" t="s">
        <v>30</v>
      </c>
      <c r="C11" s="646">
        <v>11206</v>
      </c>
      <c r="D11" s="587">
        <f>'Table 1 Summary'!AB131</f>
        <v>27524</v>
      </c>
      <c r="E11" s="588">
        <f t="shared" si="0"/>
        <v>38730</v>
      </c>
      <c r="F11" s="588">
        <f t="shared" si="1"/>
        <v>71.066356829331269</v>
      </c>
      <c r="G11" s="642">
        <f t="shared" si="2"/>
        <v>28.933643170668731</v>
      </c>
    </row>
    <row r="12" spans="1:9" ht="12.75" hidden="1" customHeight="1">
      <c r="A12" s="641"/>
      <c r="B12" s="586" t="s">
        <v>131</v>
      </c>
      <c r="C12" s="646">
        <v>11855</v>
      </c>
      <c r="D12" s="587">
        <v>16759</v>
      </c>
      <c r="E12" s="588">
        <f t="shared" si="0"/>
        <v>28614</v>
      </c>
      <c r="F12" s="588">
        <f t="shared" si="1"/>
        <v>58.569231844551616</v>
      </c>
      <c r="G12" s="642">
        <f t="shared" si="2"/>
        <v>41.430768155448384</v>
      </c>
    </row>
    <row r="13" spans="1:9" ht="12.75" hidden="1" customHeight="1">
      <c r="A13" s="641"/>
      <c r="B13" s="586" t="s">
        <v>37</v>
      </c>
      <c r="C13" s="646">
        <v>10797</v>
      </c>
      <c r="D13" s="587">
        <v>13642</v>
      </c>
      <c r="E13" s="588">
        <f t="shared" si="0"/>
        <v>24439</v>
      </c>
      <c r="F13" s="588">
        <f t="shared" si="1"/>
        <v>55.820614591431728</v>
      </c>
      <c r="G13" s="642">
        <f t="shared" si="2"/>
        <v>44.179385408568272</v>
      </c>
    </row>
    <row r="14" spans="1:9" ht="12.75" hidden="1" customHeight="1">
      <c r="A14" s="641"/>
      <c r="B14" s="586" t="s">
        <v>31</v>
      </c>
      <c r="C14" s="646">
        <v>11596</v>
      </c>
      <c r="D14" s="587">
        <v>15370</v>
      </c>
      <c r="E14" s="588">
        <f t="shared" si="0"/>
        <v>26966</v>
      </c>
      <c r="F14" s="588">
        <f t="shared" si="1"/>
        <v>56.997700808425421</v>
      </c>
      <c r="G14" s="642">
        <f t="shared" si="2"/>
        <v>43.002299191574579</v>
      </c>
    </row>
    <row r="15" spans="1:9" ht="12.75" hidden="1" customHeight="1">
      <c r="A15" s="641"/>
      <c r="B15" s="586" t="s">
        <v>38</v>
      </c>
      <c r="C15" s="646">
        <v>10827</v>
      </c>
      <c r="D15" s="587">
        <v>26805</v>
      </c>
      <c r="E15" s="588">
        <f t="shared" si="0"/>
        <v>37632</v>
      </c>
      <c r="F15" s="588">
        <f t="shared" si="1"/>
        <v>71.229272959183675</v>
      </c>
      <c r="G15" s="642">
        <f t="shared" si="2"/>
        <v>28.770727040816325</v>
      </c>
    </row>
    <row r="16" spans="1:9" ht="12.75" hidden="1" customHeight="1">
      <c r="A16" s="641"/>
      <c r="B16" s="586" t="s">
        <v>39</v>
      </c>
      <c r="C16" s="646">
        <v>8123</v>
      </c>
      <c r="D16" s="587">
        <v>19834</v>
      </c>
      <c r="E16" s="588">
        <f t="shared" si="0"/>
        <v>27957</v>
      </c>
      <c r="F16" s="588">
        <f t="shared" si="1"/>
        <v>70.944665021282688</v>
      </c>
      <c r="G16" s="642">
        <f t="shared" si="2"/>
        <v>29.055334978717319</v>
      </c>
    </row>
    <row r="17" spans="1:7" ht="12.75" hidden="1" customHeight="1">
      <c r="A17" s="641"/>
      <c r="B17" s="586" t="s">
        <v>32</v>
      </c>
      <c r="C17" s="646">
        <v>9853</v>
      </c>
      <c r="D17" s="587">
        <v>22553</v>
      </c>
      <c r="E17" s="588">
        <f t="shared" si="0"/>
        <v>32406</v>
      </c>
      <c r="F17" s="588">
        <f t="shared" si="1"/>
        <v>69.595136703079675</v>
      </c>
      <c r="G17" s="642">
        <f t="shared" si="2"/>
        <v>30.404863296920325</v>
      </c>
    </row>
    <row r="18" spans="1:7" ht="12.75" hidden="1" customHeight="1">
      <c r="A18" s="641">
        <v>2014</v>
      </c>
      <c r="B18" s="586" t="s">
        <v>33</v>
      </c>
      <c r="C18" s="646">
        <v>8447</v>
      </c>
      <c r="D18" s="587">
        <v>23016</v>
      </c>
      <c r="E18" s="588">
        <f t="shared" si="0"/>
        <v>31463</v>
      </c>
      <c r="F18" s="588">
        <f t="shared" si="1"/>
        <v>73.15259193338207</v>
      </c>
      <c r="G18" s="642">
        <f t="shared" si="2"/>
        <v>26.847408066617934</v>
      </c>
    </row>
    <row r="19" spans="1:7" ht="12.75" hidden="1" customHeight="1">
      <c r="A19" s="641"/>
      <c r="B19" s="586" t="s">
        <v>34</v>
      </c>
      <c r="C19" s="646">
        <v>5009</v>
      </c>
      <c r="D19" s="587">
        <v>25728</v>
      </c>
      <c r="E19" s="588">
        <f t="shared" si="0"/>
        <v>30737</v>
      </c>
      <c r="F19" s="588">
        <f t="shared" si="1"/>
        <v>83.703679604385599</v>
      </c>
      <c r="G19" s="642">
        <f t="shared" si="2"/>
        <v>16.296320395614405</v>
      </c>
    </row>
    <row r="20" spans="1:7" ht="12.75" hidden="1" customHeight="1">
      <c r="A20" s="641"/>
      <c r="B20" s="586" t="s">
        <v>29</v>
      </c>
      <c r="C20" s="646">
        <v>6376</v>
      </c>
      <c r="D20" s="587">
        <v>18883</v>
      </c>
      <c r="E20" s="588">
        <f t="shared" si="0"/>
        <v>25259</v>
      </c>
      <c r="F20" s="588">
        <f t="shared" si="1"/>
        <v>74.757512173878609</v>
      </c>
      <c r="G20" s="642">
        <f t="shared" si="2"/>
        <v>25.242487826121383</v>
      </c>
    </row>
    <row r="21" spans="1:7" ht="12.75" hidden="1" customHeight="1">
      <c r="A21" s="641">
        <v>2014</v>
      </c>
      <c r="B21" s="586" t="s">
        <v>35</v>
      </c>
      <c r="C21" s="646">
        <f>'Table 1 Summary'!N141</f>
        <v>6804</v>
      </c>
      <c r="D21" s="587">
        <f>'Table 1 Summary'!AB141</f>
        <v>18880</v>
      </c>
      <c r="E21" s="588">
        <f t="shared" si="0"/>
        <v>25684</v>
      </c>
      <c r="F21" s="588">
        <f t="shared" si="1"/>
        <v>73.508799252452889</v>
      </c>
      <c r="G21" s="642">
        <f t="shared" si="2"/>
        <v>26.491200747547111</v>
      </c>
    </row>
    <row r="22" spans="1:7" ht="12.75" hidden="1" customHeight="1">
      <c r="A22" s="641">
        <v>2014</v>
      </c>
      <c r="B22" s="586" t="s">
        <v>4</v>
      </c>
      <c r="C22" s="646">
        <f>'Table 1 Summary'!N142</f>
        <v>7812</v>
      </c>
      <c r="D22" s="587">
        <f>'Table 1 Summary'!AB142</f>
        <v>17869</v>
      </c>
      <c r="E22" s="588">
        <f t="shared" si="0"/>
        <v>25681</v>
      </c>
      <c r="F22" s="588">
        <f t="shared" si="1"/>
        <v>69.58062380748413</v>
      </c>
      <c r="G22" s="642">
        <f t="shared" si="2"/>
        <v>30.41937619251587</v>
      </c>
    </row>
    <row r="23" spans="1:7" ht="12.75" hidden="1" customHeight="1">
      <c r="A23" s="641">
        <v>2014</v>
      </c>
      <c r="B23" s="586" t="s">
        <v>30</v>
      </c>
      <c r="C23" s="646">
        <f>'Table 1 Summary'!N143</f>
        <v>10917</v>
      </c>
      <c r="D23" s="587">
        <f>'Table 1 Summary'!AB143</f>
        <v>18911</v>
      </c>
      <c r="E23" s="588">
        <f t="shared" si="0"/>
        <v>29828</v>
      </c>
      <c r="F23" s="588">
        <f t="shared" si="1"/>
        <v>63.400160922623037</v>
      </c>
      <c r="G23" s="642">
        <f t="shared" si="2"/>
        <v>36.599839077376963</v>
      </c>
    </row>
    <row r="24" spans="1:7" ht="12.75" hidden="1" customHeight="1">
      <c r="A24" s="641">
        <v>2014</v>
      </c>
      <c r="B24" s="586" t="s">
        <v>36</v>
      </c>
      <c r="C24" s="646">
        <f>'Table 1 Summary'!N144</f>
        <v>11446</v>
      </c>
      <c r="D24" s="587">
        <f>'Table 1 Summary'!AB144</f>
        <v>11470</v>
      </c>
      <c r="E24" s="588">
        <f t="shared" si="0"/>
        <v>22916</v>
      </c>
      <c r="F24" s="588">
        <f t="shared" si="1"/>
        <v>50.052365159713744</v>
      </c>
      <c r="G24" s="642">
        <f t="shared" si="2"/>
        <v>49.947634840286263</v>
      </c>
    </row>
    <row r="25" spans="1:7" ht="12.75" hidden="1" customHeight="1">
      <c r="A25" s="641">
        <v>2014</v>
      </c>
      <c r="B25" s="586" t="s">
        <v>37</v>
      </c>
      <c r="C25" s="646">
        <f>'Table 1 Summary'!N145</f>
        <v>11865</v>
      </c>
      <c r="D25" s="587">
        <f>'Table 1 Summary'!AB145</f>
        <v>14667</v>
      </c>
      <c r="E25" s="588">
        <f t="shared" si="0"/>
        <v>26532</v>
      </c>
      <c r="F25" s="588">
        <f t="shared" si="1"/>
        <v>55.280416101311623</v>
      </c>
      <c r="G25" s="642">
        <f t="shared" si="2"/>
        <v>44.719583898688377</v>
      </c>
    </row>
    <row r="26" spans="1:7" ht="12.75" hidden="1" customHeight="1">
      <c r="A26" s="641">
        <v>2014</v>
      </c>
      <c r="B26" s="586" t="s">
        <v>147</v>
      </c>
      <c r="C26" s="646">
        <f>'Table 1 Summary'!N146</f>
        <v>11288</v>
      </c>
      <c r="D26" s="587">
        <f>'Table 1 Summary'!AB146</f>
        <v>14007</v>
      </c>
      <c r="E26" s="588">
        <f t="shared" si="0"/>
        <v>25295</v>
      </c>
      <c r="F26" s="588">
        <f t="shared" si="1"/>
        <v>55.374579956513145</v>
      </c>
      <c r="G26" s="642">
        <f t="shared" si="2"/>
        <v>44.625420043486855</v>
      </c>
    </row>
    <row r="27" spans="1:7" ht="12.75" hidden="1" customHeight="1">
      <c r="A27" s="641">
        <v>2014</v>
      </c>
      <c r="B27" s="586" t="s">
        <v>38</v>
      </c>
      <c r="C27" s="646">
        <f>'Table 1 Summary'!N147</f>
        <v>10533</v>
      </c>
      <c r="D27" s="587">
        <f>'Table 1 Summary'!AB147</f>
        <v>16195</v>
      </c>
      <c r="E27" s="588">
        <f t="shared" si="0"/>
        <v>26728</v>
      </c>
      <c r="F27" s="588">
        <f t="shared" si="1"/>
        <v>60.591888656090987</v>
      </c>
      <c r="G27" s="642">
        <f t="shared" si="2"/>
        <v>39.408111343909006</v>
      </c>
    </row>
    <row r="28" spans="1:7" ht="12.75" hidden="1" customHeight="1">
      <c r="A28" s="641">
        <v>2014</v>
      </c>
      <c r="B28" s="586" t="s">
        <v>39</v>
      </c>
      <c r="C28" s="646">
        <f>'Table 1 Summary'!N148</f>
        <v>7996</v>
      </c>
      <c r="D28" s="587">
        <f>'Table 1 Summary'!AB148</f>
        <v>10312</v>
      </c>
      <c r="E28" s="588">
        <f t="shared" si="0"/>
        <v>18308</v>
      </c>
      <c r="F28" s="588">
        <f t="shared" si="1"/>
        <v>56.325103779768405</v>
      </c>
      <c r="G28" s="642">
        <f t="shared" si="2"/>
        <v>43.674896220231588</v>
      </c>
    </row>
    <row r="29" spans="1:7" ht="12.75" hidden="1" customHeight="1">
      <c r="A29" s="641">
        <v>2014</v>
      </c>
      <c r="B29" s="586" t="s">
        <v>32</v>
      </c>
      <c r="C29" s="646">
        <f>'Table 1 Summary'!N149</f>
        <v>10315</v>
      </c>
      <c r="D29" s="587">
        <f>'Table 1 Summary'!AB149</f>
        <v>30267</v>
      </c>
      <c r="E29" s="588">
        <f t="shared" si="0"/>
        <v>40582</v>
      </c>
      <c r="F29" s="588">
        <f t="shared" si="1"/>
        <v>74.582327140111389</v>
      </c>
      <c r="G29" s="642">
        <f t="shared" si="2"/>
        <v>25.417672859888619</v>
      </c>
    </row>
    <row r="30" spans="1:7" ht="12.75" hidden="1" customHeight="1">
      <c r="A30" s="641">
        <v>2015</v>
      </c>
      <c r="B30" s="586" t="s">
        <v>33</v>
      </c>
      <c r="C30" s="646">
        <f>'Table 1 Summary'!N150</f>
        <v>8524</v>
      </c>
      <c r="D30" s="587">
        <f>'Table 1 Summary'!AB150</f>
        <v>26923</v>
      </c>
      <c r="E30" s="588">
        <f t="shared" si="0"/>
        <v>35447</v>
      </c>
      <c r="F30" s="588">
        <f t="shared" si="1"/>
        <v>75.952830987107518</v>
      </c>
      <c r="G30" s="642">
        <f t="shared" si="2"/>
        <v>24.047169012892489</v>
      </c>
    </row>
    <row r="31" spans="1:7" ht="12.75" hidden="1" customHeight="1">
      <c r="A31" s="641">
        <v>2015</v>
      </c>
      <c r="B31" s="586" t="s">
        <v>34</v>
      </c>
      <c r="C31" s="646">
        <f>'Table 1 Summary'!N151</f>
        <v>5389</v>
      </c>
      <c r="D31" s="587">
        <v>18803</v>
      </c>
      <c r="E31" s="588">
        <f t="shared" si="0"/>
        <v>24192</v>
      </c>
      <c r="F31" s="588">
        <f t="shared" si="1"/>
        <v>77.724041005290999</v>
      </c>
      <c r="G31" s="642">
        <f t="shared" si="2"/>
        <v>22.275958994708994</v>
      </c>
    </row>
    <row r="32" spans="1:7" ht="12.75" hidden="1" customHeight="1">
      <c r="A32" s="641">
        <v>2015</v>
      </c>
      <c r="B32" s="586" t="s">
        <v>29</v>
      </c>
      <c r="C32" s="646">
        <f>'Table 1 Summary'!N152</f>
        <v>4837</v>
      </c>
      <c r="D32" s="587">
        <f>'Table 1 Summary'!AB152</f>
        <v>6530</v>
      </c>
      <c r="E32" s="588">
        <f t="shared" si="0"/>
        <v>11367</v>
      </c>
      <c r="F32" s="588">
        <f t="shared" si="1"/>
        <v>57.446995689275973</v>
      </c>
      <c r="G32" s="642">
        <f t="shared" si="2"/>
        <v>42.553004310724027</v>
      </c>
    </row>
    <row r="33" spans="1:7" ht="12.75" hidden="1" customHeight="1">
      <c r="A33" s="641">
        <v>2015</v>
      </c>
      <c r="B33" s="586" t="s">
        <v>35</v>
      </c>
      <c r="C33" s="646">
        <f>'Table 1 Summary'!N153</f>
        <v>4578</v>
      </c>
      <c r="D33" s="587">
        <f>'Table 1 Summary'!AB153</f>
        <v>7384</v>
      </c>
      <c r="E33" s="588">
        <f t="shared" si="0"/>
        <v>11962</v>
      </c>
      <c r="F33" s="588">
        <f t="shared" si="1"/>
        <v>61.728807891656913</v>
      </c>
      <c r="G33" s="642">
        <f t="shared" si="2"/>
        <v>38.271192108343087</v>
      </c>
    </row>
    <row r="34" spans="1:7" ht="12.75" hidden="1" customHeight="1">
      <c r="A34" s="641">
        <v>2015</v>
      </c>
      <c r="B34" s="586" t="s">
        <v>4</v>
      </c>
      <c r="C34" s="646">
        <f>'Table 1 Summary'!N154</f>
        <v>5787</v>
      </c>
      <c r="D34" s="587">
        <f>'Table 1 Summary'!AB154</f>
        <v>13430</v>
      </c>
      <c r="E34" s="588">
        <f t="shared" si="0"/>
        <v>19217</v>
      </c>
      <c r="F34" s="588">
        <f t="shared" si="1"/>
        <v>69.886038403496912</v>
      </c>
      <c r="G34" s="642">
        <f t="shared" si="2"/>
        <v>30.113961596503096</v>
      </c>
    </row>
    <row r="35" spans="1:7" ht="12.75" hidden="1" customHeight="1">
      <c r="A35" s="641">
        <v>2015</v>
      </c>
      <c r="B35" s="586" t="s">
        <v>30</v>
      </c>
      <c r="C35" s="646">
        <f>'Table 1 Summary'!N155</f>
        <v>8289</v>
      </c>
      <c r="D35" s="587">
        <f>'Table 1 Summary'!AB155</f>
        <v>8357</v>
      </c>
      <c r="E35" s="588">
        <f t="shared" si="0"/>
        <v>16646</v>
      </c>
      <c r="F35" s="588">
        <f t="shared" si="1"/>
        <v>50.20425327405983</v>
      </c>
      <c r="G35" s="642">
        <f t="shared" si="2"/>
        <v>49.795746725940162</v>
      </c>
    </row>
    <row r="36" spans="1:7" ht="12.75" hidden="1" customHeight="1">
      <c r="A36" s="641">
        <v>2015</v>
      </c>
      <c r="B36" s="586" t="s">
        <v>36</v>
      </c>
      <c r="C36" s="646">
        <f>'Table 1 Summary'!N156</f>
        <v>10031</v>
      </c>
      <c r="D36" s="587">
        <v>19023</v>
      </c>
      <c r="E36" s="588">
        <f t="shared" si="0"/>
        <v>29054</v>
      </c>
      <c r="F36" s="588">
        <f t="shared" si="1"/>
        <v>65.474633441178497</v>
      </c>
      <c r="G36" s="642">
        <f t="shared" si="2"/>
        <v>34.52536655882151</v>
      </c>
    </row>
    <row r="37" spans="1:7" ht="12.75" hidden="1" customHeight="1">
      <c r="A37" s="641">
        <v>2015</v>
      </c>
      <c r="B37" s="586" t="s">
        <v>37</v>
      </c>
      <c r="C37" s="646">
        <f>'Table 1 Summary'!N157</f>
        <v>8390</v>
      </c>
      <c r="D37" s="587">
        <f>'Table 1 Summary'!AB157</f>
        <v>13223</v>
      </c>
      <c r="E37" s="588">
        <f t="shared" si="0"/>
        <v>21613</v>
      </c>
      <c r="F37" s="588">
        <f t="shared" si="1"/>
        <v>61.180770832369404</v>
      </c>
      <c r="G37" s="642">
        <f t="shared" si="2"/>
        <v>38.819229167630596</v>
      </c>
    </row>
    <row r="38" spans="1:7" ht="12.75" hidden="1" customHeight="1">
      <c r="A38" s="641">
        <v>2015</v>
      </c>
      <c r="B38" s="586" t="s">
        <v>31</v>
      </c>
      <c r="C38" s="646">
        <v>9171</v>
      </c>
      <c r="D38" s="587">
        <v>16708</v>
      </c>
      <c r="E38" s="588">
        <v>25879</v>
      </c>
      <c r="F38" s="588">
        <v>65</v>
      </c>
      <c r="G38" s="642">
        <v>35</v>
      </c>
    </row>
    <row r="39" spans="1:7" ht="12.75" hidden="1" customHeight="1">
      <c r="A39" s="641">
        <v>2015</v>
      </c>
      <c r="B39" s="586" t="s">
        <v>38</v>
      </c>
      <c r="C39" s="646">
        <v>8533</v>
      </c>
      <c r="D39" s="587">
        <v>17450</v>
      </c>
      <c r="E39" s="588">
        <v>25291</v>
      </c>
      <c r="F39" s="588">
        <v>71</v>
      </c>
      <c r="G39" s="642">
        <v>29</v>
      </c>
    </row>
    <row r="40" spans="1:7" ht="12.75" hidden="1" customHeight="1">
      <c r="A40" s="641">
        <v>2015</v>
      </c>
      <c r="B40" s="586" t="s">
        <v>39</v>
      </c>
      <c r="C40" s="646">
        <f>'Table 1 Summary'!N160</f>
        <v>7275</v>
      </c>
      <c r="D40" s="587">
        <f>'Table 1 Summary'!AB160</f>
        <v>18016</v>
      </c>
      <c r="E40" s="588">
        <f>SUM(C40:D40)</f>
        <v>25291</v>
      </c>
      <c r="F40" s="588">
        <f>(D40/E40)*100</f>
        <v>71.234826618164561</v>
      </c>
      <c r="G40" s="642">
        <f>(C40/E40)*100</f>
        <v>28.765173381835435</v>
      </c>
    </row>
    <row r="41" spans="1:7" ht="12.75" hidden="1" customHeight="1">
      <c r="A41" s="641">
        <v>2015</v>
      </c>
      <c r="B41" s="586" t="s">
        <v>32</v>
      </c>
      <c r="C41" s="646">
        <f>'Table 1 Summary'!N161</f>
        <v>9148</v>
      </c>
      <c r="D41" s="587">
        <f>'Table 1 Summary'!AB161</f>
        <v>31624</v>
      </c>
      <c r="E41" s="588">
        <f>SUM(C41:D41)</f>
        <v>40772</v>
      </c>
      <c r="F41" s="588">
        <f>D41/E41*100</f>
        <v>77.563033454331404</v>
      </c>
      <c r="G41" s="642">
        <f>C41/E41*100</f>
        <v>22.436966545668596</v>
      </c>
    </row>
    <row r="42" spans="1:7" ht="12.75" hidden="1" customHeight="1">
      <c r="A42" s="641">
        <v>2016</v>
      </c>
      <c r="B42" s="586" t="s">
        <v>33</v>
      </c>
      <c r="C42" s="646">
        <f>'Table 1 Summary'!N162</f>
        <v>8479</v>
      </c>
      <c r="D42" s="587">
        <f>'Table 1 Summary'!AB162</f>
        <v>28070</v>
      </c>
      <c r="E42" s="588">
        <f>'Table 1 Summary'!AD162</f>
        <v>36549</v>
      </c>
      <c r="F42" s="589">
        <f t="shared" ref="F42:F71" si="3">D42/E42</f>
        <v>0.76801006867492949</v>
      </c>
      <c r="G42" s="643">
        <f t="shared" ref="G42:G71" si="4">C42/E42</f>
        <v>0.23198993132507045</v>
      </c>
    </row>
    <row r="43" spans="1:7" ht="12.75" hidden="1" customHeight="1">
      <c r="A43" s="641"/>
      <c r="B43" s="586" t="s">
        <v>34</v>
      </c>
      <c r="C43" s="646">
        <f>'Table 1 Summary'!N163</f>
        <v>4274</v>
      </c>
      <c r="D43" s="587">
        <f>'Table 1 Summary'!AB163</f>
        <v>32021</v>
      </c>
      <c r="E43" s="588">
        <f>'Table 1 Summary'!AD163</f>
        <v>36295</v>
      </c>
      <c r="F43" s="589">
        <f t="shared" si="3"/>
        <v>0.88224273315883728</v>
      </c>
      <c r="G43" s="643">
        <f t="shared" si="4"/>
        <v>0.11775726684116269</v>
      </c>
    </row>
    <row r="44" spans="1:7" ht="12.75" hidden="1" customHeight="1">
      <c r="A44" s="641"/>
      <c r="B44" s="586" t="s">
        <v>29</v>
      </c>
      <c r="C44" s="646">
        <f>'Table 1 Summary'!N164</f>
        <v>4155</v>
      </c>
      <c r="D44" s="587">
        <f>'Table 1 Summary'!AB164</f>
        <v>26776</v>
      </c>
      <c r="E44" s="588">
        <f>'Table 1 Summary'!AD164</f>
        <v>30931</v>
      </c>
      <c r="F44" s="589">
        <f t="shared" si="3"/>
        <v>0.86566874656493487</v>
      </c>
      <c r="G44" s="643">
        <f t="shared" si="4"/>
        <v>0.13433125343506513</v>
      </c>
    </row>
    <row r="45" spans="1:7" ht="12.75" hidden="1" customHeight="1">
      <c r="A45" s="641"/>
      <c r="B45" s="586" t="s">
        <v>35</v>
      </c>
      <c r="C45" s="646">
        <f>'Table 1 Summary'!N165</f>
        <v>6083</v>
      </c>
      <c r="D45" s="587">
        <f>'Table 1 Summary'!AB165</f>
        <v>16733</v>
      </c>
      <c r="E45" s="588">
        <f>'Table 1 Summary'!AD165</f>
        <v>22816</v>
      </c>
      <c r="F45" s="589">
        <f t="shared" si="3"/>
        <v>0.73338884992987374</v>
      </c>
      <c r="G45" s="643">
        <f t="shared" si="4"/>
        <v>0.2666111500701262</v>
      </c>
    </row>
    <row r="46" spans="1:7" ht="12.75" hidden="1" customHeight="1">
      <c r="A46" s="641"/>
      <c r="B46" s="586" t="s">
        <v>263</v>
      </c>
      <c r="C46" s="646">
        <f>'Table 1 Summary'!N166</f>
        <v>5742</v>
      </c>
      <c r="D46" s="587">
        <f>'Table 1 Summary'!AB166</f>
        <v>18186</v>
      </c>
      <c r="E46" s="588">
        <f>'Table 1 Summary'!AD166</f>
        <v>23928</v>
      </c>
      <c r="F46" s="589">
        <f t="shared" si="3"/>
        <v>0.76003009027081248</v>
      </c>
      <c r="G46" s="643">
        <f t="shared" si="4"/>
        <v>0.23996990972918755</v>
      </c>
    </row>
    <row r="47" spans="1:7" ht="12.75" hidden="1" customHeight="1">
      <c r="A47" s="641"/>
      <c r="B47" s="586" t="s">
        <v>30</v>
      </c>
      <c r="C47" s="646">
        <f>'Table 1 Summary'!N167</f>
        <v>9158</v>
      </c>
      <c r="D47" s="587">
        <f>'Table 1 Summary'!AB167</f>
        <v>15737</v>
      </c>
      <c r="E47" s="588">
        <f>'Table 1 Summary'!AD167</f>
        <v>24895</v>
      </c>
      <c r="F47" s="589">
        <f t="shared" si="3"/>
        <v>0.63213496686081538</v>
      </c>
      <c r="G47" s="643">
        <f t="shared" si="4"/>
        <v>0.36786503313918456</v>
      </c>
    </row>
    <row r="48" spans="1:7" ht="12.75" hidden="1" customHeight="1">
      <c r="A48" s="641"/>
      <c r="B48" s="586" t="s">
        <v>36</v>
      </c>
      <c r="C48" s="646">
        <f>'Table 1 Summary'!N168</f>
        <v>10864</v>
      </c>
      <c r="D48" s="587">
        <f>'Table 1 Summary'!AB168</f>
        <v>17242</v>
      </c>
      <c r="E48" s="588">
        <f>'Table 1 Summary'!AD168</f>
        <v>28106</v>
      </c>
      <c r="F48" s="589">
        <f t="shared" si="3"/>
        <v>0.61346331744111582</v>
      </c>
      <c r="G48" s="643">
        <f t="shared" si="4"/>
        <v>0.38653668255888424</v>
      </c>
    </row>
    <row r="49" spans="1:7" ht="12.75" hidden="1" customHeight="1">
      <c r="A49" s="641"/>
      <c r="B49" s="586" t="s">
        <v>37</v>
      </c>
      <c r="C49" s="646">
        <f>'Table 1 Summary'!N169</f>
        <v>9819</v>
      </c>
      <c r="D49" s="587">
        <f>'Table 1 Summary'!AB169</f>
        <v>9403</v>
      </c>
      <c r="E49" s="588">
        <f>'Table 1 Summary'!AD169</f>
        <v>19222</v>
      </c>
      <c r="F49" s="589">
        <f t="shared" si="3"/>
        <v>0.48917906565393821</v>
      </c>
      <c r="G49" s="643">
        <f t="shared" si="4"/>
        <v>0.51082093434606179</v>
      </c>
    </row>
    <row r="50" spans="1:7" ht="12.75" hidden="1" customHeight="1">
      <c r="A50" s="641"/>
      <c r="B50" s="586" t="s">
        <v>31</v>
      </c>
      <c r="C50" s="646">
        <f>'Table 1 Summary'!N170</f>
        <v>9672</v>
      </c>
      <c r="D50" s="587">
        <f>'Table 1 Summary'!AB170</f>
        <v>15825</v>
      </c>
      <c r="E50" s="588">
        <f>'Table 1 Summary'!AD170</f>
        <v>25497</v>
      </c>
      <c r="F50" s="589">
        <f t="shared" si="3"/>
        <v>0.62066125426520768</v>
      </c>
      <c r="G50" s="643">
        <f t="shared" si="4"/>
        <v>0.37933874573479232</v>
      </c>
    </row>
    <row r="51" spans="1:7" ht="12.75" hidden="1" customHeight="1">
      <c r="A51" s="641"/>
      <c r="B51" s="586" t="s">
        <v>38</v>
      </c>
      <c r="C51" s="646">
        <f>'Table 1 Summary'!N171</f>
        <v>9611</v>
      </c>
      <c r="D51" s="587">
        <f>'Table 1 Summary'!AB171</f>
        <v>17340</v>
      </c>
      <c r="E51" s="588">
        <f>'Table 1 Summary'!AD171</f>
        <v>26951</v>
      </c>
      <c r="F51" s="589">
        <f t="shared" si="3"/>
        <v>0.64338985566398277</v>
      </c>
      <c r="G51" s="643">
        <f t="shared" si="4"/>
        <v>0.35661014433601723</v>
      </c>
    </row>
    <row r="52" spans="1:7" ht="12.75" hidden="1" customHeight="1">
      <c r="A52" s="641"/>
      <c r="B52" s="586" t="s">
        <v>39</v>
      </c>
      <c r="C52" s="646">
        <f>'Table 1 Summary'!N172</f>
        <v>7511</v>
      </c>
      <c r="D52" s="587">
        <f>'Table 1 Summary'!AB172</f>
        <v>20205</v>
      </c>
      <c r="E52" s="588">
        <f>'Table 1 Summary'!AD172</f>
        <v>27716</v>
      </c>
      <c r="F52" s="589">
        <f t="shared" si="3"/>
        <v>0.72900129888872855</v>
      </c>
      <c r="G52" s="643">
        <f t="shared" si="4"/>
        <v>0.27099870111127145</v>
      </c>
    </row>
    <row r="53" spans="1:7" ht="12.75" hidden="1" customHeight="1">
      <c r="A53" s="641"/>
      <c r="B53" s="586" t="s">
        <v>32</v>
      </c>
      <c r="C53" s="646">
        <f>'Table 1 Summary'!N173</f>
        <v>9749</v>
      </c>
      <c r="D53" s="587">
        <f>'Table 1 Summary'!AB173</f>
        <v>38944</v>
      </c>
      <c r="E53" s="588">
        <f>'Table 1 Summary'!AD173</f>
        <v>48693</v>
      </c>
      <c r="F53" s="589">
        <f t="shared" si="3"/>
        <v>0.79978641693877972</v>
      </c>
      <c r="G53" s="643">
        <f t="shared" si="4"/>
        <v>0.20021358306122031</v>
      </c>
    </row>
    <row r="54" spans="1:7" ht="12.75" hidden="1" customHeight="1">
      <c r="A54" s="641">
        <v>2017</v>
      </c>
      <c r="B54" s="586" t="s">
        <v>33</v>
      </c>
      <c r="C54" s="646">
        <f>'Table 1 Summary'!N174</f>
        <v>8957</v>
      </c>
      <c r="D54" s="587">
        <f>'Table 1 Summary'!AB174</f>
        <v>31548</v>
      </c>
      <c r="E54" s="588">
        <f>'Table 1 Summary'!AD174</f>
        <v>40505</v>
      </c>
      <c r="F54" s="589">
        <f t="shared" si="3"/>
        <v>0.77886680656709051</v>
      </c>
      <c r="G54" s="643">
        <f t="shared" si="4"/>
        <v>0.22113319343290952</v>
      </c>
    </row>
    <row r="55" spans="1:7" ht="12.75" hidden="1" customHeight="1">
      <c r="A55" s="641"/>
      <c r="B55" s="586" t="s">
        <v>34</v>
      </c>
      <c r="C55" s="646">
        <f>'Table 1 Summary'!N175</f>
        <v>5610</v>
      </c>
      <c r="D55" s="587">
        <f>'Table 1 Summary'!AB175</f>
        <v>18628</v>
      </c>
      <c r="E55" s="588">
        <f>'Table 1 Summary'!AD175</f>
        <v>24238</v>
      </c>
      <c r="F55" s="589">
        <f t="shared" si="3"/>
        <v>0.76854525950986052</v>
      </c>
      <c r="G55" s="643">
        <f t="shared" si="4"/>
        <v>0.23145474049013945</v>
      </c>
    </row>
    <row r="56" spans="1:7" ht="12.75" hidden="1" customHeight="1">
      <c r="A56" s="641"/>
      <c r="B56" s="586" t="s">
        <v>29</v>
      </c>
      <c r="C56" s="646">
        <f>'Table 1 Summary'!N176</f>
        <v>6356</v>
      </c>
      <c r="D56" s="587">
        <f>'Table 1 Summary'!AB176</f>
        <v>19242</v>
      </c>
      <c r="E56" s="588">
        <f>'Table 1 Summary'!AD176</f>
        <v>25598</v>
      </c>
      <c r="F56" s="589">
        <f t="shared" si="3"/>
        <v>0.75169935151183687</v>
      </c>
      <c r="G56" s="643">
        <f t="shared" si="4"/>
        <v>0.24830064848816313</v>
      </c>
    </row>
    <row r="57" spans="1:7" ht="12.75" hidden="1" customHeight="1">
      <c r="A57" s="641">
        <v>2017</v>
      </c>
      <c r="B57" s="586" t="s">
        <v>35</v>
      </c>
      <c r="C57" s="646">
        <f>'Table 1 Summary'!N177</f>
        <v>8935</v>
      </c>
      <c r="D57" s="587">
        <f>'Table 1 Summary'!AB177</f>
        <v>20407</v>
      </c>
      <c r="E57" s="588">
        <f>D57+C57</f>
        <v>29342</v>
      </c>
      <c r="F57" s="589">
        <f t="shared" si="3"/>
        <v>0.69548769681684952</v>
      </c>
      <c r="G57" s="643">
        <f t="shared" si="4"/>
        <v>0.30451230318315042</v>
      </c>
    </row>
    <row r="58" spans="1:7" ht="12.75" hidden="1" customHeight="1">
      <c r="A58" s="641"/>
      <c r="B58" s="586" t="s">
        <v>4</v>
      </c>
      <c r="C58" s="646">
        <f>'Table 1 Summary'!N178</f>
        <v>7179</v>
      </c>
      <c r="D58" s="587">
        <f>'Table 1 Summary'!AB178</f>
        <v>10642</v>
      </c>
      <c r="E58" s="588">
        <f>D58+C58</f>
        <v>17821</v>
      </c>
      <c r="F58" s="589">
        <f t="shared" si="3"/>
        <v>0.59716065316199984</v>
      </c>
      <c r="G58" s="643">
        <f t="shared" si="4"/>
        <v>0.4028393468380001</v>
      </c>
    </row>
    <row r="59" spans="1:7" ht="12.75" hidden="1" customHeight="1">
      <c r="A59" s="641"/>
      <c r="B59" s="586" t="s">
        <v>30</v>
      </c>
      <c r="C59" s="646">
        <f>'Table 1 Summary'!N179</f>
        <v>9500</v>
      </c>
      <c r="D59" s="587">
        <f>'Table 1 Summary'!AB179</f>
        <v>11149</v>
      </c>
      <c r="E59" s="588">
        <f>D59+C59</f>
        <v>20649</v>
      </c>
      <c r="F59" s="589">
        <f t="shared" si="3"/>
        <v>0.53992929439682313</v>
      </c>
      <c r="G59" s="643">
        <f t="shared" si="4"/>
        <v>0.46007070560317692</v>
      </c>
    </row>
    <row r="60" spans="1:7" ht="12.75" hidden="1" customHeight="1">
      <c r="A60" s="641"/>
      <c r="B60" s="586" t="s">
        <v>36</v>
      </c>
      <c r="C60" s="646">
        <f>'Table 1 Summary'!N180</f>
        <v>12055</v>
      </c>
      <c r="D60" s="587">
        <f>'Table 1 Summary'!AB180</f>
        <v>10983</v>
      </c>
      <c r="E60" s="588">
        <f>SUM(C60:D60)</f>
        <v>23038</v>
      </c>
      <c r="F60" s="589">
        <f t="shared" si="3"/>
        <v>0.47673409150099832</v>
      </c>
      <c r="G60" s="643">
        <f t="shared" si="4"/>
        <v>0.52326590849900168</v>
      </c>
    </row>
    <row r="61" spans="1:7" ht="12.75" hidden="1" customHeight="1">
      <c r="A61" s="641"/>
      <c r="B61" s="586" t="s">
        <v>37</v>
      </c>
      <c r="C61" s="646">
        <f>'Table 1 Summary'!N181</f>
        <v>8301</v>
      </c>
      <c r="D61" s="587">
        <f>'Table 1 Summary'!AB181</f>
        <v>17791</v>
      </c>
      <c r="E61" s="588">
        <f>SUM(C61:D61)</f>
        <v>26092</v>
      </c>
      <c r="F61" s="589">
        <f t="shared" si="3"/>
        <v>0.68185650774183659</v>
      </c>
      <c r="G61" s="643">
        <f t="shared" si="4"/>
        <v>0.31814349225816341</v>
      </c>
    </row>
    <row r="62" spans="1:7" ht="12.75" hidden="1" customHeight="1">
      <c r="A62" s="641"/>
      <c r="B62" s="586" t="s">
        <v>31</v>
      </c>
      <c r="C62" s="646">
        <f>'Table 1 Summary'!N182</f>
        <v>10877</v>
      </c>
      <c r="D62" s="587">
        <f>'Table 1 Summary'!AB182</f>
        <v>16829</v>
      </c>
      <c r="E62" s="588">
        <f>SUM(C62:D62)</f>
        <v>27706</v>
      </c>
      <c r="F62" s="589">
        <f t="shared" si="3"/>
        <v>0.60741355663033281</v>
      </c>
      <c r="G62" s="643">
        <f t="shared" si="4"/>
        <v>0.39258644336966719</v>
      </c>
    </row>
    <row r="63" spans="1:7" ht="12.75" hidden="1" customHeight="1">
      <c r="A63" s="641"/>
      <c r="B63" s="586" t="s">
        <v>38</v>
      </c>
      <c r="C63" s="646">
        <f>'Table 1 Summary'!N183</f>
        <v>10611</v>
      </c>
      <c r="D63" s="587">
        <f>'Table 1 Summary'!AB183</f>
        <v>12024</v>
      </c>
      <c r="E63" s="588">
        <f>SUM(C63:D63)</f>
        <v>22635</v>
      </c>
      <c r="F63" s="589">
        <f t="shared" si="3"/>
        <v>0.53121272365805172</v>
      </c>
      <c r="G63" s="643">
        <f t="shared" si="4"/>
        <v>0.46878727634194833</v>
      </c>
    </row>
    <row r="64" spans="1:7" ht="12.75" hidden="1" customHeight="1">
      <c r="A64" s="641"/>
      <c r="B64" s="586" t="s">
        <v>39</v>
      </c>
      <c r="C64" s="646">
        <f>'Table 1 Summary'!N184</f>
        <v>8506</v>
      </c>
      <c r="D64" s="587">
        <f>'Table 1 Summary'!AB184</f>
        <v>22401</v>
      </c>
      <c r="E64" s="588">
        <f t="shared" ref="E64:E71" si="5">D64+C64</f>
        <v>30907</v>
      </c>
      <c r="F64" s="589">
        <f t="shared" si="3"/>
        <v>0.7247872650208691</v>
      </c>
      <c r="G64" s="643">
        <f t="shared" si="4"/>
        <v>0.27521273497913096</v>
      </c>
    </row>
    <row r="65" spans="1:8" ht="12.75" hidden="1" customHeight="1">
      <c r="A65" s="641">
        <v>2017</v>
      </c>
      <c r="B65" s="586" t="s">
        <v>32</v>
      </c>
      <c r="C65" s="646">
        <f>'Table 1 Summary'!N185</f>
        <v>12283</v>
      </c>
      <c r="D65" s="587">
        <f>'Table 1 Summary'!AB185</f>
        <v>31907</v>
      </c>
      <c r="E65" s="588">
        <f t="shared" si="5"/>
        <v>44190</v>
      </c>
      <c r="F65" s="589">
        <f t="shared" si="3"/>
        <v>0.72204118578863996</v>
      </c>
      <c r="G65" s="643">
        <f t="shared" si="4"/>
        <v>0.27795881421136004</v>
      </c>
    </row>
    <row r="66" spans="1:8" ht="12.75" hidden="1" customHeight="1">
      <c r="A66" s="641">
        <v>2018</v>
      </c>
      <c r="B66" s="586" t="s">
        <v>33</v>
      </c>
      <c r="C66" s="646">
        <f>'Table 1 Summary'!N186</f>
        <v>10130</v>
      </c>
      <c r="D66" s="587">
        <f>'Table 1 Summary'!AB186</f>
        <v>34656</v>
      </c>
      <c r="E66" s="588">
        <f t="shared" si="5"/>
        <v>44786</v>
      </c>
      <c r="F66" s="589">
        <f t="shared" si="3"/>
        <v>0.77381324521055683</v>
      </c>
      <c r="G66" s="643">
        <f t="shared" si="4"/>
        <v>0.22618675478944314</v>
      </c>
    </row>
    <row r="67" spans="1:8" ht="12.75" hidden="1" customHeight="1">
      <c r="A67" s="641"/>
      <c r="B67" s="586" t="s">
        <v>34</v>
      </c>
      <c r="C67" s="646">
        <f>'Table 1 Summary'!N187</f>
        <v>6266</v>
      </c>
      <c r="D67" s="587">
        <f>'Table 1 Summary'!AB187</f>
        <v>21674</v>
      </c>
      <c r="E67" s="588">
        <f t="shared" si="5"/>
        <v>27940</v>
      </c>
      <c r="F67" s="589">
        <f t="shared" si="3"/>
        <v>0.77573371510379385</v>
      </c>
      <c r="G67" s="643">
        <f t="shared" si="4"/>
        <v>0.22426628489620615</v>
      </c>
    </row>
    <row r="68" spans="1:8" ht="12.75" hidden="1" customHeight="1">
      <c r="A68" s="641"/>
      <c r="B68" s="586" t="s">
        <v>29</v>
      </c>
      <c r="C68" s="646">
        <f>'Table 1 Summary'!N188</f>
        <v>7116</v>
      </c>
      <c r="D68" s="587">
        <f>'Table 1 Summary'!AB188</f>
        <v>30844</v>
      </c>
      <c r="E68" s="588">
        <f t="shared" si="5"/>
        <v>37960</v>
      </c>
      <c r="F68" s="589">
        <f t="shared" si="3"/>
        <v>0.81253951527924129</v>
      </c>
      <c r="G68" s="643">
        <f t="shared" si="4"/>
        <v>0.18746048472075869</v>
      </c>
    </row>
    <row r="69" spans="1:8" ht="12.75" hidden="1" customHeight="1">
      <c r="A69" s="641">
        <v>2018</v>
      </c>
      <c r="B69" s="586" t="s">
        <v>35</v>
      </c>
      <c r="C69" s="646">
        <f>'Table 1 Summary'!N189</f>
        <v>9193</v>
      </c>
      <c r="D69" s="587">
        <f>'Table 1 Summary'!AB189</f>
        <v>27537</v>
      </c>
      <c r="E69" s="588">
        <f t="shared" si="5"/>
        <v>36730</v>
      </c>
      <c r="F69" s="589">
        <f t="shared" si="3"/>
        <v>0.74971413013885102</v>
      </c>
      <c r="G69" s="643">
        <f t="shared" si="4"/>
        <v>0.25028586986114892</v>
      </c>
    </row>
    <row r="70" spans="1:8" ht="12.75" hidden="1" customHeight="1">
      <c r="A70" s="641">
        <v>2018</v>
      </c>
      <c r="B70" s="586" t="s">
        <v>4</v>
      </c>
      <c r="C70" s="646">
        <f>'Table 1 Summary'!N190</f>
        <v>8853</v>
      </c>
      <c r="D70" s="587">
        <f>'Table 1 Summary'!AB190</f>
        <v>16576</v>
      </c>
      <c r="E70" s="588">
        <f t="shared" si="5"/>
        <v>25429</v>
      </c>
      <c r="F70" s="589">
        <f t="shared" si="3"/>
        <v>0.65185418223288372</v>
      </c>
      <c r="G70" s="643">
        <f t="shared" si="4"/>
        <v>0.34814581776711628</v>
      </c>
    </row>
    <row r="71" spans="1:8" ht="12.75" hidden="1" customHeight="1">
      <c r="A71" s="641">
        <v>2018</v>
      </c>
      <c r="B71" s="586" t="s">
        <v>30</v>
      </c>
      <c r="C71" s="646">
        <f>'Table 1 Summary'!N191</f>
        <v>10573</v>
      </c>
      <c r="D71" s="587">
        <f>'Table 1 Summary'!AB191</f>
        <v>9734</v>
      </c>
      <c r="E71" s="588">
        <f t="shared" si="5"/>
        <v>20307</v>
      </c>
      <c r="F71" s="589">
        <f t="shared" si="3"/>
        <v>0.47934209878367068</v>
      </c>
      <c r="G71" s="643">
        <f t="shared" si="4"/>
        <v>0.52065790121632938</v>
      </c>
    </row>
    <row r="72" spans="1:8">
      <c r="A72" s="641">
        <v>2018</v>
      </c>
      <c r="B72" s="586" t="s">
        <v>36</v>
      </c>
      <c r="C72" s="646">
        <f>'Table 1 Summary'!N192</f>
        <v>13184</v>
      </c>
      <c r="D72" s="587">
        <f>'Table 1 Summary'!AB192</f>
        <v>11662</v>
      </c>
      <c r="E72" s="588">
        <f>D72+C72</f>
        <v>24846</v>
      </c>
      <c r="F72" s="589">
        <f t="shared" ref="F72:F78" si="6">D72/E72</f>
        <v>0.46937132737664011</v>
      </c>
      <c r="G72" s="643">
        <f t="shared" ref="G72:G78" si="7">C72/E72</f>
        <v>0.53062867262335989</v>
      </c>
    </row>
    <row r="73" spans="1:8">
      <c r="A73" s="641">
        <v>2018</v>
      </c>
      <c r="B73" s="586" t="s">
        <v>37</v>
      </c>
      <c r="C73" s="649">
        <f>'Table 1 Summary'!N193</f>
        <v>8972</v>
      </c>
      <c r="D73" s="587">
        <f>'Table 1 Summary'!AB193</f>
        <v>10751</v>
      </c>
      <c r="E73" s="590">
        <f t="shared" ref="E73:E80" si="8">C73+D73</f>
        <v>19723</v>
      </c>
      <c r="F73" s="589">
        <f t="shared" si="6"/>
        <v>0.54509962987375149</v>
      </c>
      <c r="G73" s="643">
        <f t="shared" si="7"/>
        <v>0.45490037012624857</v>
      </c>
      <c r="H73" s="289"/>
    </row>
    <row r="74" spans="1:8">
      <c r="A74" s="641">
        <v>2018</v>
      </c>
      <c r="B74" s="586" t="s">
        <v>31</v>
      </c>
      <c r="C74" s="646">
        <f>'Table 1 Summary'!N194</f>
        <v>11426</v>
      </c>
      <c r="D74" s="587">
        <f>'Table 1 Summary'!AB194</f>
        <v>19632</v>
      </c>
      <c r="E74" s="587">
        <f t="shared" si="8"/>
        <v>31058</v>
      </c>
      <c r="F74" s="591">
        <f t="shared" si="6"/>
        <v>0.63210766952154029</v>
      </c>
      <c r="G74" s="644">
        <f t="shared" si="7"/>
        <v>0.36789233047845965</v>
      </c>
    </row>
    <row r="75" spans="1:8">
      <c r="A75" s="641">
        <v>2018</v>
      </c>
      <c r="B75" s="586" t="s">
        <v>38</v>
      </c>
      <c r="C75" s="646">
        <f>'Table 1 Summary'!N195</f>
        <v>10409</v>
      </c>
      <c r="D75" s="587">
        <f>'Table 1 Summary'!AB195</f>
        <v>16114</v>
      </c>
      <c r="E75" s="587">
        <f t="shared" si="8"/>
        <v>26523</v>
      </c>
      <c r="F75" s="591">
        <f t="shared" si="6"/>
        <v>0.60754816574294013</v>
      </c>
      <c r="G75" s="644">
        <f t="shared" si="7"/>
        <v>0.39245183425705993</v>
      </c>
    </row>
    <row r="76" spans="1:8">
      <c r="A76" s="641">
        <v>2018</v>
      </c>
      <c r="B76" s="586" t="s">
        <v>39</v>
      </c>
      <c r="C76" s="646">
        <f>'Table 1 Summary'!N196</f>
        <v>9044</v>
      </c>
      <c r="D76" s="587">
        <f>'Table 1 Summary'!AB196</f>
        <v>18066</v>
      </c>
      <c r="E76" s="587">
        <f t="shared" si="8"/>
        <v>27110</v>
      </c>
      <c r="F76" s="591">
        <f t="shared" si="6"/>
        <v>0.66639616377720401</v>
      </c>
      <c r="G76" s="644">
        <f t="shared" si="7"/>
        <v>0.33360383622279599</v>
      </c>
    </row>
    <row r="77" spans="1:8" ht="12.75" hidden="1" customHeight="1">
      <c r="A77" s="641">
        <v>2018</v>
      </c>
      <c r="B77" s="586" t="s">
        <v>32</v>
      </c>
      <c r="C77" s="646">
        <f>'Table 1 Summary'!N197</f>
        <v>10468</v>
      </c>
      <c r="D77" s="587">
        <f>'Table 1 Summary'!AB197</f>
        <v>17321</v>
      </c>
      <c r="E77" s="587">
        <f t="shared" si="8"/>
        <v>27789</v>
      </c>
      <c r="F77" s="591">
        <f t="shared" si="6"/>
        <v>0.62330418510921592</v>
      </c>
      <c r="G77" s="644">
        <f t="shared" si="7"/>
        <v>0.37669581489078413</v>
      </c>
    </row>
    <row r="78" spans="1:8" ht="12.75" hidden="1" customHeight="1">
      <c r="A78" s="641">
        <v>2019</v>
      </c>
      <c r="B78" s="586" t="s">
        <v>33</v>
      </c>
      <c r="C78" s="646">
        <f>'Table 1 Summary'!N198</f>
        <v>9548</v>
      </c>
      <c r="D78" s="587">
        <f>'Table 1 Summary'!AB198</f>
        <v>14440</v>
      </c>
      <c r="E78" s="587">
        <f t="shared" si="8"/>
        <v>23988</v>
      </c>
      <c r="F78" s="591">
        <f t="shared" si="6"/>
        <v>0.60196765049191259</v>
      </c>
      <c r="G78" s="644">
        <f t="shared" si="7"/>
        <v>0.39803234950808736</v>
      </c>
    </row>
    <row r="79" spans="1:8" ht="12.75" hidden="1" customHeight="1">
      <c r="A79" s="641">
        <v>2019</v>
      </c>
      <c r="B79" s="587" t="s">
        <v>34</v>
      </c>
      <c r="C79" s="646">
        <f>'Table 1 Summary'!N199</f>
        <v>5835</v>
      </c>
      <c r="D79" s="587">
        <f>'Table 1 Summary'!AB199</f>
        <v>9849</v>
      </c>
      <c r="E79" s="587">
        <f t="shared" si="8"/>
        <v>15684</v>
      </c>
      <c r="F79" s="591">
        <f t="shared" ref="F79:F84" si="9">D79/E79</f>
        <v>0.62796480489671003</v>
      </c>
      <c r="G79" s="644">
        <f>C79/E79</f>
        <v>0.37203519510328997</v>
      </c>
    </row>
    <row r="80" spans="1:8" ht="12.75" hidden="1" customHeight="1">
      <c r="A80" s="645">
        <v>2019</v>
      </c>
      <c r="B80" s="587" t="s">
        <v>29</v>
      </c>
      <c r="C80" s="646">
        <f>'Table 1 Summary'!N200</f>
        <v>7026</v>
      </c>
      <c r="D80" s="587">
        <f>'Table 1 Summary'!AB200</f>
        <v>12237</v>
      </c>
      <c r="E80" s="587">
        <f t="shared" si="8"/>
        <v>19263</v>
      </c>
      <c r="F80" s="591">
        <f t="shared" si="9"/>
        <v>0.63525930540414266</v>
      </c>
      <c r="G80" s="644">
        <f t="shared" ref="G80:G85" si="10">C80/E80</f>
        <v>0.36474069459585734</v>
      </c>
    </row>
    <row r="81" spans="1:7" ht="12.75" hidden="1" customHeight="1">
      <c r="A81" s="645">
        <v>2019</v>
      </c>
      <c r="B81" s="587" t="s">
        <v>35</v>
      </c>
      <c r="C81" s="646">
        <f>'Table 1 Summary'!N201</f>
        <v>9445</v>
      </c>
      <c r="D81" s="587">
        <f>'Table 1 Summary'!AB201</f>
        <v>9740</v>
      </c>
      <c r="E81" s="587">
        <f t="shared" ref="E81:E86" si="11">C81+D81</f>
        <v>19185</v>
      </c>
      <c r="F81" s="591">
        <f t="shared" si="9"/>
        <v>0.50768829814959604</v>
      </c>
      <c r="G81" s="644">
        <f t="shared" si="10"/>
        <v>0.49231170185040396</v>
      </c>
    </row>
    <row r="82" spans="1:7" s="413" customFormat="1" ht="12.75" hidden="1" customHeight="1">
      <c r="A82" s="677">
        <v>2019</v>
      </c>
      <c r="B82" s="587" t="s">
        <v>4</v>
      </c>
      <c r="C82" s="646">
        <f>'Table 1 Summary'!N202</f>
        <v>8359</v>
      </c>
      <c r="D82" s="587">
        <f>'Table 1 Summary'!AB202</f>
        <v>7460</v>
      </c>
      <c r="E82" s="587">
        <f t="shared" si="11"/>
        <v>15819</v>
      </c>
      <c r="F82" s="591">
        <f t="shared" si="9"/>
        <v>0.47158480308489792</v>
      </c>
      <c r="G82" s="644">
        <f t="shared" si="10"/>
        <v>0.52841519691510208</v>
      </c>
    </row>
    <row r="83" spans="1:7" ht="12.75" hidden="1" customHeight="1">
      <c r="A83" s="645">
        <v>2019</v>
      </c>
      <c r="B83" s="587" t="s">
        <v>30</v>
      </c>
      <c r="C83" s="646">
        <f>'Table 1 Summary'!N203</f>
        <v>10607</v>
      </c>
      <c r="D83" s="587">
        <f>'Table 1 Summary'!AB203</f>
        <v>7555</v>
      </c>
      <c r="E83" s="587">
        <f t="shared" si="11"/>
        <v>18162</v>
      </c>
      <c r="F83" s="591">
        <f t="shared" si="9"/>
        <v>0.41597841647395661</v>
      </c>
      <c r="G83" s="644">
        <f t="shared" si="10"/>
        <v>0.58402158352604339</v>
      </c>
    </row>
    <row r="84" spans="1:7" ht="12.75" hidden="1" customHeight="1">
      <c r="A84" s="645">
        <v>2019</v>
      </c>
      <c r="B84" s="587" t="s">
        <v>36</v>
      </c>
      <c r="C84" s="646">
        <f>'Table 1 Summary'!N204</f>
        <v>12612</v>
      </c>
      <c r="D84" s="587">
        <f>'Table 1 Summary'!AB204</f>
        <v>10728</v>
      </c>
      <c r="E84" s="587">
        <f t="shared" si="11"/>
        <v>23340</v>
      </c>
      <c r="F84" s="591">
        <f t="shared" si="9"/>
        <v>0.45964010282776352</v>
      </c>
      <c r="G84" s="644">
        <f t="shared" si="10"/>
        <v>0.54035989717223654</v>
      </c>
    </row>
    <row r="85" spans="1:7" ht="12.75" hidden="1" customHeight="1">
      <c r="A85" s="645">
        <v>2019</v>
      </c>
      <c r="B85" s="587" t="s">
        <v>37</v>
      </c>
      <c r="C85" s="646">
        <f>'Table 1 Summary'!N205</f>
        <v>12275</v>
      </c>
      <c r="D85" s="587">
        <f>'Table 1 Summary'!AB205</f>
        <v>8402</v>
      </c>
      <c r="E85" s="587">
        <f t="shared" si="11"/>
        <v>20677</v>
      </c>
      <c r="F85" s="591">
        <f>D85/E85</f>
        <v>0.40634521448952943</v>
      </c>
      <c r="G85" s="644">
        <f t="shared" si="10"/>
        <v>0.59365478551047057</v>
      </c>
    </row>
    <row r="86" spans="1:7" ht="12.75" hidden="1" customHeight="1">
      <c r="A86" s="645">
        <v>2019</v>
      </c>
      <c r="B86" s="587" t="s">
        <v>31</v>
      </c>
      <c r="C86" s="646">
        <f>'Table 1 Summary'!N206</f>
        <v>11700</v>
      </c>
      <c r="D86" s="587">
        <f>'Table 1 Summary'!AB206</f>
        <v>7690</v>
      </c>
      <c r="E86" s="587">
        <f t="shared" si="11"/>
        <v>19390</v>
      </c>
      <c r="F86" s="591">
        <f>D86/E86</f>
        <v>0.39659618359979371</v>
      </c>
      <c r="G86" s="644">
        <f>C86/E86</f>
        <v>0.60340381640020624</v>
      </c>
    </row>
    <row r="87" spans="1:7" ht="12.75" hidden="1" customHeight="1">
      <c r="A87" s="645">
        <v>2019</v>
      </c>
      <c r="B87" s="582" t="s">
        <v>38</v>
      </c>
      <c r="C87" s="646">
        <f>'Table 1 Summary'!N207</f>
        <v>10880</v>
      </c>
      <c r="D87" s="587">
        <f>'Table 1 Summary'!AB207</f>
        <v>12863</v>
      </c>
      <c r="E87" s="587">
        <f>C87+D87</f>
        <v>23743</v>
      </c>
      <c r="F87" s="591">
        <f>D87/E87</f>
        <v>0.54175967653624224</v>
      </c>
      <c r="G87" s="644">
        <f>C87/E87</f>
        <v>0.45824032346375776</v>
      </c>
    </row>
    <row r="88" spans="1:7">
      <c r="A88" s="645">
        <v>2019</v>
      </c>
      <c r="B88" s="582" t="s">
        <v>39</v>
      </c>
      <c r="C88" s="646">
        <f>'Table 1 Summary'!N208</f>
        <v>9860</v>
      </c>
      <c r="D88" s="587">
        <f>'Table 1 Summary'!AB208</f>
        <v>10493</v>
      </c>
      <c r="E88" s="587">
        <f>C88+D88</f>
        <v>20353</v>
      </c>
      <c r="F88" s="591">
        <f>D88/E88</f>
        <v>0.51555053309094478</v>
      </c>
      <c r="G88" s="644">
        <f>C88/E88</f>
        <v>0.48444946690905516</v>
      </c>
    </row>
    <row r="89" spans="1:7">
      <c r="A89" s="645">
        <v>2019</v>
      </c>
      <c r="B89" s="582" t="s">
        <v>32</v>
      </c>
      <c r="C89" s="646">
        <f>'Table 1 Summary'!N209</f>
        <v>12481</v>
      </c>
      <c r="D89" s="587">
        <f>'Table 1 Summary'!AB209</f>
        <v>23900</v>
      </c>
      <c r="E89" s="587">
        <f>C89+D89</f>
        <v>36381</v>
      </c>
      <c r="F89" s="591">
        <f t="shared" ref="F89:F94" si="12">D89/E89</f>
        <v>0.65693631291058519</v>
      </c>
      <c r="G89" s="644">
        <f t="shared" ref="G89:G94" si="13">C89/E89</f>
        <v>0.34306368708941481</v>
      </c>
    </row>
    <row r="90" spans="1:7">
      <c r="A90" s="645">
        <v>2020</v>
      </c>
      <c r="B90" s="582" t="s">
        <v>33</v>
      </c>
      <c r="C90" s="650">
        <f>'Table 1 Summary'!N210</f>
        <v>11933</v>
      </c>
      <c r="D90" s="651">
        <f>'Table 1 Summary'!AB210</f>
        <v>36023</v>
      </c>
      <c r="E90" s="587">
        <f>C90+D90</f>
        <v>47956</v>
      </c>
      <c r="F90" s="591">
        <f t="shared" si="12"/>
        <v>0.75116773709233464</v>
      </c>
      <c r="G90" s="644">
        <f t="shared" si="13"/>
        <v>0.24883226290766536</v>
      </c>
    </row>
    <row r="91" spans="1:7">
      <c r="A91" s="645">
        <v>2020</v>
      </c>
      <c r="B91" s="582" t="s">
        <v>34</v>
      </c>
      <c r="C91" s="650">
        <f>'Table 1 Summary'!N211</f>
        <v>6594</v>
      </c>
      <c r="D91" s="651">
        <f>'Table 1 Summary'!AB211</f>
        <v>16493</v>
      </c>
      <c r="E91" s="651">
        <f>SUM(C91:D91)</f>
        <v>23087</v>
      </c>
      <c r="F91" s="591">
        <f t="shared" si="12"/>
        <v>0.71438471867284614</v>
      </c>
      <c r="G91" s="644">
        <f t="shared" si="13"/>
        <v>0.2856152813271538</v>
      </c>
    </row>
    <row r="92" spans="1:7">
      <c r="A92" s="645">
        <v>2020</v>
      </c>
      <c r="B92" s="582" t="s">
        <v>29</v>
      </c>
      <c r="C92" s="650">
        <f>'Table 1 Summary'!N212</f>
        <v>3438</v>
      </c>
      <c r="D92" s="651">
        <f>'Table 1 Summary'!AB212</f>
        <v>7885</v>
      </c>
      <c r="E92" s="651">
        <f>SUM(C92:D92)</f>
        <v>11323</v>
      </c>
      <c r="F92" s="591">
        <f>D92/E92</f>
        <v>0.69637021990638526</v>
      </c>
      <c r="G92" s="644">
        <f>C92/E92</f>
        <v>0.30362978009361474</v>
      </c>
    </row>
    <row r="93" spans="1:7">
      <c r="A93" s="645">
        <v>2020</v>
      </c>
      <c r="B93" s="582" t="s">
        <v>35</v>
      </c>
      <c r="C93" s="650">
        <f>'Table 1 Summary'!N286</f>
        <v>0</v>
      </c>
      <c r="D93" s="651">
        <f>'Table 1 Summary'!U300</f>
        <v>77.248071773510631</v>
      </c>
      <c r="E93" s="651">
        <f>SUM(C93:D93)</f>
        <v>77.248071773510631</v>
      </c>
      <c r="F93" s="591">
        <f t="shared" si="12"/>
        <v>1</v>
      </c>
      <c r="G93" s="644">
        <f t="shared" si="13"/>
        <v>0</v>
      </c>
    </row>
    <row r="94" spans="1:7">
      <c r="A94" s="645">
        <v>2020</v>
      </c>
      <c r="B94" s="582" t="s">
        <v>4</v>
      </c>
      <c r="C94" s="650">
        <f>'Table 1 Summary'!N214</f>
        <v>0</v>
      </c>
      <c r="D94" s="651">
        <f>'Table 1 Summary'!AB214</f>
        <v>0</v>
      </c>
      <c r="E94" s="651">
        <f>SUM(C94:D94)</f>
        <v>0</v>
      </c>
      <c r="F94" s="591" t="e">
        <f t="shared" si="12"/>
        <v>#DIV/0!</v>
      </c>
      <c r="G94" s="644" t="e">
        <f t="shared" si="13"/>
        <v>#DIV/0!</v>
      </c>
    </row>
    <row r="95" spans="1:7">
      <c r="A95" s="645">
        <v>2020</v>
      </c>
      <c r="B95" s="582" t="s">
        <v>30</v>
      </c>
      <c r="C95" s="650">
        <f>'Table 1 Summary'!N215</f>
        <v>0</v>
      </c>
      <c r="D95" s="651">
        <f>'Table 1 Summary'!AB215</f>
        <v>0</v>
      </c>
      <c r="E95" s="651">
        <f>SUM(C95:D95)</f>
        <v>0</v>
      </c>
      <c r="F95" s="731" t="e">
        <f t="shared" ref="F95:F120" si="14">D95/E95</f>
        <v>#DIV/0!</v>
      </c>
      <c r="G95" s="732" t="e">
        <f>C95/E95</f>
        <v>#DIV/0!</v>
      </c>
    </row>
    <row r="96" spans="1:7">
      <c r="A96" s="645">
        <v>2020</v>
      </c>
      <c r="B96" s="582" t="s">
        <v>36</v>
      </c>
      <c r="C96" s="650">
        <f>'Table 1 Summary'!N216</f>
        <v>0</v>
      </c>
      <c r="D96" s="651">
        <f>'Table 1 Summary'!AB216</f>
        <v>0</v>
      </c>
      <c r="E96" s="651">
        <f t="shared" ref="E96:E136" si="15">SUM(C96:D96)</f>
        <v>0</v>
      </c>
      <c r="F96" s="731" t="e">
        <f t="shared" si="14"/>
        <v>#DIV/0!</v>
      </c>
      <c r="G96" s="732" t="e">
        <f>C96/E96</f>
        <v>#DIV/0!</v>
      </c>
    </row>
    <row r="97" spans="1:8">
      <c r="A97" s="645">
        <v>2020</v>
      </c>
      <c r="B97" s="582" t="s">
        <v>37</v>
      </c>
      <c r="C97" s="650">
        <f>'Table 1 Summary'!N217</f>
        <v>0</v>
      </c>
      <c r="D97" s="651">
        <f>'Table 1 Summary'!AB217</f>
        <v>0</v>
      </c>
      <c r="E97" s="651">
        <f t="shared" si="15"/>
        <v>0</v>
      </c>
      <c r="F97" s="731" t="e">
        <f t="shared" si="14"/>
        <v>#DIV/0!</v>
      </c>
      <c r="G97" s="732" t="e">
        <f t="shared" ref="G97:G119" si="16">C97/E97</f>
        <v>#DIV/0!</v>
      </c>
    </row>
    <row r="98" spans="1:8">
      <c r="A98" s="645">
        <v>2020</v>
      </c>
      <c r="B98" s="582" t="s">
        <v>31</v>
      </c>
      <c r="C98" s="650">
        <f>'Table 1 Summary'!N218</f>
        <v>0</v>
      </c>
      <c r="D98" s="651">
        <f>'Table 1 Summary'!AB218</f>
        <v>0</v>
      </c>
      <c r="E98" s="651">
        <f t="shared" si="15"/>
        <v>0</v>
      </c>
      <c r="F98" s="731" t="e">
        <f t="shared" si="14"/>
        <v>#DIV/0!</v>
      </c>
      <c r="G98" s="732" t="e">
        <f t="shared" si="16"/>
        <v>#DIV/0!</v>
      </c>
    </row>
    <row r="99" spans="1:8">
      <c r="A99" s="645">
        <v>2020</v>
      </c>
      <c r="B99" s="582" t="s">
        <v>38</v>
      </c>
      <c r="C99" s="650">
        <f>'Table 1 Summary'!N219</f>
        <v>0</v>
      </c>
      <c r="D99" s="651">
        <f>'Table 1 Summary'!AB219</f>
        <v>0</v>
      </c>
      <c r="E99" s="651">
        <f t="shared" si="15"/>
        <v>0</v>
      </c>
      <c r="F99" s="731" t="e">
        <f t="shared" si="14"/>
        <v>#DIV/0!</v>
      </c>
      <c r="G99" s="732" t="e">
        <f t="shared" si="16"/>
        <v>#DIV/0!</v>
      </c>
    </row>
    <row r="100" spans="1:8">
      <c r="A100" s="645">
        <v>2020</v>
      </c>
      <c r="B100" s="582" t="s">
        <v>39</v>
      </c>
      <c r="C100" s="650">
        <f>'Table 1 Summary'!N220</f>
        <v>0</v>
      </c>
      <c r="D100" s="651">
        <f>'Table 1 Summary'!AB220</f>
        <v>0</v>
      </c>
      <c r="E100" s="651">
        <f t="shared" si="15"/>
        <v>0</v>
      </c>
      <c r="F100" s="731" t="e">
        <f t="shared" si="14"/>
        <v>#DIV/0!</v>
      </c>
      <c r="G100" s="732" t="e">
        <f t="shared" si="16"/>
        <v>#DIV/0!</v>
      </c>
    </row>
    <row r="101" spans="1:8">
      <c r="A101" s="645">
        <v>2020</v>
      </c>
      <c r="B101" s="757" t="s">
        <v>32</v>
      </c>
      <c r="C101" s="650">
        <f>'Table 1 Summary'!N221</f>
        <v>0</v>
      </c>
      <c r="D101" s="651">
        <f>'Table 1 Summary'!AB221</f>
        <v>0</v>
      </c>
      <c r="E101" s="651">
        <f t="shared" si="15"/>
        <v>0</v>
      </c>
      <c r="F101" s="731" t="e">
        <f t="shared" si="14"/>
        <v>#DIV/0!</v>
      </c>
      <c r="G101" s="732" t="e">
        <f t="shared" si="16"/>
        <v>#DIV/0!</v>
      </c>
    </row>
    <row r="102" spans="1:8">
      <c r="A102" s="582">
        <v>2021</v>
      </c>
      <c r="B102" s="582" t="s">
        <v>33</v>
      </c>
      <c r="C102" s="650">
        <f>'Table 1 Summary'!N222</f>
        <v>0</v>
      </c>
      <c r="D102" s="651">
        <f>'Table 1 Summary'!AB222</f>
        <v>0</v>
      </c>
      <c r="E102" s="651">
        <f t="shared" si="15"/>
        <v>0</v>
      </c>
      <c r="F102" s="731" t="e">
        <f t="shared" si="14"/>
        <v>#DIV/0!</v>
      </c>
      <c r="G102" s="732" t="e">
        <f t="shared" si="16"/>
        <v>#DIV/0!</v>
      </c>
      <c r="H102" s="758"/>
    </row>
    <row r="103" spans="1:8">
      <c r="A103" s="582">
        <v>2021</v>
      </c>
      <c r="B103" s="582" t="s">
        <v>34</v>
      </c>
      <c r="C103" s="650">
        <f>'Table 1 Summary'!N223</f>
        <v>0</v>
      </c>
      <c r="D103" s="651">
        <f>'Table 1 Summary'!AB223</f>
        <v>0</v>
      </c>
      <c r="E103" s="651">
        <f t="shared" si="15"/>
        <v>0</v>
      </c>
      <c r="F103" s="731" t="e">
        <f t="shared" si="14"/>
        <v>#DIV/0!</v>
      </c>
      <c r="G103" s="732" t="e">
        <f t="shared" si="16"/>
        <v>#DIV/0!</v>
      </c>
    </row>
    <row r="104" spans="1:8">
      <c r="A104" s="582">
        <v>2021</v>
      </c>
      <c r="B104" s="582" t="s">
        <v>29</v>
      </c>
      <c r="C104" s="650">
        <f>'Table 1 Summary'!N224</f>
        <v>0</v>
      </c>
      <c r="D104" s="651">
        <f>'Table 1 Summary'!AB224</f>
        <v>0</v>
      </c>
      <c r="E104" s="651">
        <f t="shared" si="15"/>
        <v>0</v>
      </c>
      <c r="F104" s="731" t="e">
        <f t="shared" si="14"/>
        <v>#DIV/0!</v>
      </c>
      <c r="G104" s="732" t="e">
        <f t="shared" si="16"/>
        <v>#DIV/0!</v>
      </c>
    </row>
    <row r="105" spans="1:8">
      <c r="A105" s="582">
        <v>2021</v>
      </c>
      <c r="B105" s="582" t="s">
        <v>35</v>
      </c>
      <c r="C105" s="650">
        <f>'Table 1 Summary'!N225</f>
        <v>0</v>
      </c>
      <c r="D105" s="651">
        <f>'Table 1 Summary'!AB225</f>
        <v>0</v>
      </c>
      <c r="E105" s="651">
        <f t="shared" si="15"/>
        <v>0</v>
      </c>
      <c r="F105" s="731" t="e">
        <f t="shared" si="14"/>
        <v>#DIV/0!</v>
      </c>
      <c r="G105" s="732" t="e">
        <f t="shared" si="16"/>
        <v>#DIV/0!</v>
      </c>
    </row>
    <row r="106" spans="1:8">
      <c r="A106" s="582">
        <v>2021</v>
      </c>
      <c r="B106" s="582" t="s">
        <v>4</v>
      </c>
      <c r="C106" s="650">
        <f>'Table 1 Summary'!N226</f>
        <v>0</v>
      </c>
      <c r="D106" s="651">
        <f>'Table 1 Summary'!AB226</f>
        <v>0</v>
      </c>
      <c r="E106" s="651">
        <f t="shared" si="15"/>
        <v>0</v>
      </c>
      <c r="F106" s="731" t="e">
        <f t="shared" si="14"/>
        <v>#DIV/0!</v>
      </c>
      <c r="G106" s="732" t="e">
        <f t="shared" si="16"/>
        <v>#DIV/0!</v>
      </c>
    </row>
    <row r="107" spans="1:8">
      <c r="A107" s="582">
        <v>2021</v>
      </c>
      <c r="B107" s="582" t="s">
        <v>30</v>
      </c>
      <c r="C107" s="650">
        <f>'Table 1 Summary'!N227</f>
        <v>0</v>
      </c>
      <c r="D107" s="651">
        <f>'Table 1 Summary'!AB227</f>
        <v>0</v>
      </c>
      <c r="E107" s="651">
        <f t="shared" si="15"/>
        <v>0</v>
      </c>
      <c r="F107" s="731" t="e">
        <f t="shared" si="14"/>
        <v>#DIV/0!</v>
      </c>
      <c r="G107" s="732" t="e">
        <f t="shared" si="16"/>
        <v>#DIV/0!</v>
      </c>
    </row>
    <row r="108" spans="1:8" hidden="1">
      <c r="A108" s="582">
        <v>2021</v>
      </c>
      <c r="B108" s="582" t="s">
        <v>36</v>
      </c>
      <c r="C108" s="650">
        <f>'Table 1 Summary'!N228</f>
        <v>0</v>
      </c>
      <c r="D108" s="651">
        <f>'Table 1 Summary'!AB228</f>
        <v>0</v>
      </c>
      <c r="E108" s="651">
        <f t="shared" si="15"/>
        <v>0</v>
      </c>
      <c r="F108" s="731" t="e">
        <f t="shared" si="14"/>
        <v>#DIV/0!</v>
      </c>
      <c r="G108" s="732" t="e">
        <f t="shared" si="16"/>
        <v>#DIV/0!</v>
      </c>
    </row>
    <row r="109" spans="1:8" hidden="1">
      <c r="A109" s="582">
        <v>2021</v>
      </c>
      <c r="B109" s="582" t="s">
        <v>37</v>
      </c>
      <c r="C109" s="650">
        <f>'Table 1 Summary'!N229</f>
        <v>0</v>
      </c>
      <c r="D109" s="651">
        <f>'Table 1 Summary'!AB229</f>
        <v>0</v>
      </c>
      <c r="E109" s="651">
        <f t="shared" si="15"/>
        <v>0</v>
      </c>
      <c r="F109" s="731" t="e">
        <f t="shared" si="14"/>
        <v>#DIV/0!</v>
      </c>
      <c r="G109" s="732" t="e">
        <f t="shared" si="16"/>
        <v>#DIV/0!</v>
      </c>
    </row>
    <row r="110" spans="1:8" hidden="1">
      <c r="A110" s="582">
        <v>2021</v>
      </c>
      <c r="B110" s="582" t="s">
        <v>31</v>
      </c>
      <c r="C110" s="650">
        <f>'Table 1 Summary'!N230</f>
        <v>0</v>
      </c>
      <c r="D110" s="651">
        <f>'Table 1 Summary'!AB230</f>
        <v>0</v>
      </c>
      <c r="E110" s="651">
        <f t="shared" si="15"/>
        <v>0</v>
      </c>
      <c r="F110" s="731" t="e">
        <f t="shared" si="14"/>
        <v>#DIV/0!</v>
      </c>
      <c r="G110" s="732" t="e">
        <f t="shared" si="16"/>
        <v>#DIV/0!</v>
      </c>
    </row>
    <row r="111" spans="1:8" hidden="1">
      <c r="A111" s="582">
        <v>2021</v>
      </c>
      <c r="B111" s="582" t="s">
        <v>38</v>
      </c>
      <c r="C111" s="650">
        <f>'Table 1 Summary'!N231</f>
        <v>0</v>
      </c>
      <c r="D111" s="651">
        <f>'Table 1 Summary'!AB231</f>
        <v>0</v>
      </c>
      <c r="E111" s="651">
        <f t="shared" si="15"/>
        <v>0</v>
      </c>
      <c r="F111" s="731" t="e">
        <f t="shared" si="14"/>
        <v>#DIV/0!</v>
      </c>
      <c r="G111" s="732" t="e">
        <f t="shared" si="16"/>
        <v>#DIV/0!</v>
      </c>
    </row>
    <row r="112" spans="1:8" hidden="1">
      <c r="A112" s="582">
        <v>2021</v>
      </c>
      <c r="B112" s="582" t="s">
        <v>39</v>
      </c>
      <c r="C112" s="650">
        <f>'Table 1 Summary'!N232</f>
        <v>0</v>
      </c>
      <c r="D112" s="651">
        <f>'Table 1 Summary'!AB232</f>
        <v>0</v>
      </c>
      <c r="E112" s="651">
        <f t="shared" si="15"/>
        <v>0</v>
      </c>
      <c r="F112" s="731" t="e">
        <f t="shared" si="14"/>
        <v>#DIV/0!</v>
      </c>
      <c r="G112" s="732" t="e">
        <f t="shared" si="16"/>
        <v>#DIV/0!</v>
      </c>
    </row>
    <row r="113" spans="1:7" hidden="1">
      <c r="A113" s="582">
        <v>2021</v>
      </c>
      <c r="B113" s="582" t="s">
        <v>32</v>
      </c>
      <c r="C113" s="650">
        <f>'Table 1 Summary'!N233</f>
        <v>0</v>
      </c>
      <c r="D113" s="651">
        <f>'Table 1 Summary'!AB233</f>
        <v>0</v>
      </c>
      <c r="E113" s="651">
        <f t="shared" si="15"/>
        <v>0</v>
      </c>
      <c r="F113" s="731" t="e">
        <f t="shared" si="14"/>
        <v>#DIV/0!</v>
      </c>
      <c r="G113" s="732" t="e">
        <f t="shared" si="16"/>
        <v>#DIV/0!</v>
      </c>
    </row>
    <row r="114" spans="1:7" hidden="1">
      <c r="A114" s="582">
        <v>2022</v>
      </c>
      <c r="B114" s="582" t="s">
        <v>33</v>
      </c>
      <c r="C114" s="650">
        <f>'Table 1 Summary'!N234</f>
        <v>0</v>
      </c>
      <c r="D114" s="651">
        <f>'Table 1 Summary'!AB234</f>
        <v>0</v>
      </c>
      <c r="E114" s="651">
        <f t="shared" si="15"/>
        <v>0</v>
      </c>
      <c r="F114" s="731" t="e">
        <f t="shared" si="14"/>
        <v>#DIV/0!</v>
      </c>
      <c r="G114" s="732" t="e">
        <f t="shared" si="16"/>
        <v>#DIV/0!</v>
      </c>
    </row>
    <row r="115" spans="1:7" hidden="1">
      <c r="A115" s="582">
        <v>2022</v>
      </c>
      <c r="B115" s="582" t="s">
        <v>34</v>
      </c>
      <c r="C115" s="650">
        <f>'Table 1 Summary'!N235</f>
        <v>0</v>
      </c>
      <c r="D115" s="651">
        <f>'Table 1 Summary'!AB235</f>
        <v>0</v>
      </c>
      <c r="E115" s="651">
        <f t="shared" si="15"/>
        <v>0</v>
      </c>
      <c r="F115" s="731" t="e">
        <f t="shared" si="14"/>
        <v>#DIV/0!</v>
      </c>
      <c r="G115" s="732" t="e">
        <f t="shared" si="16"/>
        <v>#DIV/0!</v>
      </c>
    </row>
    <row r="116" spans="1:7" hidden="1">
      <c r="A116" s="582">
        <v>2022</v>
      </c>
      <c r="B116" s="582" t="s">
        <v>29</v>
      </c>
      <c r="C116" s="650">
        <f>'Table 1 Summary'!N236</f>
        <v>0</v>
      </c>
      <c r="D116" s="651">
        <f>'Table 1 Summary'!AB236</f>
        <v>0</v>
      </c>
      <c r="E116" s="651">
        <f t="shared" si="15"/>
        <v>0</v>
      </c>
      <c r="F116" s="731" t="e">
        <f t="shared" si="14"/>
        <v>#DIV/0!</v>
      </c>
      <c r="G116" s="732" t="e">
        <f t="shared" si="16"/>
        <v>#DIV/0!</v>
      </c>
    </row>
    <row r="117" spans="1:7" hidden="1">
      <c r="A117" s="582">
        <v>2022</v>
      </c>
      <c r="B117" s="582" t="s">
        <v>35</v>
      </c>
      <c r="C117" s="650">
        <f>'Table 1 Summary'!N237</f>
        <v>0</v>
      </c>
      <c r="D117" s="651">
        <f>'Table 1 Summary'!AB237</f>
        <v>0</v>
      </c>
      <c r="E117" s="651">
        <f t="shared" si="15"/>
        <v>0</v>
      </c>
      <c r="F117" s="731" t="e">
        <f t="shared" si="14"/>
        <v>#DIV/0!</v>
      </c>
      <c r="G117" s="732" t="e">
        <f t="shared" si="16"/>
        <v>#DIV/0!</v>
      </c>
    </row>
    <row r="118" spans="1:7" hidden="1">
      <c r="A118" s="582">
        <v>2022</v>
      </c>
      <c r="B118" s="582" t="s">
        <v>4</v>
      </c>
      <c r="C118" s="650">
        <f>'Table 1 Summary'!N238</f>
        <v>0</v>
      </c>
      <c r="D118" s="651">
        <f>'Table 1 Summary'!AB238</f>
        <v>0</v>
      </c>
      <c r="E118" s="651">
        <f t="shared" si="15"/>
        <v>0</v>
      </c>
      <c r="F118" s="731" t="e">
        <f t="shared" si="14"/>
        <v>#DIV/0!</v>
      </c>
      <c r="G118" s="732" t="e">
        <f t="shared" si="16"/>
        <v>#DIV/0!</v>
      </c>
    </row>
    <row r="119" spans="1:7" hidden="1">
      <c r="A119" s="582">
        <v>2022</v>
      </c>
      <c r="B119" s="757" t="s">
        <v>30</v>
      </c>
      <c r="C119" s="650">
        <f>'Table 1 Summary'!N239</f>
        <v>0</v>
      </c>
      <c r="D119" s="651">
        <f>'Table 1 Summary'!AB239</f>
        <v>0</v>
      </c>
      <c r="E119" s="651">
        <f t="shared" si="15"/>
        <v>0</v>
      </c>
      <c r="F119" s="731" t="e">
        <f t="shared" si="14"/>
        <v>#DIV/0!</v>
      </c>
      <c r="G119" s="732" t="e">
        <f t="shared" si="16"/>
        <v>#DIV/0!</v>
      </c>
    </row>
    <row r="120" spans="1:7" hidden="1">
      <c r="A120" s="582">
        <v>2022</v>
      </c>
      <c r="B120" s="757" t="s">
        <v>36</v>
      </c>
      <c r="C120" s="650">
        <f>'Table 1 Summary'!N240</f>
        <v>3538</v>
      </c>
      <c r="D120" s="1141" t="str">
        <f>'Table 1 Summary'!AB240</f>
        <v>-</v>
      </c>
      <c r="E120" s="651">
        <f t="shared" si="15"/>
        <v>3538</v>
      </c>
      <c r="F120" s="731" t="e">
        <f t="shared" si="14"/>
        <v>#VALUE!</v>
      </c>
      <c r="G120" s="732">
        <f t="shared" ref="G120:G127" si="17">C120/E120</f>
        <v>1</v>
      </c>
    </row>
    <row r="121" spans="1:7" hidden="1">
      <c r="A121" s="582">
        <v>2022</v>
      </c>
      <c r="B121" s="757" t="s">
        <v>37</v>
      </c>
      <c r="C121" s="650">
        <f>'Table 1 Summary'!N241</f>
        <v>4575</v>
      </c>
      <c r="D121" s="1141" t="str">
        <f>'Table 1 Summary'!AB241</f>
        <v>-</v>
      </c>
      <c r="E121" s="651">
        <f t="shared" si="15"/>
        <v>4575</v>
      </c>
      <c r="F121" s="731" t="e">
        <f>D121/E121</f>
        <v>#VALUE!</v>
      </c>
      <c r="G121" s="732">
        <f t="shared" si="17"/>
        <v>1</v>
      </c>
    </row>
    <row r="122" spans="1:7" hidden="1">
      <c r="A122" s="582">
        <v>2022</v>
      </c>
      <c r="B122" s="757" t="s">
        <v>31</v>
      </c>
      <c r="C122" s="650">
        <f>'Table 1 Summary'!N242</f>
        <v>5636</v>
      </c>
      <c r="D122" s="1141" t="str">
        <f>'Table 1 Summary'!AB242</f>
        <v>-</v>
      </c>
      <c r="E122" s="651">
        <f t="shared" si="15"/>
        <v>5636</v>
      </c>
      <c r="F122" s="731" t="e">
        <f>D122/E122</f>
        <v>#VALUE!</v>
      </c>
      <c r="G122" s="732">
        <f t="shared" si="17"/>
        <v>1</v>
      </c>
    </row>
    <row r="123" spans="1:7" hidden="1">
      <c r="A123" s="582">
        <v>2022</v>
      </c>
      <c r="B123" s="757" t="s">
        <v>38</v>
      </c>
      <c r="C123" s="650">
        <f>'Table 1 Summary'!N243</f>
        <v>4104</v>
      </c>
      <c r="D123" s="1141" t="str">
        <f>'Table 1 Summary'!AB243</f>
        <v>-</v>
      </c>
      <c r="E123" s="651">
        <f t="shared" si="15"/>
        <v>4104</v>
      </c>
      <c r="F123" s="731" t="e">
        <f>D123/E123</f>
        <v>#VALUE!</v>
      </c>
      <c r="G123" s="732">
        <f t="shared" si="17"/>
        <v>1</v>
      </c>
    </row>
    <row r="124" spans="1:7" hidden="1">
      <c r="A124" s="582">
        <v>2022</v>
      </c>
      <c r="B124" s="757" t="s">
        <v>39</v>
      </c>
      <c r="C124" s="650">
        <f>'Table 1 Summary'!N244</f>
        <v>4999</v>
      </c>
      <c r="D124" s="836">
        <f>'Table 1 Summary'!AB244</f>
        <v>7782</v>
      </c>
      <c r="E124" s="651">
        <f t="shared" si="15"/>
        <v>12781</v>
      </c>
      <c r="F124" s="731">
        <f>D124/E124</f>
        <v>0.60887254518425793</v>
      </c>
      <c r="G124" s="732">
        <f t="shared" si="17"/>
        <v>0.39112745481574213</v>
      </c>
    </row>
    <row r="125" spans="1:7" hidden="1">
      <c r="A125" s="582">
        <v>2022</v>
      </c>
      <c r="B125" s="757" t="s">
        <v>32</v>
      </c>
      <c r="C125" s="650">
        <f>'Table 1 Summary'!N245</f>
        <v>7522</v>
      </c>
      <c r="D125" s="836">
        <f>'Table 1 Summary'!AB245</f>
        <v>26772</v>
      </c>
      <c r="E125" s="651">
        <f t="shared" si="15"/>
        <v>34294</v>
      </c>
      <c r="F125" s="731">
        <f>D125/E125</f>
        <v>0.7806613401761241</v>
      </c>
      <c r="G125" s="732">
        <f t="shared" si="17"/>
        <v>0.2193386598238759</v>
      </c>
    </row>
    <row r="126" spans="1:7" hidden="1">
      <c r="A126" s="582">
        <v>2023</v>
      </c>
      <c r="B126" s="757" t="s">
        <v>33</v>
      </c>
      <c r="C126" s="650">
        <f>'Table 1 Summary'!N246</f>
        <v>6598</v>
      </c>
      <c r="D126" s="836">
        <f>'Table 1 Summary'!AB246</f>
        <v>25851</v>
      </c>
      <c r="E126" s="651">
        <f t="shared" si="15"/>
        <v>32449</v>
      </c>
      <c r="F126" s="731">
        <f t="shared" ref="F126:F136" si="18">D126/E126</f>
        <v>0.79666553668834172</v>
      </c>
      <c r="G126" s="732">
        <f t="shared" si="17"/>
        <v>0.2033344633116583</v>
      </c>
    </row>
    <row r="127" spans="1:7" hidden="1">
      <c r="A127" s="582">
        <v>2023</v>
      </c>
      <c r="B127" s="757" t="s">
        <v>34</v>
      </c>
      <c r="C127" s="650">
        <f>'Table 1 Summary'!N247</f>
        <v>3239</v>
      </c>
      <c r="D127" s="836">
        <f>'Table 1 Summary'!AB247</f>
        <v>16827</v>
      </c>
      <c r="E127" s="651">
        <f>SUM(C127:D127)</f>
        <v>20066</v>
      </c>
      <c r="F127" s="731">
        <f t="shared" si="18"/>
        <v>0.83858267716535428</v>
      </c>
      <c r="G127" s="732">
        <f t="shared" si="17"/>
        <v>0.16141732283464566</v>
      </c>
    </row>
    <row r="128" spans="1:7" hidden="1">
      <c r="A128" s="582">
        <v>2023</v>
      </c>
      <c r="B128" s="582" t="s">
        <v>29</v>
      </c>
      <c r="C128" s="650">
        <f>'Table 1 Summary'!N248</f>
        <v>551</v>
      </c>
      <c r="D128" s="836">
        <f>'Table 1 Summary'!AB248</f>
        <v>20541</v>
      </c>
      <c r="E128" s="651">
        <f>SUM(C128:D128)</f>
        <v>21092</v>
      </c>
      <c r="F128" s="731">
        <f t="shared" si="18"/>
        <v>0.97387635122321259</v>
      </c>
      <c r="G128" s="732">
        <f t="shared" ref="G128:G146" si="19">C128/E128</f>
        <v>2.6123648776787408E-2</v>
      </c>
    </row>
    <row r="129" spans="1:7" hidden="1">
      <c r="A129" s="582">
        <v>2023</v>
      </c>
      <c r="B129" s="582" t="s">
        <v>35</v>
      </c>
      <c r="C129" s="650">
        <f>'Table 1 Summary'!N249</f>
        <v>6898</v>
      </c>
      <c r="D129" s="836">
        <f>'Table 1 Summary'!AB249</f>
        <v>20610</v>
      </c>
      <c r="E129" s="651">
        <f t="shared" si="15"/>
        <v>27508</v>
      </c>
      <c r="F129" s="731">
        <f t="shared" si="18"/>
        <v>0.74923658572051766</v>
      </c>
      <c r="G129" s="732">
        <f t="shared" si="19"/>
        <v>0.25076341427948234</v>
      </c>
    </row>
    <row r="130" spans="1:7" hidden="1">
      <c r="A130" s="582">
        <v>2023</v>
      </c>
      <c r="B130" s="582" t="s">
        <v>4</v>
      </c>
      <c r="C130" s="650">
        <f>'Table 1 Summary'!N250</f>
        <v>5992</v>
      </c>
      <c r="D130" s="836">
        <f>'Table 1 Summary'!AB250</f>
        <v>14666</v>
      </c>
      <c r="E130" s="651">
        <f t="shared" si="15"/>
        <v>20658</v>
      </c>
      <c r="F130" s="731">
        <f t="shared" si="18"/>
        <v>0.70994287927195276</v>
      </c>
      <c r="G130" s="732">
        <f t="shared" si="19"/>
        <v>0.29005712072804724</v>
      </c>
    </row>
    <row r="131" spans="1:7" hidden="1">
      <c r="A131" s="582">
        <v>2023</v>
      </c>
      <c r="B131" s="582" t="s">
        <v>30</v>
      </c>
      <c r="C131" s="650">
        <f>'Table 1 Summary'!N251</f>
        <v>8652</v>
      </c>
      <c r="D131" s="836">
        <f>'Table 1 Summary'!AB251</f>
        <v>18408</v>
      </c>
      <c r="E131" s="651">
        <f t="shared" si="15"/>
        <v>27060</v>
      </c>
      <c r="F131" s="731">
        <f t="shared" si="18"/>
        <v>0.68026607538802664</v>
      </c>
      <c r="G131" s="732">
        <f t="shared" si="19"/>
        <v>0.31973392461197342</v>
      </c>
    </row>
    <row r="132" spans="1:7" hidden="1">
      <c r="A132" s="582">
        <v>2023</v>
      </c>
      <c r="B132" s="757" t="s">
        <v>36</v>
      </c>
      <c r="C132" s="650">
        <f>'Table 1 Summary'!N252</f>
        <v>9698</v>
      </c>
      <c r="D132" s="836">
        <f>'Table 1 Summary'!AB252</f>
        <v>19906</v>
      </c>
      <c r="E132" s="651">
        <f t="shared" si="15"/>
        <v>29604</v>
      </c>
      <c r="F132" s="731">
        <f t="shared" si="18"/>
        <v>0.67240913390082424</v>
      </c>
      <c r="G132" s="732">
        <f t="shared" si="19"/>
        <v>0.32759086609917581</v>
      </c>
    </row>
    <row r="133" spans="1:7" hidden="1">
      <c r="A133" s="582">
        <v>2023</v>
      </c>
      <c r="B133" s="757" t="s">
        <v>37</v>
      </c>
      <c r="C133" s="650">
        <f>'Table 1 Summary'!N253</f>
        <v>8266</v>
      </c>
      <c r="D133" s="836">
        <f>'Table 1 Summary'!AB253</f>
        <v>21849</v>
      </c>
      <c r="E133" s="651">
        <f t="shared" si="15"/>
        <v>30115</v>
      </c>
      <c r="F133" s="731">
        <f t="shared" si="18"/>
        <v>0.72551884442968617</v>
      </c>
      <c r="G133" s="732">
        <f t="shared" si="19"/>
        <v>0.27448115557031377</v>
      </c>
    </row>
    <row r="134" spans="1:7" hidden="1">
      <c r="A134" s="582">
        <v>2023</v>
      </c>
      <c r="B134" s="582" t="s">
        <v>31</v>
      </c>
      <c r="C134" s="650">
        <f>'Table 1 Summary'!N254</f>
        <v>7694</v>
      </c>
      <c r="D134" s="836">
        <f>'Table 1 Summary'!AB254</f>
        <v>24521</v>
      </c>
      <c r="E134" s="651">
        <f t="shared" si="15"/>
        <v>32215</v>
      </c>
      <c r="F134" s="731">
        <f t="shared" si="18"/>
        <v>0.76116715815613845</v>
      </c>
      <c r="G134" s="732">
        <f t="shared" si="19"/>
        <v>0.23883284184386155</v>
      </c>
    </row>
    <row r="135" spans="1:7" hidden="1">
      <c r="A135" s="582">
        <v>2023</v>
      </c>
      <c r="B135" s="582" t="s">
        <v>38</v>
      </c>
      <c r="C135" s="650">
        <f>'Table 1 Summary'!N255</f>
        <v>7199</v>
      </c>
      <c r="D135" s="836">
        <f>'Table 1 Summary'!AB255</f>
        <v>16119</v>
      </c>
      <c r="E135" s="651">
        <f t="shared" si="15"/>
        <v>23318</v>
      </c>
      <c r="F135" s="731">
        <f t="shared" si="18"/>
        <v>0.69126854790290759</v>
      </c>
      <c r="G135" s="732">
        <f t="shared" si="19"/>
        <v>0.30873145209709235</v>
      </c>
    </row>
    <row r="136" spans="1:7" hidden="1">
      <c r="A136" s="582">
        <v>2023</v>
      </c>
      <c r="B136" s="582" t="s">
        <v>39</v>
      </c>
      <c r="C136" s="650">
        <f>'Table 1 Summary'!N256</f>
        <v>5444</v>
      </c>
      <c r="D136" s="836">
        <f>'Table 1 Summary'!AB256</f>
        <v>19038</v>
      </c>
      <c r="E136" s="651">
        <f t="shared" si="15"/>
        <v>24482</v>
      </c>
      <c r="F136" s="731">
        <f t="shared" si="18"/>
        <v>0.77763254636059143</v>
      </c>
      <c r="G136" s="732">
        <f t="shared" si="19"/>
        <v>0.22236745363940855</v>
      </c>
    </row>
    <row r="137" spans="1:7" hidden="1">
      <c r="A137" s="582">
        <v>2023</v>
      </c>
      <c r="B137" s="582" t="s">
        <v>32</v>
      </c>
      <c r="C137" s="650">
        <f>'Table 1 Summary'!N257</f>
        <v>6768</v>
      </c>
      <c r="D137" s="836">
        <f>'Table 1 Summary'!AB257</f>
        <v>45242</v>
      </c>
      <c r="E137" s="651">
        <f t="shared" ref="E137:E146" si="20">SUM(C137:D137)</f>
        <v>52010</v>
      </c>
      <c r="F137" s="731">
        <f t="shared" ref="F137:F146" si="21">D137/E137</f>
        <v>0.86987117861949625</v>
      </c>
      <c r="G137" s="732">
        <f t="shared" si="19"/>
        <v>0.13012882138050375</v>
      </c>
    </row>
    <row r="138" spans="1:7" hidden="1">
      <c r="A138" s="582">
        <v>2024</v>
      </c>
      <c r="B138" s="582" t="s">
        <v>33</v>
      </c>
      <c r="C138" s="650">
        <f>'Table 1 Summary'!N258</f>
        <v>6256</v>
      </c>
      <c r="D138" s="836">
        <f>'Table 1 Summary'!AB258</f>
        <v>52901</v>
      </c>
      <c r="E138" s="651">
        <f t="shared" si="20"/>
        <v>59157</v>
      </c>
      <c r="F138" s="731">
        <f t="shared" si="21"/>
        <v>0.89424751086092935</v>
      </c>
      <c r="G138" s="732">
        <f t="shared" si="19"/>
        <v>0.10575248913907061</v>
      </c>
    </row>
    <row r="139" spans="1:7" hidden="1">
      <c r="A139" s="582">
        <v>2024</v>
      </c>
      <c r="B139" s="757" t="s">
        <v>34</v>
      </c>
      <c r="C139" s="650">
        <f>'Table 1 Summary'!N259</f>
        <v>2754</v>
      </c>
      <c r="D139" s="836">
        <f>'Table 1 Summary'!AB259</f>
        <v>28146</v>
      </c>
      <c r="E139" s="651">
        <f t="shared" si="20"/>
        <v>30900</v>
      </c>
      <c r="F139" s="731">
        <f t="shared" si="21"/>
        <v>0.91087378640776695</v>
      </c>
      <c r="G139" s="732">
        <f t="shared" si="19"/>
        <v>8.9126213592233008E-2</v>
      </c>
    </row>
    <row r="140" spans="1:7" hidden="1">
      <c r="A140" s="582">
        <v>2024</v>
      </c>
      <c r="B140" s="757" t="s">
        <v>29</v>
      </c>
      <c r="C140" s="650">
        <f>'Table 1 Summary'!N260</f>
        <v>4261</v>
      </c>
      <c r="D140" s="836">
        <f>'Table 1 Summary'!AB260</f>
        <v>15875</v>
      </c>
      <c r="E140" s="651">
        <f t="shared" si="20"/>
        <v>20136</v>
      </c>
      <c r="F140" s="731">
        <f t="shared" si="21"/>
        <v>0.78838895510528406</v>
      </c>
      <c r="G140" s="732">
        <f t="shared" si="19"/>
        <v>0.21161104489471594</v>
      </c>
    </row>
    <row r="141" spans="1:7" hidden="1">
      <c r="A141" s="582">
        <v>2024</v>
      </c>
      <c r="B141" s="757" t="s">
        <v>35</v>
      </c>
      <c r="C141" s="650">
        <f>'Table 1 Summary'!N261</f>
        <v>5128</v>
      </c>
      <c r="D141" s="836">
        <f>'Table 1 Summary'!AB261</f>
        <v>13513</v>
      </c>
      <c r="E141" s="651">
        <f t="shared" si="20"/>
        <v>18641</v>
      </c>
      <c r="F141" s="731">
        <f t="shared" si="21"/>
        <v>0.72490746204602763</v>
      </c>
      <c r="G141" s="732">
        <f t="shared" si="19"/>
        <v>0.27509253795397243</v>
      </c>
    </row>
    <row r="142" spans="1:7" hidden="1">
      <c r="A142" s="582">
        <v>2024</v>
      </c>
      <c r="B142" s="757" t="s">
        <v>4</v>
      </c>
      <c r="C142" s="650">
        <f>'Table 1 Summary'!N262</f>
        <v>2722</v>
      </c>
      <c r="D142" s="836">
        <f>'Table 1 Summary'!AB262</f>
        <v>21152</v>
      </c>
      <c r="E142" s="651">
        <f t="shared" si="20"/>
        <v>23874</v>
      </c>
      <c r="F142" s="731">
        <f t="shared" si="21"/>
        <v>0.88598475328809578</v>
      </c>
      <c r="G142" s="732">
        <f t="shared" si="19"/>
        <v>0.11401524671190416</v>
      </c>
    </row>
    <row r="143" spans="1:7" hidden="1">
      <c r="A143" s="582">
        <v>2024</v>
      </c>
      <c r="B143" s="757" t="s">
        <v>30</v>
      </c>
      <c r="C143" s="650">
        <f>'Table 1 Summary'!N263</f>
        <v>1963</v>
      </c>
      <c r="D143" s="836">
        <f>'Table 1 Summary'!AB263</f>
        <v>12020</v>
      </c>
      <c r="E143" s="651">
        <f t="shared" si="20"/>
        <v>13983</v>
      </c>
      <c r="F143" s="731">
        <f t="shared" si="21"/>
        <v>0.85961524708574699</v>
      </c>
      <c r="G143" s="732">
        <f t="shared" si="19"/>
        <v>0.14038475291425301</v>
      </c>
    </row>
    <row r="144" spans="1:7" hidden="1">
      <c r="A144" s="582">
        <v>2024</v>
      </c>
      <c r="B144" s="757" t="s">
        <v>36</v>
      </c>
      <c r="C144" s="650">
        <f>'Table 1 Summary'!N264</f>
        <v>4291</v>
      </c>
      <c r="D144" s="836">
        <f>'Table 1 Summary'!AB264</f>
        <v>21816</v>
      </c>
      <c r="E144" s="651">
        <f t="shared" si="20"/>
        <v>26107</v>
      </c>
      <c r="F144" s="731">
        <f t="shared" si="21"/>
        <v>0.83563795150725861</v>
      </c>
      <c r="G144" s="732">
        <f t="shared" si="19"/>
        <v>0.16436204849274141</v>
      </c>
    </row>
    <row r="145" spans="1:7" hidden="1">
      <c r="A145" s="582">
        <v>2024</v>
      </c>
      <c r="B145" s="757" t="s">
        <v>37</v>
      </c>
      <c r="C145" s="650">
        <f>'Table 1 Summary'!N265</f>
        <v>5282</v>
      </c>
      <c r="D145" s="836">
        <f>'Table 1 Summary'!AB265</f>
        <v>6046</v>
      </c>
      <c r="E145" s="651">
        <f t="shared" si="20"/>
        <v>11328</v>
      </c>
      <c r="F145" s="731">
        <f t="shared" si="21"/>
        <v>0.53372175141242939</v>
      </c>
      <c r="G145" s="732">
        <f t="shared" si="19"/>
        <v>0.46627824858757061</v>
      </c>
    </row>
    <row r="146" spans="1:7" hidden="1">
      <c r="A146" s="582">
        <v>2024</v>
      </c>
      <c r="B146" s="757" t="s">
        <v>31</v>
      </c>
      <c r="C146" s="650">
        <f>'Table 1 Summary'!N266</f>
        <v>6952</v>
      </c>
      <c r="D146" s="836">
        <f>'Table 1 Summary'!AB266</f>
        <v>9432</v>
      </c>
      <c r="E146" s="651">
        <f t="shared" si="20"/>
        <v>16384</v>
      </c>
      <c r="F146" s="731">
        <f t="shared" si="21"/>
        <v>0.57568359375</v>
      </c>
      <c r="G146" s="732">
        <f t="shared" si="19"/>
        <v>0.42431640625</v>
      </c>
    </row>
    <row r="147" spans="1:7" hidden="1">
      <c r="A147" s="582">
        <v>2024</v>
      </c>
      <c r="B147" s="757" t="s">
        <v>38</v>
      </c>
      <c r="C147" s="650">
        <f>'Table 1 Summary'!N267</f>
        <v>6685</v>
      </c>
      <c r="D147" s="836">
        <f>'Table 1 Summary'!AB267</f>
        <v>5789</v>
      </c>
      <c r="E147" s="651">
        <f t="shared" ref="E147:E149" si="22">SUM(C147:D147)</f>
        <v>12474</v>
      </c>
      <c r="F147" s="731">
        <f t="shared" ref="F147:F149" si="23">D147/E147</f>
        <v>0.46408529741863075</v>
      </c>
      <c r="G147" s="732">
        <f t="shared" ref="G147:G149" si="24">C147/E147</f>
        <v>0.5359147025813692</v>
      </c>
    </row>
    <row r="148" spans="1:7" hidden="1">
      <c r="A148" s="582">
        <v>2024</v>
      </c>
      <c r="B148" s="757" t="s">
        <v>39</v>
      </c>
      <c r="C148" s="650">
        <f>'Table 1 Summary'!N268</f>
        <v>6440</v>
      </c>
      <c r="D148" s="836">
        <f>'Table 1 Summary'!AB268</f>
        <v>6462</v>
      </c>
      <c r="E148" s="651">
        <f t="shared" si="22"/>
        <v>12902</v>
      </c>
      <c r="F148" s="731">
        <f t="shared" si="23"/>
        <v>0.50085258099519459</v>
      </c>
      <c r="G148" s="732">
        <f t="shared" si="24"/>
        <v>0.49914741900480547</v>
      </c>
    </row>
    <row r="149" spans="1:7" hidden="1">
      <c r="A149" s="582">
        <v>2024</v>
      </c>
      <c r="B149" s="757" t="s">
        <v>32</v>
      </c>
      <c r="C149" s="650">
        <f>'Table 1 Summary'!N269</f>
        <v>6344</v>
      </c>
      <c r="D149" s="836">
        <f>'Table 1 Summary'!AB269</f>
        <v>11646</v>
      </c>
      <c r="E149" s="651">
        <f t="shared" si="22"/>
        <v>17990</v>
      </c>
      <c r="F149" s="731">
        <f t="shared" si="23"/>
        <v>0.64735964424680381</v>
      </c>
      <c r="G149" s="732">
        <f t="shared" si="24"/>
        <v>0.35264035575319624</v>
      </c>
    </row>
    <row r="150" spans="1:7">
      <c r="A150" s="582">
        <v>2025</v>
      </c>
      <c r="B150" s="757" t="s">
        <v>33</v>
      </c>
      <c r="C150" s="650">
        <f>'Table 1 Summary'!N270</f>
        <v>6725</v>
      </c>
      <c r="D150" s="836">
        <f>'Table 1 Summary'!AB270</f>
        <v>12635</v>
      </c>
      <c r="E150" s="651">
        <f t="shared" ref="E150:E153" si="25">SUM(C150:D150)</f>
        <v>19360</v>
      </c>
      <c r="F150" s="731">
        <f t="shared" ref="F150:F153" si="26">D150/E150</f>
        <v>0.65263429752066116</v>
      </c>
      <c r="G150" s="732">
        <f t="shared" ref="G150:G153" si="27">C150/E150</f>
        <v>0.34736570247933884</v>
      </c>
    </row>
    <row r="151" spans="1:7">
      <c r="A151" s="582">
        <v>2025</v>
      </c>
      <c r="B151" s="582" t="s">
        <v>34</v>
      </c>
      <c r="C151" s="650">
        <f>'Table 1 Summary'!N271</f>
        <v>4365</v>
      </c>
      <c r="D151" s="836">
        <f>'Table 1 Summary'!AB271</f>
        <v>18948</v>
      </c>
      <c r="E151" s="651">
        <f t="shared" si="25"/>
        <v>23313</v>
      </c>
      <c r="F151" s="731">
        <f t="shared" si="26"/>
        <v>0.81276540985716128</v>
      </c>
      <c r="G151" s="732">
        <f t="shared" si="27"/>
        <v>0.18723459014283875</v>
      </c>
    </row>
    <row r="152" spans="1:7">
      <c r="A152" s="582">
        <v>2025</v>
      </c>
      <c r="B152" s="757" t="s">
        <v>29</v>
      </c>
      <c r="C152" s="650">
        <f>'Table 1 Summary'!N272</f>
        <v>5264</v>
      </c>
      <c r="D152" s="836">
        <f>'Table 1 Summary'!AB272</f>
        <v>17075</v>
      </c>
      <c r="E152" s="651">
        <f t="shared" si="25"/>
        <v>22339</v>
      </c>
      <c r="F152" s="731">
        <f t="shared" si="26"/>
        <v>0.76435829714848469</v>
      </c>
      <c r="G152" s="732">
        <f t="shared" si="27"/>
        <v>0.23564170285151528</v>
      </c>
    </row>
    <row r="153" spans="1:7">
      <c r="A153" s="582">
        <v>2025</v>
      </c>
      <c r="B153" s="757" t="s">
        <v>35</v>
      </c>
      <c r="C153" s="650">
        <f>'Table 1 Summary'!N273</f>
        <v>8009</v>
      </c>
      <c r="D153" s="836">
        <f>'Table 1 Summary'!AB273</f>
        <v>18535</v>
      </c>
      <c r="E153" s="651">
        <f t="shared" si="25"/>
        <v>26544</v>
      </c>
      <c r="F153" s="731">
        <f t="shared" si="26"/>
        <v>0.69827456298975288</v>
      </c>
      <c r="G153" s="732">
        <f t="shared" si="27"/>
        <v>0.30172543701024712</v>
      </c>
    </row>
    <row r="154" spans="1:7">
      <c r="B154" s="757" t="s">
        <v>4</v>
      </c>
      <c r="C154" s="650">
        <f>'Table 1 Summary'!N274</f>
        <v>7103</v>
      </c>
      <c r="D154" s="836">
        <f>'Table 1 Summary'!AB274</f>
        <v>3116</v>
      </c>
      <c r="E154" s="651">
        <f t="shared" ref="E154:E156" si="28">SUM(C154:D154)</f>
        <v>10219</v>
      </c>
      <c r="F154" s="731">
        <f t="shared" ref="F154:F156" si="29">D154/E154</f>
        <v>0.30492220373813483</v>
      </c>
      <c r="G154" s="732">
        <f t="shared" ref="G154:G156" si="30">C154/E154</f>
        <v>0.69507779626186517</v>
      </c>
    </row>
    <row r="155" spans="1:7">
      <c r="B155" s="757" t="s">
        <v>30</v>
      </c>
      <c r="C155" s="650">
        <f>'Table 1 Summary'!N275</f>
        <v>8365</v>
      </c>
      <c r="D155" s="836">
        <f>'Table 1 Summary'!AB275</f>
        <v>6739</v>
      </c>
      <c r="E155" s="651">
        <f t="shared" si="28"/>
        <v>15104</v>
      </c>
      <c r="F155" s="731">
        <f t="shared" si="29"/>
        <v>0.44617319915254239</v>
      </c>
      <c r="G155" s="732">
        <f t="shared" si="30"/>
        <v>0.55382680084745761</v>
      </c>
    </row>
    <row r="156" spans="1:7">
      <c r="B156" s="582" t="s">
        <v>36</v>
      </c>
      <c r="C156" s="650">
        <f>'Table 1 Summary'!N276</f>
        <v>10382</v>
      </c>
      <c r="D156" s="836">
        <f>'Table 1 Summary'!AB276</f>
        <v>14023</v>
      </c>
      <c r="E156" s="651">
        <f t="shared" si="28"/>
        <v>24405</v>
      </c>
      <c r="F156" s="731">
        <f t="shared" si="29"/>
        <v>0.57459536980127024</v>
      </c>
      <c r="G156" s="732">
        <f t="shared" si="30"/>
        <v>0.42540463019872976</v>
      </c>
    </row>
    <row r="157" spans="1:7">
      <c r="B157" s="582" t="s">
        <v>37</v>
      </c>
      <c r="C157" s="650">
        <f>'Table 1 Summary'!N277</f>
        <v>9231</v>
      </c>
      <c r="D157" s="836">
        <f>'Table 1 Summary'!AB277</f>
        <v>19059</v>
      </c>
      <c r="E157" s="651">
        <f t="shared" ref="E157:E161" si="31">SUM(C157:D157)</f>
        <v>28290</v>
      </c>
      <c r="F157" s="731">
        <f t="shared" ref="F157:F158" si="32">D157/E157</f>
        <v>0.67370095440084832</v>
      </c>
      <c r="G157" s="732">
        <f t="shared" ref="G157:G161" si="33">C157/E157</f>
        <v>0.32629904559915163</v>
      </c>
    </row>
    <row r="158" spans="1:7">
      <c r="B158" s="757" t="s">
        <v>31</v>
      </c>
      <c r="C158" s="650">
        <f>'Table 1 Summary'!N278</f>
        <v>9922</v>
      </c>
      <c r="D158" s="836">
        <f>'Table 1 Summary'!AB278</f>
        <v>6700</v>
      </c>
      <c r="E158" s="651">
        <f t="shared" si="31"/>
        <v>16622</v>
      </c>
      <c r="F158" s="731">
        <f t="shared" si="32"/>
        <v>0.40308025508362411</v>
      </c>
      <c r="G158" s="732">
        <f t="shared" si="33"/>
        <v>0.59691974491637589</v>
      </c>
    </row>
    <row r="159" spans="1:7">
      <c r="B159" s="757" t="s">
        <v>38</v>
      </c>
      <c r="C159" s="650">
        <f>'Table 1 Summary'!N279</f>
        <v>9749</v>
      </c>
      <c r="D159" s="836">
        <f>'Table 1 Summary'!AB279</f>
        <v>22012</v>
      </c>
      <c r="E159" s="651">
        <f t="shared" si="31"/>
        <v>31761</v>
      </c>
      <c r="F159" s="731">
        <f t="shared" ref="F159:F165" si="34">D159/E159</f>
        <v>0.69305122634677752</v>
      </c>
      <c r="G159" s="732">
        <f t="shared" si="33"/>
        <v>0.30694877365322248</v>
      </c>
    </row>
    <row r="160" spans="1:7">
      <c r="B160" s="582" t="s">
        <v>39</v>
      </c>
      <c r="C160" s="650">
        <f>'Table 1 Summary'!N280</f>
        <v>8506</v>
      </c>
      <c r="D160" s="836">
        <f>'Table 1 Summary'!AB280</f>
        <v>16833</v>
      </c>
      <c r="E160" s="651">
        <f t="shared" si="31"/>
        <v>25339</v>
      </c>
      <c r="F160" s="731">
        <f t="shared" si="34"/>
        <v>0.66431193022613366</v>
      </c>
      <c r="G160" s="732">
        <f t="shared" si="33"/>
        <v>0.33568806977386639</v>
      </c>
    </row>
    <row r="161" spans="1:7">
      <c r="B161" s="757" t="s">
        <v>32</v>
      </c>
      <c r="C161" s="650">
        <f>'Table 1 Summary'!N281</f>
        <v>8298</v>
      </c>
      <c r="D161" s="836">
        <f>'Table 1 Summary'!AB281</f>
        <v>23254</v>
      </c>
      <c r="E161" s="651">
        <f t="shared" si="31"/>
        <v>31552</v>
      </c>
      <c r="F161" s="731">
        <f t="shared" si="34"/>
        <v>0.73700557809330625</v>
      </c>
      <c r="G161" s="732">
        <f t="shared" si="33"/>
        <v>0.2629944219066937</v>
      </c>
    </row>
    <row r="162" spans="1:7">
      <c r="A162" s="582">
        <v>2026</v>
      </c>
      <c r="B162" s="757" t="s">
        <v>33</v>
      </c>
      <c r="C162" s="650">
        <f>'Table 1 Summary'!N282</f>
        <v>9657</v>
      </c>
      <c r="D162" s="836">
        <f>'Table 1 Summary'!AB282</f>
        <v>40002</v>
      </c>
      <c r="E162" s="651">
        <f t="shared" ref="E162" si="35">SUM(C162:D162)</f>
        <v>49659</v>
      </c>
      <c r="F162" s="731">
        <f t="shared" si="34"/>
        <v>0.80553374010753342</v>
      </c>
      <c r="G162" s="732">
        <f t="shared" ref="G162" si="36">C162/E162</f>
        <v>0.19446625989246663</v>
      </c>
    </row>
    <row r="163" spans="1:7">
      <c r="B163" s="582" t="s">
        <v>34</v>
      </c>
      <c r="C163" s="650">
        <f>'Table 1 Summary'!N283</f>
        <v>5064</v>
      </c>
      <c r="D163" s="836">
        <f>'Table 1 Summary'!AB283</f>
        <v>13677</v>
      </c>
      <c r="E163" s="651">
        <f t="shared" ref="E163" si="37">SUM(C163:D163)</f>
        <v>18741</v>
      </c>
      <c r="F163" s="731">
        <f t="shared" si="34"/>
        <v>0.729790299343685</v>
      </c>
      <c r="G163" s="732">
        <f t="shared" ref="G163" si="38">C163/E163</f>
        <v>0.27020970065631505</v>
      </c>
    </row>
    <row r="164" spans="1:7">
      <c r="B164" s="757" t="s">
        <v>29</v>
      </c>
      <c r="C164" s="650">
        <f>'Table 1 Summary'!N284</f>
        <v>7127</v>
      </c>
      <c r="D164" s="836">
        <f>'Table 1 Summary'!AB284</f>
        <v>28400</v>
      </c>
      <c r="E164" s="651">
        <f t="shared" ref="E164:E165" si="39">SUM(C164:D164)</f>
        <v>35527</v>
      </c>
      <c r="F164" s="731">
        <f t="shared" si="34"/>
        <v>0.7993920117094041</v>
      </c>
      <c r="G164" s="732">
        <f t="shared" ref="G164:G165" si="40">C164/E164</f>
        <v>0.2006079882905959</v>
      </c>
    </row>
    <row r="165" spans="1:7">
      <c r="B165" s="757" t="s">
        <v>35</v>
      </c>
      <c r="C165" s="650">
        <f>'Table 1 Summary'!N285</f>
        <v>9941</v>
      </c>
      <c r="D165" s="836">
        <f>'Table 1 Summary'!AB285</f>
        <v>33730</v>
      </c>
      <c r="E165" s="651">
        <f t="shared" si="39"/>
        <v>43671</v>
      </c>
      <c r="F165" s="731">
        <f t="shared" si="34"/>
        <v>0.77236610107393922</v>
      </c>
      <c r="G165" s="732">
        <f t="shared" si="40"/>
        <v>0.22763389892606078</v>
      </c>
    </row>
  </sheetData>
  <mergeCells count="2">
    <mergeCell ref="A4:A5"/>
    <mergeCell ref="B4:B5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1132-CD2C-4731-AD25-CD61D8C7FEE0}">
  <sheetPr>
    <tabColor rgb="FF92D050"/>
  </sheetPr>
  <dimension ref="A1:D32"/>
  <sheetViews>
    <sheetView topLeftCell="A16" zoomScale="90" zoomScaleNormal="90" workbookViewId="0">
      <selection activeCell="E38" sqref="E38"/>
    </sheetView>
  </sheetViews>
  <sheetFormatPr defaultRowHeight="12.75"/>
  <cols>
    <col min="1" max="1" width="35.5703125" bestFit="1" customWidth="1"/>
    <col min="2" max="2" width="16.7109375" bestFit="1" customWidth="1"/>
    <col min="3" max="3" width="17.7109375" bestFit="1" customWidth="1"/>
    <col min="4" max="4" width="14.7109375" bestFit="1" customWidth="1"/>
    <col min="5" max="5" width="17" bestFit="1" customWidth="1"/>
    <col min="257" max="257" width="35.5703125" bestFit="1" customWidth="1"/>
    <col min="258" max="258" width="16.7109375" bestFit="1" customWidth="1"/>
    <col min="259" max="259" width="17.7109375" bestFit="1" customWidth="1"/>
    <col min="260" max="260" width="14.7109375" bestFit="1" customWidth="1"/>
    <col min="261" max="261" width="17" bestFit="1" customWidth="1"/>
    <col min="513" max="513" width="35.5703125" bestFit="1" customWidth="1"/>
    <col min="514" max="514" width="16.7109375" bestFit="1" customWidth="1"/>
    <col min="515" max="515" width="17.7109375" bestFit="1" customWidth="1"/>
    <col min="516" max="516" width="14.7109375" bestFit="1" customWidth="1"/>
    <col min="517" max="517" width="17" bestFit="1" customWidth="1"/>
    <col min="769" max="769" width="35.5703125" bestFit="1" customWidth="1"/>
    <col min="770" max="770" width="16.7109375" bestFit="1" customWidth="1"/>
    <col min="771" max="771" width="17.7109375" bestFit="1" customWidth="1"/>
    <col min="772" max="772" width="14.7109375" bestFit="1" customWidth="1"/>
    <col min="773" max="773" width="17" bestFit="1" customWidth="1"/>
    <col min="1025" max="1025" width="35.5703125" bestFit="1" customWidth="1"/>
    <col min="1026" max="1026" width="16.7109375" bestFit="1" customWidth="1"/>
    <col min="1027" max="1027" width="17.7109375" bestFit="1" customWidth="1"/>
    <col min="1028" max="1028" width="14.7109375" bestFit="1" customWidth="1"/>
    <col min="1029" max="1029" width="17" bestFit="1" customWidth="1"/>
    <col min="1281" max="1281" width="35.5703125" bestFit="1" customWidth="1"/>
    <col min="1282" max="1282" width="16.7109375" bestFit="1" customWidth="1"/>
    <col min="1283" max="1283" width="17.7109375" bestFit="1" customWidth="1"/>
    <col min="1284" max="1284" width="14.7109375" bestFit="1" customWidth="1"/>
    <col min="1285" max="1285" width="17" bestFit="1" customWidth="1"/>
    <col min="1537" max="1537" width="35.5703125" bestFit="1" customWidth="1"/>
    <col min="1538" max="1538" width="16.7109375" bestFit="1" customWidth="1"/>
    <col min="1539" max="1539" width="17.7109375" bestFit="1" customWidth="1"/>
    <col min="1540" max="1540" width="14.7109375" bestFit="1" customWidth="1"/>
    <col min="1541" max="1541" width="17" bestFit="1" customWidth="1"/>
    <col min="1793" max="1793" width="35.5703125" bestFit="1" customWidth="1"/>
    <col min="1794" max="1794" width="16.7109375" bestFit="1" customWidth="1"/>
    <col min="1795" max="1795" width="17.7109375" bestFit="1" customWidth="1"/>
    <col min="1796" max="1796" width="14.7109375" bestFit="1" customWidth="1"/>
    <col min="1797" max="1797" width="17" bestFit="1" customWidth="1"/>
    <col min="2049" max="2049" width="35.5703125" bestFit="1" customWidth="1"/>
    <col min="2050" max="2050" width="16.7109375" bestFit="1" customWidth="1"/>
    <col min="2051" max="2051" width="17.7109375" bestFit="1" customWidth="1"/>
    <col min="2052" max="2052" width="14.7109375" bestFit="1" customWidth="1"/>
    <col min="2053" max="2053" width="17" bestFit="1" customWidth="1"/>
    <col min="2305" max="2305" width="35.5703125" bestFit="1" customWidth="1"/>
    <col min="2306" max="2306" width="16.7109375" bestFit="1" customWidth="1"/>
    <col min="2307" max="2307" width="17.7109375" bestFit="1" customWidth="1"/>
    <col min="2308" max="2308" width="14.7109375" bestFit="1" customWidth="1"/>
    <col min="2309" max="2309" width="17" bestFit="1" customWidth="1"/>
    <col min="2561" max="2561" width="35.5703125" bestFit="1" customWidth="1"/>
    <col min="2562" max="2562" width="16.7109375" bestFit="1" customWidth="1"/>
    <col min="2563" max="2563" width="17.7109375" bestFit="1" customWidth="1"/>
    <col min="2564" max="2564" width="14.7109375" bestFit="1" customWidth="1"/>
    <col min="2565" max="2565" width="17" bestFit="1" customWidth="1"/>
    <col min="2817" max="2817" width="35.5703125" bestFit="1" customWidth="1"/>
    <col min="2818" max="2818" width="16.7109375" bestFit="1" customWidth="1"/>
    <col min="2819" max="2819" width="17.7109375" bestFit="1" customWidth="1"/>
    <col min="2820" max="2820" width="14.7109375" bestFit="1" customWidth="1"/>
    <col min="2821" max="2821" width="17" bestFit="1" customWidth="1"/>
    <col min="3073" max="3073" width="35.5703125" bestFit="1" customWidth="1"/>
    <col min="3074" max="3074" width="16.7109375" bestFit="1" customWidth="1"/>
    <col min="3075" max="3075" width="17.7109375" bestFit="1" customWidth="1"/>
    <col min="3076" max="3076" width="14.7109375" bestFit="1" customWidth="1"/>
    <col min="3077" max="3077" width="17" bestFit="1" customWidth="1"/>
    <col min="3329" max="3329" width="35.5703125" bestFit="1" customWidth="1"/>
    <col min="3330" max="3330" width="16.7109375" bestFit="1" customWidth="1"/>
    <col min="3331" max="3331" width="17.7109375" bestFit="1" customWidth="1"/>
    <col min="3332" max="3332" width="14.7109375" bestFit="1" customWidth="1"/>
    <col min="3333" max="3333" width="17" bestFit="1" customWidth="1"/>
    <col min="3585" max="3585" width="35.5703125" bestFit="1" customWidth="1"/>
    <col min="3586" max="3586" width="16.7109375" bestFit="1" customWidth="1"/>
    <col min="3587" max="3587" width="17.7109375" bestFit="1" customWidth="1"/>
    <col min="3588" max="3588" width="14.7109375" bestFit="1" customWidth="1"/>
    <col min="3589" max="3589" width="17" bestFit="1" customWidth="1"/>
    <col min="3841" max="3841" width="35.5703125" bestFit="1" customWidth="1"/>
    <col min="3842" max="3842" width="16.7109375" bestFit="1" customWidth="1"/>
    <col min="3843" max="3843" width="17.7109375" bestFit="1" customWidth="1"/>
    <col min="3844" max="3844" width="14.7109375" bestFit="1" customWidth="1"/>
    <col min="3845" max="3845" width="17" bestFit="1" customWidth="1"/>
    <col min="4097" max="4097" width="35.5703125" bestFit="1" customWidth="1"/>
    <col min="4098" max="4098" width="16.7109375" bestFit="1" customWidth="1"/>
    <col min="4099" max="4099" width="17.7109375" bestFit="1" customWidth="1"/>
    <col min="4100" max="4100" width="14.7109375" bestFit="1" customWidth="1"/>
    <col min="4101" max="4101" width="17" bestFit="1" customWidth="1"/>
    <col min="4353" max="4353" width="35.5703125" bestFit="1" customWidth="1"/>
    <col min="4354" max="4354" width="16.7109375" bestFit="1" customWidth="1"/>
    <col min="4355" max="4355" width="17.7109375" bestFit="1" customWidth="1"/>
    <col min="4356" max="4356" width="14.7109375" bestFit="1" customWidth="1"/>
    <col min="4357" max="4357" width="17" bestFit="1" customWidth="1"/>
    <col min="4609" max="4609" width="35.5703125" bestFit="1" customWidth="1"/>
    <col min="4610" max="4610" width="16.7109375" bestFit="1" customWidth="1"/>
    <col min="4611" max="4611" width="17.7109375" bestFit="1" customWidth="1"/>
    <col min="4612" max="4612" width="14.7109375" bestFit="1" customWidth="1"/>
    <col min="4613" max="4613" width="17" bestFit="1" customWidth="1"/>
    <col min="4865" max="4865" width="35.5703125" bestFit="1" customWidth="1"/>
    <col min="4866" max="4866" width="16.7109375" bestFit="1" customWidth="1"/>
    <col min="4867" max="4867" width="17.7109375" bestFit="1" customWidth="1"/>
    <col min="4868" max="4868" width="14.7109375" bestFit="1" customWidth="1"/>
    <col min="4869" max="4869" width="17" bestFit="1" customWidth="1"/>
    <col min="5121" max="5121" width="35.5703125" bestFit="1" customWidth="1"/>
    <col min="5122" max="5122" width="16.7109375" bestFit="1" customWidth="1"/>
    <col min="5123" max="5123" width="17.7109375" bestFit="1" customWidth="1"/>
    <col min="5124" max="5124" width="14.7109375" bestFit="1" customWidth="1"/>
    <col min="5125" max="5125" width="17" bestFit="1" customWidth="1"/>
    <col min="5377" max="5377" width="35.5703125" bestFit="1" customWidth="1"/>
    <col min="5378" max="5378" width="16.7109375" bestFit="1" customWidth="1"/>
    <col min="5379" max="5379" width="17.7109375" bestFit="1" customWidth="1"/>
    <col min="5380" max="5380" width="14.7109375" bestFit="1" customWidth="1"/>
    <col min="5381" max="5381" width="17" bestFit="1" customWidth="1"/>
    <col min="5633" max="5633" width="35.5703125" bestFit="1" customWidth="1"/>
    <col min="5634" max="5634" width="16.7109375" bestFit="1" customWidth="1"/>
    <col min="5635" max="5635" width="17.7109375" bestFit="1" customWidth="1"/>
    <col min="5636" max="5636" width="14.7109375" bestFit="1" customWidth="1"/>
    <col min="5637" max="5637" width="17" bestFit="1" customWidth="1"/>
    <col min="5889" max="5889" width="35.5703125" bestFit="1" customWidth="1"/>
    <col min="5890" max="5890" width="16.7109375" bestFit="1" customWidth="1"/>
    <col min="5891" max="5891" width="17.7109375" bestFit="1" customWidth="1"/>
    <col min="5892" max="5892" width="14.7109375" bestFit="1" customWidth="1"/>
    <col min="5893" max="5893" width="17" bestFit="1" customWidth="1"/>
    <col min="6145" max="6145" width="35.5703125" bestFit="1" customWidth="1"/>
    <col min="6146" max="6146" width="16.7109375" bestFit="1" customWidth="1"/>
    <col min="6147" max="6147" width="17.7109375" bestFit="1" customWidth="1"/>
    <col min="6148" max="6148" width="14.7109375" bestFit="1" customWidth="1"/>
    <col min="6149" max="6149" width="17" bestFit="1" customWidth="1"/>
    <col min="6401" max="6401" width="35.5703125" bestFit="1" customWidth="1"/>
    <col min="6402" max="6402" width="16.7109375" bestFit="1" customWidth="1"/>
    <col min="6403" max="6403" width="17.7109375" bestFit="1" customWidth="1"/>
    <col min="6404" max="6404" width="14.7109375" bestFit="1" customWidth="1"/>
    <col min="6405" max="6405" width="17" bestFit="1" customWidth="1"/>
    <col min="6657" max="6657" width="35.5703125" bestFit="1" customWidth="1"/>
    <col min="6658" max="6658" width="16.7109375" bestFit="1" customWidth="1"/>
    <col min="6659" max="6659" width="17.7109375" bestFit="1" customWidth="1"/>
    <col min="6660" max="6660" width="14.7109375" bestFit="1" customWidth="1"/>
    <col min="6661" max="6661" width="17" bestFit="1" customWidth="1"/>
    <col min="6913" max="6913" width="35.5703125" bestFit="1" customWidth="1"/>
    <col min="6914" max="6914" width="16.7109375" bestFit="1" customWidth="1"/>
    <col min="6915" max="6915" width="17.7109375" bestFit="1" customWidth="1"/>
    <col min="6916" max="6916" width="14.7109375" bestFit="1" customWidth="1"/>
    <col min="6917" max="6917" width="17" bestFit="1" customWidth="1"/>
    <col min="7169" max="7169" width="35.5703125" bestFit="1" customWidth="1"/>
    <col min="7170" max="7170" width="16.7109375" bestFit="1" customWidth="1"/>
    <col min="7171" max="7171" width="17.7109375" bestFit="1" customWidth="1"/>
    <col min="7172" max="7172" width="14.7109375" bestFit="1" customWidth="1"/>
    <col min="7173" max="7173" width="17" bestFit="1" customWidth="1"/>
    <col min="7425" max="7425" width="35.5703125" bestFit="1" customWidth="1"/>
    <col min="7426" max="7426" width="16.7109375" bestFit="1" customWidth="1"/>
    <col min="7427" max="7427" width="17.7109375" bestFit="1" customWidth="1"/>
    <col min="7428" max="7428" width="14.7109375" bestFit="1" customWidth="1"/>
    <col min="7429" max="7429" width="17" bestFit="1" customWidth="1"/>
    <col min="7681" max="7681" width="35.5703125" bestFit="1" customWidth="1"/>
    <col min="7682" max="7682" width="16.7109375" bestFit="1" customWidth="1"/>
    <col min="7683" max="7683" width="17.7109375" bestFit="1" customWidth="1"/>
    <col min="7684" max="7684" width="14.7109375" bestFit="1" customWidth="1"/>
    <col min="7685" max="7685" width="17" bestFit="1" customWidth="1"/>
    <col min="7937" max="7937" width="35.5703125" bestFit="1" customWidth="1"/>
    <col min="7938" max="7938" width="16.7109375" bestFit="1" customWidth="1"/>
    <col min="7939" max="7939" width="17.7109375" bestFit="1" customWidth="1"/>
    <col min="7940" max="7940" width="14.7109375" bestFit="1" customWidth="1"/>
    <col min="7941" max="7941" width="17" bestFit="1" customWidth="1"/>
    <col min="8193" max="8193" width="35.5703125" bestFit="1" customWidth="1"/>
    <col min="8194" max="8194" width="16.7109375" bestFit="1" customWidth="1"/>
    <col min="8195" max="8195" width="17.7109375" bestFit="1" customWidth="1"/>
    <col min="8196" max="8196" width="14.7109375" bestFit="1" customWidth="1"/>
    <col min="8197" max="8197" width="17" bestFit="1" customWidth="1"/>
    <col min="8449" max="8449" width="35.5703125" bestFit="1" customWidth="1"/>
    <col min="8450" max="8450" width="16.7109375" bestFit="1" customWidth="1"/>
    <col min="8451" max="8451" width="17.7109375" bestFit="1" customWidth="1"/>
    <col min="8452" max="8452" width="14.7109375" bestFit="1" customWidth="1"/>
    <col min="8453" max="8453" width="17" bestFit="1" customWidth="1"/>
    <col min="8705" max="8705" width="35.5703125" bestFit="1" customWidth="1"/>
    <col min="8706" max="8706" width="16.7109375" bestFit="1" customWidth="1"/>
    <col min="8707" max="8707" width="17.7109375" bestFit="1" customWidth="1"/>
    <col min="8708" max="8708" width="14.7109375" bestFit="1" customWidth="1"/>
    <col min="8709" max="8709" width="17" bestFit="1" customWidth="1"/>
    <col min="8961" max="8961" width="35.5703125" bestFit="1" customWidth="1"/>
    <col min="8962" max="8962" width="16.7109375" bestFit="1" customWidth="1"/>
    <col min="8963" max="8963" width="17.7109375" bestFit="1" customWidth="1"/>
    <col min="8964" max="8964" width="14.7109375" bestFit="1" customWidth="1"/>
    <col min="8965" max="8965" width="17" bestFit="1" customWidth="1"/>
    <col min="9217" max="9217" width="35.5703125" bestFit="1" customWidth="1"/>
    <col min="9218" max="9218" width="16.7109375" bestFit="1" customWidth="1"/>
    <col min="9219" max="9219" width="17.7109375" bestFit="1" customWidth="1"/>
    <col min="9220" max="9220" width="14.7109375" bestFit="1" customWidth="1"/>
    <col min="9221" max="9221" width="17" bestFit="1" customWidth="1"/>
    <col min="9473" max="9473" width="35.5703125" bestFit="1" customWidth="1"/>
    <col min="9474" max="9474" width="16.7109375" bestFit="1" customWidth="1"/>
    <col min="9475" max="9475" width="17.7109375" bestFit="1" customWidth="1"/>
    <col min="9476" max="9476" width="14.7109375" bestFit="1" customWidth="1"/>
    <col min="9477" max="9477" width="17" bestFit="1" customWidth="1"/>
    <col min="9729" max="9729" width="35.5703125" bestFit="1" customWidth="1"/>
    <col min="9730" max="9730" width="16.7109375" bestFit="1" customWidth="1"/>
    <col min="9731" max="9731" width="17.7109375" bestFit="1" customWidth="1"/>
    <col min="9732" max="9732" width="14.7109375" bestFit="1" customWidth="1"/>
    <col min="9733" max="9733" width="17" bestFit="1" customWidth="1"/>
    <col min="9985" max="9985" width="35.5703125" bestFit="1" customWidth="1"/>
    <col min="9986" max="9986" width="16.7109375" bestFit="1" customWidth="1"/>
    <col min="9987" max="9987" width="17.7109375" bestFit="1" customWidth="1"/>
    <col min="9988" max="9988" width="14.7109375" bestFit="1" customWidth="1"/>
    <col min="9989" max="9989" width="17" bestFit="1" customWidth="1"/>
    <col min="10241" max="10241" width="35.5703125" bestFit="1" customWidth="1"/>
    <col min="10242" max="10242" width="16.7109375" bestFit="1" customWidth="1"/>
    <col min="10243" max="10243" width="17.7109375" bestFit="1" customWidth="1"/>
    <col min="10244" max="10244" width="14.7109375" bestFit="1" customWidth="1"/>
    <col min="10245" max="10245" width="17" bestFit="1" customWidth="1"/>
    <col min="10497" max="10497" width="35.5703125" bestFit="1" customWidth="1"/>
    <col min="10498" max="10498" width="16.7109375" bestFit="1" customWidth="1"/>
    <col min="10499" max="10499" width="17.7109375" bestFit="1" customWidth="1"/>
    <col min="10500" max="10500" width="14.7109375" bestFit="1" customWidth="1"/>
    <col min="10501" max="10501" width="17" bestFit="1" customWidth="1"/>
    <col min="10753" max="10753" width="35.5703125" bestFit="1" customWidth="1"/>
    <col min="10754" max="10754" width="16.7109375" bestFit="1" customWidth="1"/>
    <col min="10755" max="10755" width="17.7109375" bestFit="1" customWidth="1"/>
    <col min="10756" max="10756" width="14.7109375" bestFit="1" customWidth="1"/>
    <col min="10757" max="10757" width="17" bestFit="1" customWidth="1"/>
    <col min="11009" max="11009" width="35.5703125" bestFit="1" customWidth="1"/>
    <col min="11010" max="11010" width="16.7109375" bestFit="1" customWidth="1"/>
    <col min="11011" max="11011" width="17.7109375" bestFit="1" customWidth="1"/>
    <col min="11012" max="11012" width="14.7109375" bestFit="1" customWidth="1"/>
    <col min="11013" max="11013" width="17" bestFit="1" customWidth="1"/>
    <col min="11265" max="11265" width="35.5703125" bestFit="1" customWidth="1"/>
    <col min="11266" max="11266" width="16.7109375" bestFit="1" customWidth="1"/>
    <col min="11267" max="11267" width="17.7109375" bestFit="1" customWidth="1"/>
    <col min="11268" max="11268" width="14.7109375" bestFit="1" customWidth="1"/>
    <col min="11269" max="11269" width="17" bestFit="1" customWidth="1"/>
    <col min="11521" max="11521" width="35.5703125" bestFit="1" customWidth="1"/>
    <col min="11522" max="11522" width="16.7109375" bestFit="1" customWidth="1"/>
    <col min="11523" max="11523" width="17.7109375" bestFit="1" customWidth="1"/>
    <col min="11524" max="11524" width="14.7109375" bestFit="1" customWidth="1"/>
    <col min="11525" max="11525" width="17" bestFit="1" customWidth="1"/>
    <col min="11777" max="11777" width="35.5703125" bestFit="1" customWidth="1"/>
    <col min="11778" max="11778" width="16.7109375" bestFit="1" customWidth="1"/>
    <col min="11779" max="11779" width="17.7109375" bestFit="1" customWidth="1"/>
    <col min="11780" max="11780" width="14.7109375" bestFit="1" customWidth="1"/>
    <col min="11781" max="11781" width="17" bestFit="1" customWidth="1"/>
    <col min="12033" max="12033" width="35.5703125" bestFit="1" customWidth="1"/>
    <col min="12034" max="12034" width="16.7109375" bestFit="1" customWidth="1"/>
    <col min="12035" max="12035" width="17.7109375" bestFit="1" customWidth="1"/>
    <col min="12036" max="12036" width="14.7109375" bestFit="1" customWidth="1"/>
    <col min="12037" max="12037" width="17" bestFit="1" customWidth="1"/>
    <col min="12289" max="12289" width="35.5703125" bestFit="1" customWidth="1"/>
    <col min="12290" max="12290" width="16.7109375" bestFit="1" customWidth="1"/>
    <col min="12291" max="12291" width="17.7109375" bestFit="1" customWidth="1"/>
    <col min="12292" max="12292" width="14.7109375" bestFit="1" customWidth="1"/>
    <col min="12293" max="12293" width="17" bestFit="1" customWidth="1"/>
    <col min="12545" max="12545" width="35.5703125" bestFit="1" customWidth="1"/>
    <col min="12546" max="12546" width="16.7109375" bestFit="1" customWidth="1"/>
    <col min="12547" max="12547" width="17.7109375" bestFit="1" customWidth="1"/>
    <col min="12548" max="12548" width="14.7109375" bestFit="1" customWidth="1"/>
    <col min="12549" max="12549" width="17" bestFit="1" customWidth="1"/>
    <col min="12801" max="12801" width="35.5703125" bestFit="1" customWidth="1"/>
    <col min="12802" max="12802" width="16.7109375" bestFit="1" customWidth="1"/>
    <col min="12803" max="12803" width="17.7109375" bestFit="1" customWidth="1"/>
    <col min="12804" max="12804" width="14.7109375" bestFit="1" customWidth="1"/>
    <col min="12805" max="12805" width="17" bestFit="1" customWidth="1"/>
    <col min="13057" max="13057" width="35.5703125" bestFit="1" customWidth="1"/>
    <col min="13058" max="13058" width="16.7109375" bestFit="1" customWidth="1"/>
    <col min="13059" max="13059" width="17.7109375" bestFit="1" customWidth="1"/>
    <col min="13060" max="13060" width="14.7109375" bestFit="1" customWidth="1"/>
    <col min="13061" max="13061" width="17" bestFit="1" customWidth="1"/>
    <col min="13313" max="13313" width="35.5703125" bestFit="1" customWidth="1"/>
    <col min="13314" max="13314" width="16.7109375" bestFit="1" customWidth="1"/>
    <col min="13315" max="13315" width="17.7109375" bestFit="1" customWidth="1"/>
    <col min="13316" max="13316" width="14.7109375" bestFit="1" customWidth="1"/>
    <col min="13317" max="13317" width="17" bestFit="1" customWidth="1"/>
    <col min="13569" max="13569" width="35.5703125" bestFit="1" customWidth="1"/>
    <col min="13570" max="13570" width="16.7109375" bestFit="1" customWidth="1"/>
    <col min="13571" max="13571" width="17.7109375" bestFit="1" customWidth="1"/>
    <col min="13572" max="13572" width="14.7109375" bestFit="1" customWidth="1"/>
    <col min="13573" max="13573" width="17" bestFit="1" customWidth="1"/>
    <col min="13825" max="13825" width="35.5703125" bestFit="1" customWidth="1"/>
    <col min="13826" max="13826" width="16.7109375" bestFit="1" customWidth="1"/>
    <col min="13827" max="13827" width="17.7109375" bestFit="1" customWidth="1"/>
    <col min="13828" max="13828" width="14.7109375" bestFit="1" customWidth="1"/>
    <col min="13829" max="13829" width="17" bestFit="1" customWidth="1"/>
    <col min="14081" max="14081" width="35.5703125" bestFit="1" customWidth="1"/>
    <col min="14082" max="14082" width="16.7109375" bestFit="1" customWidth="1"/>
    <col min="14083" max="14083" width="17.7109375" bestFit="1" customWidth="1"/>
    <col min="14084" max="14084" width="14.7109375" bestFit="1" customWidth="1"/>
    <col min="14085" max="14085" width="17" bestFit="1" customWidth="1"/>
    <col min="14337" max="14337" width="35.5703125" bestFit="1" customWidth="1"/>
    <col min="14338" max="14338" width="16.7109375" bestFit="1" customWidth="1"/>
    <col min="14339" max="14339" width="17.7109375" bestFit="1" customWidth="1"/>
    <col min="14340" max="14340" width="14.7109375" bestFit="1" customWidth="1"/>
    <col min="14341" max="14341" width="17" bestFit="1" customWidth="1"/>
    <col min="14593" max="14593" width="35.5703125" bestFit="1" customWidth="1"/>
    <col min="14594" max="14594" width="16.7109375" bestFit="1" customWidth="1"/>
    <col min="14595" max="14595" width="17.7109375" bestFit="1" customWidth="1"/>
    <col min="14596" max="14596" width="14.7109375" bestFit="1" customWidth="1"/>
    <col min="14597" max="14597" width="17" bestFit="1" customWidth="1"/>
    <col min="14849" max="14849" width="35.5703125" bestFit="1" customWidth="1"/>
    <col min="14850" max="14850" width="16.7109375" bestFit="1" customWidth="1"/>
    <col min="14851" max="14851" width="17.7109375" bestFit="1" customWidth="1"/>
    <col min="14852" max="14852" width="14.7109375" bestFit="1" customWidth="1"/>
    <col min="14853" max="14853" width="17" bestFit="1" customWidth="1"/>
    <col min="15105" max="15105" width="35.5703125" bestFit="1" customWidth="1"/>
    <col min="15106" max="15106" width="16.7109375" bestFit="1" customWidth="1"/>
    <col min="15107" max="15107" width="17.7109375" bestFit="1" customWidth="1"/>
    <col min="15108" max="15108" width="14.7109375" bestFit="1" customWidth="1"/>
    <col min="15109" max="15109" width="17" bestFit="1" customWidth="1"/>
    <col min="15361" max="15361" width="35.5703125" bestFit="1" customWidth="1"/>
    <col min="15362" max="15362" width="16.7109375" bestFit="1" customWidth="1"/>
    <col min="15363" max="15363" width="17.7109375" bestFit="1" customWidth="1"/>
    <col min="15364" max="15364" width="14.7109375" bestFit="1" customWidth="1"/>
    <col min="15365" max="15365" width="17" bestFit="1" customWidth="1"/>
    <col min="15617" max="15617" width="35.5703125" bestFit="1" customWidth="1"/>
    <col min="15618" max="15618" width="16.7109375" bestFit="1" customWidth="1"/>
    <col min="15619" max="15619" width="17.7109375" bestFit="1" customWidth="1"/>
    <col min="15620" max="15620" width="14.7109375" bestFit="1" customWidth="1"/>
    <col min="15621" max="15621" width="17" bestFit="1" customWidth="1"/>
    <col min="15873" max="15873" width="35.5703125" bestFit="1" customWidth="1"/>
    <col min="15874" max="15874" width="16.7109375" bestFit="1" customWidth="1"/>
    <col min="15875" max="15875" width="17.7109375" bestFit="1" customWidth="1"/>
    <col min="15876" max="15876" width="14.7109375" bestFit="1" customWidth="1"/>
    <col min="15877" max="15877" width="17" bestFit="1" customWidth="1"/>
    <col min="16129" max="16129" width="35.5703125" bestFit="1" customWidth="1"/>
    <col min="16130" max="16130" width="16.7109375" bestFit="1" customWidth="1"/>
    <col min="16131" max="16131" width="17.7109375" bestFit="1" customWidth="1"/>
    <col min="16132" max="16132" width="14.7109375" bestFit="1" customWidth="1"/>
    <col min="16133" max="16133" width="17" bestFit="1" customWidth="1"/>
  </cols>
  <sheetData>
    <row r="1" spans="1:4" s="819" customFormat="1"/>
    <row r="2" spans="1:4" s="819" customFormat="1">
      <c r="B2" s="858" t="s">
        <v>412</v>
      </c>
      <c r="C2" s="858" t="s">
        <v>14</v>
      </c>
    </row>
    <row r="3" spans="1:4" s="819" customFormat="1" ht="15">
      <c r="A3" s="839" t="s">
        <v>172</v>
      </c>
      <c r="B3" s="839">
        <v>7926</v>
      </c>
      <c r="C3" s="839">
        <f>SUM(B3:B3)</f>
        <v>7926</v>
      </c>
    </row>
    <row r="4" spans="1:4" s="819" customFormat="1" ht="15">
      <c r="A4" s="839" t="s">
        <v>325</v>
      </c>
      <c r="B4" s="839">
        <v>573</v>
      </c>
      <c r="C4" s="839">
        <f>SUM(B4:B4)</f>
        <v>573</v>
      </c>
    </row>
    <row r="5" spans="1:4" s="819" customFormat="1" ht="15">
      <c r="A5" s="839" t="s">
        <v>386</v>
      </c>
      <c r="B5" s="839">
        <v>224</v>
      </c>
      <c r="C5" s="839">
        <f t="shared" ref="C5:C10" si="0">SUM(B5:B5)</f>
        <v>224</v>
      </c>
    </row>
    <row r="6" spans="1:4" s="819" customFormat="1" ht="15">
      <c r="A6" s="839" t="s">
        <v>387</v>
      </c>
      <c r="B6" s="839">
        <v>999</v>
      </c>
      <c r="C6" s="839">
        <f t="shared" si="0"/>
        <v>999</v>
      </c>
    </row>
    <row r="7" spans="1:4" s="819" customFormat="1" ht="15">
      <c r="A7" s="839" t="s">
        <v>192</v>
      </c>
      <c r="B7" s="839">
        <v>39</v>
      </c>
      <c r="C7" s="839">
        <f>SUM(B7:B7)</f>
        <v>39</v>
      </c>
    </row>
    <row r="8" spans="1:4" s="819" customFormat="1" ht="15">
      <c r="A8" s="839" t="s">
        <v>388</v>
      </c>
      <c r="B8" s="839">
        <v>8</v>
      </c>
      <c r="C8" s="839">
        <f t="shared" si="0"/>
        <v>8</v>
      </c>
    </row>
    <row r="9" spans="1:4" s="819" customFormat="1" ht="15">
      <c r="A9" s="839" t="s">
        <v>389</v>
      </c>
      <c r="B9" s="839">
        <v>1</v>
      </c>
      <c r="C9" s="839">
        <f t="shared" si="0"/>
        <v>1</v>
      </c>
    </row>
    <row r="10" spans="1:4" ht="15">
      <c r="A10" s="839" t="s">
        <v>390</v>
      </c>
      <c r="B10" s="839">
        <v>171</v>
      </c>
      <c r="C10" s="839">
        <f t="shared" si="0"/>
        <v>171</v>
      </c>
    </row>
    <row r="11" spans="1:4">
      <c r="B11" s="321">
        <f>SUM(B3:B10)</f>
        <v>9941</v>
      </c>
    </row>
    <row r="12" spans="1:4">
      <c r="A12" t="s">
        <v>372</v>
      </c>
    </row>
    <row r="13" spans="1:4">
      <c r="A13" s="820" t="s">
        <v>373</v>
      </c>
      <c r="B13" s="779" t="s">
        <v>19</v>
      </c>
      <c r="C13" s="820" t="s">
        <v>374</v>
      </c>
      <c r="D13" s="820" t="s">
        <v>603</v>
      </c>
    </row>
    <row r="14" spans="1:4" ht="15">
      <c r="A14" s="839" t="s">
        <v>172</v>
      </c>
      <c r="B14" s="779">
        <f>B3</f>
        <v>7926</v>
      </c>
      <c r="C14" s="835">
        <f>B14/$B$19*100</f>
        <v>79.730409415551748</v>
      </c>
      <c r="D14" s="1204">
        <v>0.79700000000000004</v>
      </c>
    </row>
    <row r="15" spans="1:4" ht="15">
      <c r="A15" s="839" t="s">
        <v>325</v>
      </c>
      <c r="B15" s="779">
        <f>B4</f>
        <v>573</v>
      </c>
      <c r="C15" s="835">
        <f>B15/$B$19*100</f>
        <v>5.7640076451061262</v>
      </c>
      <c r="D15" s="1204">
        <v>5.8000000000000003E-2</v>
      </c>
    </row>
    <row r="16" spans="1:4">
      <c r="A16" s="820" t="s">
        <v>395</v>
      </c>
      <c r="B16" s="779">
        <f>B6+B9+B8</f>
        <v>1008</v>
      </c>
      <c r="C16" s="835">
        <f>B16/$B$19*100</f>
        <v>10.139824967307112</v>
      </c>
      <c r="D16" s="1204">
        <v>0.10100000000000001</v>
      </c>
    </row>
    <row r="17" spans="1:4" ht="15">
      <c r="A17" s="839" t="s">
        <v>396</v>
      </c>
      <c r="B17" s="779">
        <f>B5+B10</f>
        <v>395</v>
      </c>
      <c r="C17" s="835">
        <f>B17/$B$19*100</f>
        <v>3.973443315561815</v>
      </c>
      <c r="D17" s="1204">
        <v>0.04</v>
      </c>
    </row>
    <row r="18" spans="1:4" ht="15">
      <c r="A18" s="839" t="s">
        <v>192</v>
      </c>
      <c r="B18" s="779">
        <f>B7</f>
        <v>39</v>
      </c>
      <c r="C18" s="835">
        <f>B18/$B$19*100</f>
        <v>0.3923146564731918</v>
      </c>
      <c r="D18" s="1205">
        <v>4.0000000000000001E-3</v>
      </c>
    </row>
    <row r="19" spans="1:4">
      <c r="B19">
        <f>SUM(B14:B18)</f>
        <v>9941</v>
      </c>
      <c r="C19" s="821">
        <f>SUM(C14:C18)</f>
        <v>99.999999999999972</v>
      </c>
      <c r="D19" s="246">
        <f>SUM(D14:D18)</f>
        <v>1</v>
      </c>
    </row>
    <row r="32" spans="1:4">
      <c r="B32" s="321" t="s">
        <v>41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66CF-14DA-4A6F-B57E-952C0B19EB20}">
  <sheetPr>
    <tabColor rgb="FFFFFF00"/>
  </sheetPr>
  <dimension ref="A16:G63"/>
  <sheetViews>
    <sheetView topLeftCell="F13" zoomScaleNormal="100" workbookViewId="0">
      <selection activeCell="C22" sqref="C22"/>
    </sheetView>
  </sheetViews>
  <sheetFormatPr defaultRowHeight="12.75"/>
  <cols>
    <col min="1" max="1" width="22.85546875" style="288" customWidth="1"/>
    <col min="2" max="2" width="18.7109375" style="288" customWidth="1"/>
    <col min="3" max="3" width="15.140625" style="288" customWidth="1"/>
    <col min="4" max="4" width="13.140625" style="288" bestFit="1" customWidth="1"/>
    <col min="5" max="257" width="9.140625" style="288"/>
    <col min="258" max="258" width="12.7109375" style="288" bestFit="1" customWidth="1"/>
    <col min="259" max="513" width="9.140625" style="288"/>
    <col min="514" max="514" width="12.7109375" style="288" bestFit="1" customWidth="1"/>
    <col min="515" max="769" width="9.140625" style="288"/>
    <col min="770" max="770" width="12.7109375" style="288" bestFit="1" customWidth="1"/>
    <col min="771" max="1025" width="9.140625" style="288"/>
    <col min="1026" max="1026" width="12.7109375" style="288" bestFit="1" customWidth="1"/>
    <col min="1027" max="1281" width="9.140625" style="288"/>
    <col min="1282" max="1282" width="12.7109375" style="288" bestFit="1" customWidth="1"/>
    <col min="1283" max="1537" width="9.140625" style="288"/>
    <col min="1538" max="1538" width="12.7109375" style="288" bestFit="1" customWidth="1"/>
    <col min="1539" max="1793" width="9.140625" style="288"/>
    <col min="1794" max="1794" width="12.7109375" style="288" bestFit="1" customWidth="1"/>
    <col min="1795" max="2049" width="9.140625" style="288"/>
    <col min="2050" max="2050" width="12.7109375" style="288" bestFit="1" customWidth="1"/>
    <col min="2051" max="2305" width="9.140625" style="288"/>
    <col min="2306" max="2306" width="12.7109375" style="288" bestFit="1" customWidth="1"/>
    <col min="2307" max="2561" width="9.140625" style="288"/>
    <col min="2562" max="2562" width="12.7109375" style="288" bestFit="1" customWidth="1"/>
    <col min="2563" max="2817" width="9.140625" style="288"/>
    <col min="2818" max="2818" width="12.7109375" style="288" bestFit="1" customWidth="1"/>
    <col min="2819" max="3073" width="9.140625" style="288"/>
    <col min="3074" max="3074" width="12.7109375" style="288" bestFit="1" customWidth="1"/>
    <col min="3075" max="3329" width="9.140625" style="288"/>
    <col min="3330" max="3330" width="12.7109375" style="288" bestFit="1" customWidth="1"/>
    <col min="3331" max="3585" width="9.140625" style="288"/>
    <col min="3586" max="3586" width="12.7109375" style="288" bestFit="1" customWidth="1"/>
    <col min="3587" max="3841" width="9.140625" style="288"/>
    <col min="3842" max="3842" width="12.7109375" style="288" bestFit="1" customWidth="1"/>
    <col min="3843" max="4097" width="9.140625" style="288"/>
    <col min="4098" max="4098" width="12.7109375" style="288" bestFit="1" customWidth="1"/>
    <col min="4099" max="4353" width="9.140625" style="288"/>
    <col min="4354" max="4354" width="12.7109375" style="288" bestFit="1" customWidth="1"/>
    <col min="4355" max="4609" width="9.140625" style="288"/>
    <col min="4610" max="4610" width="12.7109375" style="288" bestFit="1" customWidth="1"/>
    <col min="4611" max="4865" width="9.140625" style="288"/>
    <col min="4866" max="4866" width="12.7109375" style="288" bestFit="1" customWidth="1"/>
    <col min="4867" max="5121" width="9.140625" style="288"/>
    <col min="5122" max="5122" width="12.7109375" style="288" bestFit="1" customWidth="1"/>
    <col min="5123" max="5377" width="9.140625" style="288"/>
    <col min="5378" max="5378" width="12.7109375" style="288" bestFit="1" customWidth="1"/>
    <col min="5379" max="5633" width="9.140625" style="288"/>
    <col min="5634" max="5634" width="12.7109375" style="288" bestFit="1" customWidth="1"/>
    <col min="5635" max="5889" width="9.140625" style="288"/>
    <col min="5890" max="5890" width="12.7109375" style="288" bestFit="1" customWidth="1"/>
    <col min="5891" max="6145" width="9.140625" style="288"/>
    <col min="6146" max="6146" width="12.7109375" style="288" bestFit="1" customWidth="1"/>
    <col min="6147" max="6401" width="9.140625" style="288"/>
    <col min="6402" max="6402" width="12.7109375" style="288" bestFit="1" customWidth="1"/>
    <col min="6403" max="6657" width="9.140625" style="288"/>
    <col min="6658" max="6658" width="12.7109375" style="288" bestFit="1" customWidth="1"/>
    <col min="6659" max="6913" width="9.140625" style="288"/>
    <col min="6914" max="6914" width="12.7109375" style="288" bestFit="1" customWidth="1"/>
    <col min="6915" max="7169" width="9.140625" style="288"/>
    <col min="7170" max="7170" width="12.7109375" style="288" bestFit="1" customWidth="1"/>
    <col min="7171" max="7425" width="9.140625" style="288"/>
    <col min="7426" max="7426" width="12.7109375" style="288" bestFit="1" customWidth="1"/>
    <col min="7427" max="7681" width="9.140625" style="288"/>
    <col min="7682" max="7682" width="12.7109375" style="288" bestFit="1" customWidth="1"/>
    <col min="7683" max="7937" width="9.140625" style="288"/>
    <col min="7938" max="7938" width="12.7109375" style="288" bestFit="1" customWidth="1"/>
    <col min="7939" max="8193" width="9.140625" style="288"/>
    <col min="8194" max="8194" width="12.7109375" style="288" bestFit="1" customWidth="1"/>
    <col min="8195" max="8449" width="9.140625" style="288"/>
    <col min="8450" max="8450" width="12.7109375" style="288" bestFit="1" customWidth="1"/>
    <col min="8451" max="8705" width="9.140625" style="288"/>
    <col min="8706" max="8706" width="12.7109375" style="288" bestFit="1" customWidth="1"/>
    <col min="8707" max="8961" width="9.140625" style="288"/>
    <col min="8962" max="8962" width="12.7109375" style="288" bestFit="1" customWidth="1"/>
    <col min="8963" max="9217" width="9.140625" style="288"/>
    <col min="9218" max="9218" width="12.7109375" style="288" bestFit="1" customWidth="1"/>
    <col min="9219" max="9473" width="9.140625" style="288"/>
    <col min="9474" max="9474" width="12.7109375" style="288" bestFit="1" customWidth="1"/>
    <col min="9475" max="9729" width="9.140625" style="288"/>
    <col min="9730" max="9730" width="12.7109375" style="288" bestFit="1" customWidth="1"/>
    <col min="9731" max="9985" width="9.140625" style="288"/>
    <col min="9986" max="9986" width="12.7109375" style="288" bestFit="1" customWidth="1"/>
    <col min="9987" max="10241" width="9.140625" style="288"/>
    <col min="10242" max="10242" width="12.7109375" style="288" bestFit="1" customWidth="1"/>
    <col min="10243" max="10497" width="9.140625" style="288"/>
    <col min="10498" max="10498" width="12.7109375" style="288" bestFit="1" customWidth="1"/>
    <col min="10499" max="10753" width="9.140625" style="288"/>
    <col min="10754" max="10754" width="12.7109375" style="288" bestFit="1" customWidth="1"/>
    <col min="10755" max="11009" width="9.140625" style="288"/>
    <col min="11010" max="11010" width="12.7109375" style="288" bestFit="1" customWidth="1"/>
    <col min="11011" max="11265" width="9.140625" style="288"/>
    <col min="11266" max="11266" width="12.7109375" style="288" bestFit="1" customWidth="1"/>
    <col min="11267" max="11521" width="9.140625" style="288"/>
    <col min="11522" max="11522" width="12.7109375" style="288" bestFit="1" customWidth="1"/>
    <col min="11523" max="11777" width="9.140625" style="288"/>
    <col min="11778" max="11778" width="12.7109375" style="288" bestFit="1" customWidth="1"/>
    <col min="11779" max="12033" width="9.140625" style="288"/>
    <col min="12034" max="12034" width="12.7109375" style="288" bestFit="1" customWidth="1"/>
    <col min="12035" max="12289" width="9.140625" style="288"/>
    <col min="12290" max="12290" width="12.7109375" style="288" bestFit="1" customWidth="1"/>
    <col min="12291" max="12545" width="9.140625" style="288"/>
    <col min="12546" max="12546" width="12.7109375" style="288" bestFit="1" customWidth="1"/>
    <col min="12547" max="12801" width="9.140625" style="288"/>
    <col min="12802" max="12802" width="12.7109375" style="288" bestFit="1" customWidth="1"/>
    <col min="12803" max="13057" width="9.140625" style="288"/>
    <col min="13058" max="13058" width="12.7109375" style="288" bestFit="1" customWidth="1"/>
    <col min="13059" max="13313" width="9.140625" style="288"/>
    <col min="13314" max="13314" width="12.7109375" style="288" bestFit="1" customWidth="1"/>
    <col min="13315" max="13569" width="9.140625" style="288"/>
    <col min="13570" max="13570" width="12.7109375" style="288" bestFit="1" customWidth="1"/>
    <col min="13571" max="13825" width="9.140625" style="288"/>
    <col min="13826" max="13826" width="12.7109375" style="288" bestFit="1" customWidth="1"/>
    <col min="13827" max="14081" width="9.140625" style="288"/>
    <col min="14082" max="14082" width="12.7109375" style="288" bestFit="1" customWidth="1"/>
    <col min="14083" max="14337" width="9.140625" style="288"/>
    <col min="14338" max="14338" width="12.7109375" style="288" bestFit="1" customWidth="1"/>
    <col min="14339" max="14593" width="9.140625" style="288"/>
    <col min="14594" max="14594" width="12.7109375" style="288" bestFit="1" customWidth="1"/>
    <col min="14595" max="14849" width="9.140625" style="288"/>
    <col min="14850" max="14850" width="12.7109375" style="288" bestFit="1" customWidth="1"/>
    <col min="14851" max="15105" width="9.140625" style="288"/>
    <col min="15106" max="15106" width="12.7109375" style="288" bestFit="1" customWidth="1"/>
    <col min="15107" max="15361" width="9.140625" style="288"/>
    <col min="15362" max="15362" width="12.7109375" style="288" bestFit="1" customWidth="1"/>
    <col min="15363" max="15617" width="9.140625" style="288"/>
    <col min="15618" max="15618" width="12.7109375" style="288" bestFit="1" customWidth="1"/>
    <col min="15619" max="15873" width="9.140625" style="288"/>
    <col min="15874" max="15874" width="12.7109375" style="288" bestFit="1" customWidth="1"/>
    <col min="15875" max="16129" width="9.140625" style="288"/>
    <col min="16130" max="16130" width="12.7109375" style="288" bestFit="1" customWidth="1"/>
    <col min="16131" max="16384" width="9.140625" style="288"/>
  </cols>
  <sheetData>
    <row r="16" spans="1:3">
      <c r="A16" s="706"/>
      <c r="B16" s="707" t="s">
        <v>213</v>
      </c>
      <c r="C16" s="708" t="s">
        <v>214</v>
      </c>
    </row>
    <row r="17" spans="1:4">
      <c r="A17" s="709" t="s">
        <v>335</v>
      </c>
      <c r="B17" s="710">
        <v>100</v>
      </c>
      <c r="C17" s="711"/>
    </row>
    <row r="18" spans="1:4">
      <c r="A18" s="712" t="s">
        <v>20</v>
      </c>
      <c r="B18" s="832">
        <f t="shared" ref="B18:B26" si="0">B17-C18</f>
        <v>36.263957348355291</v>
      </c>
      <c r="C18" s="816">
        <f>C33</f>
        <v>63.736042651644709</v>
      </c>
    </row>
    <row r="19" spans="1:4">
      <c r="A19" s="712" t="s">
        <v>21</v>
      </c>
      <c r="B19" s="832">
        <f t="shared" si="0"/>
        <v>27.21054219897394</v>
      </c>
      <c r="C19" s="816">
        <f t="shared" ref="C19:C25" si="1">C34</f>
        <v>9.0534151493813493</v>
      </c>
    </row>
    <row r="20" spans="1:4">
      <c r="A20" s="712" t="s">
        <v>142</v>
      </c>
      <c r="B20" s="992">
        <f>B19-C20</f>
        <v>20.279649934614216</v>
      </c>
      <c r="C20" s="816">
        <f>C35</f>
        <v>6.9308922643597226</v>
      </c>
    </row>
    <row r="21" spans="1:4">
      <c r="A21" s="712" t="s">
        <v>238</v>
      </c>
      <c r="B21" s="1155">
        <f t="shared" si="0"/>
        <v>14.988431747309116</v>
      </c>
      <c r="C21" s="816">
        <f t="shared" si="1"/>
        <v>5.2912181873051001</v>
      </c>
    </row>
    <row r="22" spans="1:4">
      <c r="A22" s="710" t="s">
        <v>409</v>
      </c>
      <c r="B22" s="832">
        <f t="shared" si="0"/>
        <v>10.864098179257613</v>
      </c>
      <c r="C22" s="816">
        <f t="shared" si="1"/>
        <v>4.1243335680515036</v>
      </c>
    </row>
    <row r="23" spans="1:4">
      <c r="A23" s="712" t="s">
        <v>408</v>
      </c>
      <c r="B23" s="832">
        <f t="shared" si="0"/>
        <v>7.051604466351467</v>
      </c>
      <c r="C23" s="1142">
        <f>C38</f>
        <v>3.812493712906146</v>
      </c>
    </row>
    <row r="24" spans="1:4">
      <c r="A24" s="712" t="s">
        <v>146</v>
      </c>
      <c r="B24" s="832">
        <f t="shared" si="0"/>
        <v>3.5006538577607822</v>
      </c>
      <c r="C24" s="1142">
        <f t="shared" si="1"/>
        <v>3.5509506085906848</v>
      </c>
    </row>
    <row r="25" spans="1:4">
      <c r="A25" s="712" t="s">
        <v>145</v>
      </c>
      <c r="B25" s="832">
        <f t="shared" si="0"/>
        <v>0.82486671361029407</v>
      </c>
      <c r="C25" s="816">
        <f t="shared" si="1"/>
        <v>2.6757871441504881</v>
      </c>
    </row>
    <row r="26" spans="1:4">
      <c r="A26" s="710" t="s">
        <v>364</v>
      </c>
      <c r="B26" s="832">
        <f t="shared" si="0"/>
        <v>-6.7723604502134549E-15</v>
      </c>
      <c r="C26" s="1142">
        <f>C41</f>
        <v>0.82486671361030084</v>
      </c>
    </row>
    <row r="27" spans="1:4">
      <c r="A27" s="714"/>
      <c r="B27" s="715"/>
      <c r="C27" s="993">
        <f>SUM(C18:C26)</f>
        <v>100.00000000000001</v>
      </c>
    </row>
    <row r="28" spans="1:4">
      <c r="A28" s="459" t="s">
        <v>215</v>
      </c>
      <c r="B28" s="459"/>
      <c r="C28" s="459"/>
    </row>
    <row r="29" spans="1:4">
      <c r="A29" s="288" t="s">
        <v>216</v>
      </c>
    </row>
    <row r="32" spans="1:4">
      <c r="A32" s="717" t="s">
        <v>1136</v>
      </c>
      <c r="B32" s="718">
        <v>43831</v>
      </c>
      <c r="C32" s="719"/>
      <c r="D32" s="720"/>
    </row>
    <row r="33" spans="1:4">
      <c r="A33" s="712" t="s">
        <v>20</v>
      </c>
      <c r="B33" s="460">
        <v>6336</v>
      </c>
      <c r="C33" s="710">
        <f t="shared" ref="C33:C40" si="2">B33/SUM($B$33:$B$41)*100</f>
        <v>63.736042651644709</v>
      </c>
      <c r="D33" s="721">
        <f>B33/SUM($B$33:$B$38)*100</f>
        <v>68.571428571428569</v>
      </c>
    </row>
    <row r="34" spans="1:4">
      <c r="A34" s="712" t="s">
        <v>21</v>
      </c>
      <c r="B34" s="460">
        <v>900</v>
      </c>
      <c r="C34" s="710">
        <f>B34/SUM($B$33:$B$41)*100</f>
        <v>9.0534151493813493</v>
      </c>
      <c r="D34" s="721">
        <f>B34/SUM($B$33:$B$38)*100</f>
        <v>9.7402597402597415</v>
      </c>
    </row>
    <row r="35" spans="1:4">
      <c r="A35" s="710" t="s">
        <v>142</v>
      </c>
      <c r="B35" s="460">
        <v>689</v>
      </c>
      <c r="C35" s="710">
        <f>B35/SUM($B$33:$B$41)*100</f>
        <v>6.9308922643597226</v>
      </c>
      <c r="D35" s="721">
        <f>B35/SUM($B$33:$B$38)*100</f>
        <v>7.4567099567099575</v>
      </c>
    </row>
    <row r="36" spans="1:4">
      <c r="A36" s="712" t="s">
        <v>238</v>
      </c>
      <c r="B36" s="460">
        <v>526</v>
      </c>
      <c r="C36" s="710">
        <f t="shared" si="2"/>
        <v>5.2912181873051001</v>
      </c>
      <c r="D36" s="721">
        <f>B36/SUM($B$33:$B$38)*100</f>
        <v>5.6926406926406932</v>
      </c>
    </row>
    <row r="37" spans="1:4">
      <c r="A37" s="712" t="s">
        <v>409</v>
      </c>
      <c r="B37" s="460">
        <v>410</v>
      </c>
      <c r="C37" s="710">
        <f t="shared" si="2"/>
        <v>4.1243335680515036</v>
      </c>
      <c r="D37" s="721">
        <f>B37/SUM($B$33:$B$38)*100</f>
        <v>4.4372294372294379</v>
      </c>
    </row>
    <row r="38" spans="1:4">
      <c r="A38" s="710" t="s">
        <v>408</v>
      </c>
      <c r="B38" s="460">
        <v>379</v>
      </c>
      <c r="C38" s="710">
        <f>B38/SUM($B$33:$B$41)*100</f>
        <v>3.812493712906146</v>
      </c>
      <c r="D38" s="721">
        <f>B40/SUM($B$33:$B$38)*100</f>
        <v>2.8787878787878789</v>
      </c>
    </row>
    <row r="39" spans="1:4">
      <c r="A39" s="712" t="s">
        <v>146</v>
      </c>
      <c r="B39" s="460">
        <v>353</v>
      </c>
      <c r="C39" s="710">
        <f t="shared" si="2"/>
        <v>3.5509506085906848</v>
      </c>
      <c r="D39" s="721">
        <f>B39/SUM($B$33:$B$38)*100</f>
        <v>3.8203463203463204</v>
      </c>
    </row>
    <row r="40" spans="1:4">
      <c r="A40" s="712" t="s">
        <v>145</v>
      </c>
      <c r="B40" s="460">
        <v>266</v>
      </c>
      <c r="C40" s="710">
        <f t="shared" si="2"/>
        <v>2.6757871441504881</v>
      </c>
      <c r="D40" s="721">
        <f>B38/SUM($B$33:$B$38)*100</f>
        <v>4.1017316017316015</v>
      </c>
    </row>
    <row r="41" spans="1:4">
      <c r="A41" s="712" t="s">
        <v>364</v>
      </c>
      <c r="B41" s="460">
        <v>82</v>
      </c>
      <c r="C41" s="710">
        <f>B41/SUM($B$33:$B$41)*100</f>
        <v>0.82486671361030084</v>
      </c>
      <c r="D41" s="721">
        <f>B41/SUM($B$33:$B$38)*100</f>
        <v>0.88744588744588748</v>
      </c>
    </row>
    <row r="42" spans="1:4">
      <c r="A42" s="714"/>
      <c r="B42" s="722">
        <f>SUM(B33:B41)</f>
        <v>9941</v>
      </c>
      <c r="C42" s="715"/>
      <c r="D42" s="723">
        <f>SUM(D33:D41)</f>
        <v>107.58658008658008</v>
      </c>
    </row>
    <row r="44" spans="1:4">
      <c r="A44" s="288" t="s">
        <v>217</v>
      </c>
    </row>
    <row r="52" spans="1:7">
      <c r="A52" s="288" t="s">
        <v>406</v>
      </c>
    </row>
    <row r="53" spans="1:7">
      <c r="G53" s="288" t="s">
        <v>398</v>
      </c>
    </row>
    <row r="54" spans="1:7">
      <c r="B54" s="288" t="s">
        <v>20</v>
      </c>
      <c r="E54" s="288">
        <v>3773</v>
      </c>
      <c r="G54" s="288">
        <v>0.56439790575916227</v>
      </c>
    </row>
    <row r="55" spans="1:7">
      <c r="B55" s="288" t="s">
        <v>143</v>
      </c>
      <c r="E55" s="288">
        <v>220</v>
      </c>
      <c r="G55" s="288">
        <v>3.2909498878085267E-2</v>
      </c>
    </row>
    <row r="56" spans="1:7">
      <c r="B56" s="288" t="s">
        <v>21</v>
      </c>
      <c r="E56" s="288">
        <v>936</v>
      </c>
      <c r="G56" s="288">
        <v>0.1400149588631264</v>
      </c>
    </row>
    <row r="57" spans="1:7">
      <c r="B57" s="288" t="s">
        <v>142</v>
      </c>
      <c r="E57" s="288">
        <v>680</v>
      </c>
      <c r="G57" s="288">
        <v>0.10172026925953627</v>
      </c>
    </row>
    <row r="58" spans="1:7">
      <c r="B58" s="288" t="s">
        <v>407</v>
      </c>
      <c r="E58" s="288">
        <v>390</v>
      </c>
      <c r="G58" s="288">
        <v>5.8339566192969337E-2</v>
      </c>
    </row>
    <row r="59" spans="1:7">
      <c r="B59" s="288" t="s">
        <v>145</v>
      </c>
      <c r="E59" s="288">
        <v>191</v>
      </c>
      <c r="G59" s="288">
        <v>2.8571428571428571E-2</v>
      </c>
    </row>
    <row r="60" spans="1:7">
      <c r="B60" s="288" t="s">
        <v>22</v>
      </c>
      <c r="E60" s="288">
        <v>53</v>
      </c>
      <c r="G60" s="288">
        <v>7.9281974569932693E-3</v>
      </c>
    </row>
    <row r="61" spans="1:7">
      <c r="B61" s="288" t="s">
        <v>238</v>
      </c>
      <c r="E61" s="288">
        <v>202</v>
      </c>
      <c r="G61" s="288">
        <v>3.0216903515332835E-2</v>
      </c>
    </row>
    <row r="62" spans="1:7">
      <c r="B62" s="288" t="s">
        <v>146</v>
      </c>
      <c r="E62" s="288">
        <v>240</v>
      </c>
      <c r="G62" s="288">
        <v>3.5901271503365743E-2</v>
      </c>
    </row>
    <row r="63" spans="1:7">
      <c r="C63" s="288" t="s">
        <v>19</v>
      </c>
      <c r="E63" s="288">
        <v>6685</v>
      </c>
    </row>
  </sheetData>
  <conditionalFormatting sqref="C33:C4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{B000C9A6-0D90-4721-B4DD-872BA641DF44}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0C9A6-0D90-4721-B4DD-872BA641D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3A7A-3BA6-43D5-B0E4-7E70E14550C2}">
  <sheetPr>
    <tabColor rgb="FF7030A0"/>
  </sheetPr>
  <dimension ref="A1:J89"/>
  <sheetViews>
    <sheetView topLeftCell="A16" zoomScale="115" zoomScaleNormal="115" workbookViewId="0">
      <selection activeCell="C35" sqref="C35"/>
    </sheetView>
  </sheetViews>
  <sheetFormatPr defaultRowHeight="12.75"/>
  <cols>
    <col min="1" max="1" width="24.5703125" bestFit="1" customWidth="1"/>
    <col min="2" max="2" width="12" bestFit="1" customWidth="1"/>
    <col min="3" max="3" width="21" bestFit="1" customWidth="1"/>
    <col min="4" max="4" width="26.7109375" bestFit="1" customWidth="1"/>
    <col min="5" max="6" width="12" bestFit="1" customWidth="1"/>
    <col min="7" max="7" width="26.7109375" bestFit="1" customWidth="1"/>
    <col min="249" max="249" width="12.7109375" bestFit="1" customWidth="1"/>
    <col min="250" max="250" width="21" bestFit="1" customWidth="1"/>
    <col min="251" max="251" width="43.28515625" bestFit="1" customWidth="1"/>
    <col min="252" max="252" width="22.28515625" bestFit="1" customWidth="1"/>
    <col min="505" max="505" width="12.7109375" bestFit="1" customWidth="1"/>
    <col min="506" max="506" width="21" bestFit="1" customWidth="1"/>
    <col min="507" max="507" width="43.28515625" bestFit="1" customWidth="1"/>
    <col min="508" max="508" width="22.28515625" bestFit="1" customWidth="1"/>
    <col min="761" max="761" width="12.7109375" bestFit="1" customWidth="1"/>
    <col min="762" max="762" width="21" bestFit="1" customWidth="1"/>
    <col min="763" max="763" width="43.28515625" bestFit="1" customWidth="1"/>
    <col min="764" max="764" width="22.28515625" bestFit="1" customWidth="1"/>
    <col min="1017" max="1017" width="12.7109375" bestFit="1" customWidth="1"/>
    <col min="1018" max="1018" width="21" bestFit="1" customWidth="1"/>
    <col min="1019" max="1019" width="43.28515625" bestFit="1" customWidth="1"/>
    <col min="1020" max="1020" width="22.28515625" bestFit="1" customWidth="1"/>
    <col min="1273" max="1273" width="12.7109375" bestFit="1" customWidth="1"/>
    <col min="1274" max="1274" width="21" bestFit="1" customWidth="1"/>
    <col min="1275" max="1275" width="43.28515625" bestFit="1" customWidth="1"/>
    <col min="1276" max="1276" width="22.28515625" bestFit="1" customWidth="1"/>
    <col min="1529" max="1529" width="12.7109375" bestFit="1" customWidth="1"/>
    <col min="1530" max="1530" width="21" bestFit="1" customWidth="1"/>
    <col min="1531" max="1531" width="43.28515625" bestFit="1" customWidth="1"/>
    <col min="1532" max="1532" width="22.28515625" bestFit="1" customWidth="1"/>
    <col min="1785" max="1785" width="12.7109375" bestFit="1" customWidth="1"/>
    <col min="1786" max="1786" width="21" bestFit="1" customWidth="1"/>
    <col min="1787" max="1787" width="43.28515625" bestFit="1" customWidth="1"/>
    <col min="1788" max="1788" width="22.28515625" bestFit="1" customWidth="1"/>
    <col min="2041" max="2041" width="12.7109375" bestFit="1" customWidth="1"/>
    <col min="2042" max="2042" width="21" bestFit="1" customWidth="1"/>
    <col min="2043" max="2043" width="43.28515625" bestFit="1" customWidth="1"/>
    <col min="2044" max="2044" width="22.28515625" bestFit="1" customWidth="1"/>
    <col min="2297" max="2297" width="12.7109375" bestFit="1" customWidth="1"/>
    <col min="2298" max="2298" width="21" bestFit="1" customWidth="1"/>
    <col min="2299" max="2299" width="43.28515625" bestFit="1" customWidth="1"/>
    <col min="2300" max="2300" width="22.28515625" bestFit="1" customWidth="1"/>
    <col min="2553" max="2553" width="12.7109375" bestFit="1" customWidth="1"/>
    <col min="2554" max="2554" width="21" bestFit="1" customWidth="1"/>
    <col min="2555" max="2555" width="43.28515625" bestFit="1" customWidth="1"/>
    <col min="2556" max="2556" width="22.28515625" bestFit="1" customWidth="1"/>
    <col min="2809" max="2809" width="12.7109375" bestFit="1" customWidth="1"/>
    <col min="2810" max="2810" width="21" bestFit="1" customWidth="1"/>
    <col min="2811" max="2811" width="43.28515625" bestFit="1" customWidth="1"/>
    <col min="2812" max="2812" width="22.28515625" bestFit="1" customWidth="1"/>
    <col min="3065" max="3065" width="12.7109375" bestFit="1" customWidth="1"/>
    <col min="3066" max="3066" width="21" bestFit="1" customWidth="1"/>
    <col min="3067" max="3067" width="43.28515625" bestFit="1" customWidth="1"/>
    <col min="3068" max="3068" width="22.28515625" bestFit="1" customWidth="1"/>
    <col min="3321" max="3321" width="12.7109375" bestFit="1" customWidth="1"/>
    <col min="3322" max="3322" width="21" bestFit="1" customWidth="1"/>
    <col min="3323" max="3323" width="43.28515625" bestFit="1" customWidth="1"/>
    <col min="3324" max="3324" width="22.28515625" bestFit="1" customWidth="1"/>
    <col min="3577" max="3577" width="12.7109375" bestFit="1" customWidth="1"/>
    <col min="3578" max="3578" width="21" bestFit="1" customWidth="1"/>
    <col min="3579" max="3579" width="43.28515625" bestFit="1" customWidth="1"/>
    <col min="3580" max="3580" width="22.28515625" bestFit="1" customWidth="1"/>
    <col min="3833" max="3833" width="12.7109375" bestFit="1" customWidth="1"/>
    <col min="3834" max="3834" width="21" bestFit="1" customWidth="1"/>
    <col min="3835" max="3835" width="43.28515625" bestFit="1" customWidth="1"/>
    <col min="3836" max="3836" width="22.28515625" bestFit="1" customWidth="1"/>
    <col min="4089" max="4089" width="12.7109375" bestFit="1" customWidth="1"/>
    <col min="4090" max="4090" width="21" bestFit="1" customWidth="1"/>
    <col min="4091" max="4091" width="43.28515625" bestFit="1" customWidth="1"/>
    <col min="4092" max="4092" width="22.28515625" bestFit="1" customWidth="1"/>
    <col min="4345" max="4345" width="12.7109375" bestFit="1" customWidth="1"/>
    <col min="4346" max="4346" width="21" bestFit="1" customWidth="1"/>
    <col min="4347" max="4347" width="43.28515625" bestFit="1" customWidth="1"/>
    <col min="4348" max="4348" width="22.28515625" bestFit="1" customWidth="1"/>
    <col min="4601" max="4601" width="12.7109375" bestFit="1" customWidth="1"/>
    <col min="4602" max="4602" width="21" bestFit="1" customWidth="1"/>
    <col min="4603" max="4603" width="43.28515625" bestFit="1" customWidth="1"/>
    <col min="4604" max="4604" width="22.28515625" bestFit="1" customWidth="1"/>
    <col min="4857" max="4857" width="12.7109375" bestFit="1" customWidth="1"/>
    <col min="4858" max="4858" width="21" bestFit="1" customWidth="1"/>
    <col min="4859" max="4859" width="43.28515625" bestFit="1" customWidth="1"/>
    <col min="4860" max="4860" width="22.28515625" bestFit="1" customWidth="1"/>
    <col min="5113" max="5113" width="12.7109375" bestFit="1" customWidth="1"/>
    <col min="5114" max="5114" width="21" bestFit="1" customWidth="1"/>
    <col min="5115" max="5115" width="43.28515625" bestFit="1" customWidth="1"/>
    <col min="5116" max="5116" width="22.28515625" bestFit="1" customWidth="1"/>
    <col min="5369" max="5369" width="12.7109375" bestFit="1" customWidth="1"/>
    <col min="5370" max="5370" width="21" bestFit="1" customWidth="1"/>
    <col min="5371" max="5371" width="43.28515625" bestFit="1" customWidth="1"/>
    <col min="5372" max="5372" width="22.28515625" bestFit="1" customWidth="1"/>
    <col min="5625" max="5625" width="12.7109375" bestFit="1" customWidth="1"/>
    <col min="5626" max="5626" width="21" bestFit="1" customWidth="1"/>
    <col min="5627" max="5627" width="43.28515625" bestFit="1" customWidth="1"/>
    <col min="5628" max="5628" width="22.28515625" bestFit="1" customWidth="1"/>
    <col min="5881" max="5881" width="12.7109375" bestFit="1" customWidth="1"/>
    <col min="5882" max="5882" width="21" bestFit="1" customWidth="1"/>
    <col min="5883" max="5883" width="43.28515625" bestFit="1" customWidth="1"/>
    <col min="5884" max="5884" width="22.28515625" bestFit="1" customWidth="1"/>
    <col min="6137" max="6137" width="12.7109375" bestFit="1" customWidth="1"/>
    <col min="6138" max="6138" width="21" bestFit="1" customWidth="1"/>
    <col min="6139" max="6139" width="43.28515625" bestFit="1" customWidth="1"/>
    <col min="6140" max="6140" width="22.28515625" bestFit="1" customWidth="1"/>
    <col min="6393" max="6393" width="12.7109375" bestFit="1" customWidth="1"/>
    <col min="6394" max="6394" width="21" bestFit="1" customWidth="1"/>
    <col min="6395" max="6395" width="43.28515625" bestFit="1" customWidth="1"/>
    <col min="6396" max="6396" width="22.28515625" bestFit="1" customWidth="1"/>
    <col min="6649" max="6649" width="12.7109375" bestFit="1" customWidth="1"/>
    <col min="6650" max="6650" width="21" bestFit="1" customWidth="1"/>
    <col min="6651" max="6651" width="43.28515625" bestFit="1" customWidth="1"/>
    <col min="6652" max="6652" width="22.28515625" bestFit="1" customWidth="1"/>
    <col min="6905" max="6905" width="12.7109375" bestFit="1" customWidth="1"/>
    <col min="6906" max="6906" width="21" bestFit="1" customWidth="1"/>
    <col min="6907" max="6907" width="43.28515625" bestFit="1" customWidth="1"/>
    <col min="6908" max="6908" width="22.28515625" bestFit="1" customWidth="1"/>
    <col min="7161" max="7161" width="12.7109375" bestFit="1" customWidth="1"/>
    <col min="7162" max="7162" width="21" bestFit="1" customWidth="1"/>
    <col min="7163" max="7163" width="43.28515625" bestFit="1" customWidth="1"/>
    <col min="7164" max="7164" width="22.28515625" bestFit="1" customWidth="1"/>
    <col min="7417" max="7417" width="12.7109375" bestFit="1" customWidth="1"/>
    <col min="7418" max="7418" width="21" bestFit="1" customWidth="1"/>
    <col min="7419" max="7419" width="43.28515625" bestFit="1" customWidth="1"/>
    <col min="7420" max="7420" width="22.28515625" bestFit="1" customWidth="1"/>
    <col min="7673" max="7673" width="12.7109375" bestFit="1" customWidth="1"/>
    <col min="7674" max="7674" width="21" bestFit="1" customWidth="1"/>
    <col min="7675" max="7675" width="43.28515625" bestFit="1" customWidth="1"/>
    <col min="7676" max="7676" width="22.28515625" bestFit="1" customWidth="1"/>
    <col min="7929" max="7929" width="12.7109375" bestFit="1" customWidth="1"/>
    <col min="7930" max="7930" width="21" bestFit="1" customWidth="1"/>
    <col min="7931" max="7931" width="43.28515625" bestFit="1" customWidth="1"/>
    <col min="7932" max="7932" width="22.28515625" bestFit="1" customWidth="1"/>
    <col min="8185" max="8185" width="12.7109375" bestFit="1" customWidth="1"/>
    <col min="8186" max="8186" width="21" bestFit="1" customWidth="1"/>
    <col min="8187" max="8187" width="43.28515625" bestFit="1" customWidth="1"/>
    <col min="8188" max="8188" width="22.28515625" bestFit="1" customWidth="1"/>
    <col min="8441" max="8441" width="12.7109375" bestFit="1" customWidth="1"/>
    <col min="8442" max="8442" width="21" bestFit="1" customWidth="1"/>
    <col min="8443" max="8443" width="43.28515625" bestFit="1" customWidth="1"/>
    <col min="8444" max="8444" width="22.28515625" bestFit="1" customWidth="1"/>
    <col min="8697" max="8697" width="12.7109375" bestFit="1" customWidth="1"/>
    <col min="8698" max="8698" width="21" bestFit="1" customWidth="1"/>
    <col min="8699" max="8699" width="43.28515625" bestFit="1" customWidth="1"/>
    <col min="8700" max="8700" width="22.28515625" bestFit="1" customWidth="1"/>
    <col min="8953" max="8953" width="12.7109375" bestFit="1" customWidth="1"/>
    <col min="8954" max="8954" width="21" bestFit="1" customWidth="1"/>
    <col min="8955" max="8955" width="43.28515625" bestFit="1" customWidth="1"/>
    <col min="8956" max="8956" width="22.28515625" bestFit="1" customWidth="1"/>
    <col min="9209" max="9209" width="12.7109375" bestFit="1" customWidth="1"/>
    <col min="9210" max="9210" width="21" bestFit="1" customWidth="1"/>
    <col min="9211" max="9211" width="43.28515625" bestFit="1" customWidth="1"/>
    <col min="9212" max="9212" width="22.28515625" bestFit="1" customWidth="1"/>
    <col min="9465" max="9465" width="12.7109375" bestFit="1" customWidth="1"/>
    <col min="9466" max="9466" width="21" bestFit="1" customWidth="1"/>
    <col min="9467" max="9467" width="43.28515625" bestFit="1" customWidth="1"/>
    <col min="9468" max="9468" width="22.28515625" bestFit="1" customWidth="1"/>
    <col min="9721" max="9721" width="12.7109375" bestFit="1" customWidth="1"/>
    <col min="9722" max="9722" width="21" bestFit="1" customWidth="1"/>
    <col min="9723" max="9723" width="43.28515625" bestFit="1" customWidth="1"/>
    <col min="9724" max="9724" width="22.28515625" bestFit="1" customWidth="1"/>
    <col min="9977" max="9977" width="12.7109375" bestFit="1" customWidth="1"/>
    <col min="9978" max="9978" width="21" bestFit="1" customWidth="1"/>
    <col min="9979" max="9979" width="43.28515625" bestFit="1" customWidth="1"/>
    <col min="9980" max="9980" width="22.28515625" bestFit="1" customWidth="1"/>
    <col min="10233" max="10233" width="12.7109375" bestFit="1" customWidth="1"/>
    <col min="10234" max="10234" width="21" bestFit="1" customWidth="1"/>
    <col min="10235" max="10235" width="43.28515625" bestFit="1" customWidth="1"/>
    <col min="10236" max="10236" width="22.28515625" bestFit="1" customWidth="1"/>
    <col min="10489" max="10489" width="12.7109375" bestFit="1" customWidth="1"/>
    <col min="10490" max="10490" width="21" bestFit="1" customWidth="1"/>
    <col min="10491" max="10491" width="43.28515625" bestFit="1" customWidth="1"/>
    <col min="10492" max="10492" width="22.28515625" bestFit="1" customWidth="1"/>
    <col min="10745" max="10745" width="12.7109375" bestFit="1" customWidth="1"/>
    <col min="10746" max="10746" width="21" bestFit="1" customWidth="1"/>
    <col min="10747" max="10747" width="43.28515625" bestFit="1" customWidth="1"/>
    <col min="10748" max="10748" width="22.28515625" bestFit="1" customWidth="1"/>
    <col min="11001" max="11001" width="12.7109375" bestFit="1" customWidth="1"/>
    <col min="11002" max="11002" width="21" bestFit="1" customWidth="1"/>
    <col min="11003" max="11003" width="43.28515625" bestFit="1" customWidth="1"/>
    <col min="11004" max="11004" width="22.28515625" bestFit="1" customWidth="1"/>
    <col min="11257" max="11257" width="12.7109375" bestFit="1" customWidth="1"/>
    <col min="11258" max="11258" width="21" bestFit="1" customWidth="1"/>
    <col min="11259" max="11259" width="43.28515625" bestFit="1" customWidth="1"/>
    <col min="11260" max="11260" width="22.28515625" bestFit="1" customWidth="1"/>
    <col min="11513" max="11513" width="12.7109375" bestFit="1" customWidth="1"/>
    <col min="11514" max="11514" width="21" bestFit="1" customWidth="1"/>
    <col min="11515" max="11515" width="43.28515625" bestFit="1" customWidth="1"/>
    <col min="11516" max="11516" width="22.28515625" bestFit="1" customWidth="1"/>
    <col min="11769" max="11769" width="12.7109375" bestFit="1" customWidth="1"/>
    <col min="11770" max="11770" width="21" bestFit="1" customWidth="1"/>
    <col min="11771" max="11771" width="43.28515625" bestFit="1" customWidth="1"/>
    <col min="11772" max="11772" width="22.28515625" bestFit="1" customWidth="1"/>
    <col min="12025" max="12025" width="12.7109375" bestFit="1" customWidth="1"/>
    <col min="12026" max="12026" width="21" bestFit="1" customWidth="1"/>
    <col min="12027" max="12027" width="43.28515625" bestFit="1" customWidth="1"/>
    <col min="12028" max="12028" width="22.28515625" bestFit="1" customWidth="1"/>
    <col min="12281" max="12281" width="12.7109375" bestFit="1" customWidth="1"/>
    <col min="12282" max="12282" width="21" bestFit="1" customWidth="1"/>
    <col min="12283" max="12283" width="43.28515625" bestFit="1" customWidth="1"/>
    <col min="12284" max="12284" width="22.28515625" bestFit="1" customWidth="1"/>
    <col min="12537" max="12537" width="12.7109375" bestFit="1" customWidth="1"/>
    <col min="12538" max="12538" width="21" bestFit="1" customWidth="1"/>
    <col min="12539" max="12539" width="43.28515625" bestFit="1" customWidth="1"/>
    <col min="12540" max="12540" width="22.28515625" bestFit="1" customWidth="1"/>
    <col min="12793" max="12793" width="12.7109375" bestFit="1" customWidth="1"/>
    <col min="12794" max="12794" width="21" bestFit="1" customWidth="1"/>
    <col min="12795" max="12795" width="43.28515625" bestFit="1" customWidth="1"/>
    <col min="12796" max="12796" width="22.28515625" bestFit="1" customWidth="1"/>
    <col min="13049" max="13049" width="12.7109375" bestFit="1" customWidth="1"/>
    <col min="13050" max="13050" width="21" bestFit="1" customWidth="1"/>
    <col min="13051" max="13051" width="43.28515625" bestFit="1" customWidth="1"/>
    <col min="13052" max="13052" width="22.28515625" bestFit="1" customWidth="1"/>
    <col min="13305" max="13305" width="12.7109375" bestFit="1" customWidth="1"/>
    <col min="13306" max="13306" width="21" bestFit="1" customWidth="1"/>
    <col min="13307" max="13307" width="43.28515625" bestFit="1" customWidth="1"/>
    <col min="13308" max="13308" width="22.28515625" bestFit="1" customWidth="1"/>
    <col min="13561" max="13561" width="12.7109375" bestFit="1" customWidth="1"/>
    <col min="13562" max="13562" width="21" bestFit="1" customWidth="1"/>
    <col min="13563" max="13563" width="43.28515625" bestFit="1" customWidth="1"/>
    <col min="13564" max="13564" width="22.28515625" bestFit="1" customWidth="1"/>
    <col min="13817" max="13817" width="12.7109375" bestFit="1" customWidth="1"/>
    <col min="13818" max="13818" width="21" bestFit="1" customWidth="1"/>
    <col min="13819" max="13819" width="43.28515625" bestFit="1" customWidth="1"/>
    <col min="13820" max="13820" width="22.28515625" bestFit="1" customWidth="1"/>
    <col min="14073" max="14073" width="12.7109375" bestFit="1" customWidth="1"/>
    <col min="14074" max="14074" width="21" bestFit="1" customWidth="1"/>
    <col min="14075" max="14075" width="43.28515625" bestFit="1" customWidth="1"/>
    <col min="14076" max="14076" width="22.28515625" bestFit="1" customWidth="1"/>
    <col min="14329" max="14329" width="12.7109375" bestFit="1" customWidth="1"/>
    <col min="14330" max="14330" width="21" bestFit="1" customWidth="1"/>
    <col min="14331" max="14331" width="43.28515625" bestFit="1" customWidth="1"/>
    <col min="14332" max="14332" width="22.28515625" bestFit="1" customWidth="1"/>
    <col min="14585" max="14585" width="12.7109375" bestFit="1" customWidth="1"/>
    <col min="14586" max="14586" width="21" bestFit="1" customWidth="1"/>
    <col min="14587" max="14587" width="43.28515625" bestFit="1" customWidth="1"/>
    <col min="14588" max="14588" width="22.28515625" bestFit="1" customWidth="1"/>
    <col min="14841" max="14841" width="12.7109375" bestFit="1" customWidth="1"/>
    <col min="14842" max="14842" width="21" bestFit="1" customWidth="1"/>
    <col min="14843" max="14843" width="43.28515625" bestFit="1" customWidth="1"/>
    <col min="14844" max="14844" width="22.28515625" bestFit="1" customWidth="1"/>
    <col min="15097" max="15097" width="12.7109375" bestFit="1" customWidth="1"/>
    <col min="15098" max="15098" width="21" bestFit="1" customWidth="1"/>
    <col min="15099" max="15099" width="43.28515625" bestFit="1" customWidth="1"/>
    <col min="15100" max="15100" width="22.28515625" bestFit="1" customWidth="1"/>
    <col min="15353" max="15353" width="12.7109375" bestFit="1" customWidth="1"/>
    <col min="15354" max="15354" width="21" bestFit="1" customWidth="1"/>
    <col min="15355" max="15355" width="43.28515625" bestFit="1" customWidth="1"/>
    <col min="15356" max="15356" width="22.28515625" bestFit="1" customWidth="1"/>
    <col min="15609" max="15609" width="12.7109375" bestFit="1" customWidth="1"/>
    <col min="15610" max="15610" width="21" bestFit="1" customWidth="1"/>
    <col min="15611" max="15611" width="43.28515625" bestFit="1" customWidth="1"/>
    <col min="15612" max="15612" width="22.28515625" bestFit="1" customWidth="1"/>
    <col min="15865" max="15865" width="12.7109375" bestFit="1" customWidth="1"/>
    <col min="15866" max="15866" width="21" bestFit="1" customWidth="1"/>
    <col min="15867" max="15867" width="43.28515625" bestFit="1" customWidth="1"/>
    <col min="15868" max="15868" width="22.28515625" bestFit="1" customWidth="1"/>
    <col min="16121" max="16121" width="12.7109375" bestFit="1" customWidth="1"/>
    <col min="16122" max="16122" width="21" bestFit="1" customWidth="1"/>
    <col min="16123" max="16123" width="43.28515625" bestFit="1" customWidth="1"/>
    <col min="16124" max="16124" width="22.28515625" bestFit="1" customWidth="1"/>
  </cols>
  <sheetData>
    <row r="1" spans="1:5">
      <c r="A1" t="s">
        <v>414</v>
      </c>
    </row>
    <row r="2" spans="1:5">
      <c r="A2" s="505" t="s">
        <v>124</v>
      </c>
      <c r="D2" s="505" t="s">
        <v>413</v>
      </c>
    </row>
    <row r="3" spans="1:5">
      <c r="A3" t="s">
        <v>376</v>
      </c>
      <c r="D3" s="779" t="s">
        <v>375</v>
      </c>
      <c r="E3" s="779" t="s">
        <v>19</v>
      </c>
    </row>
    <row r="4" spans="1:5" ht="15">
      <c r="A4" s="779" t="s">
        <v>375</v>
      </c>
      <c r="B4" s="779" t="s">
        <v>19</v>
      </c>
      <c r="D4" s="839" t="s">
        <v>20</v>
      </c>
      <c r="E4" s="999"/>
    </row>
    <row r="5" spans="1:5" ht="15">
      <c r="A5" s="779" t="s">
        <v>20</v>
      </c>
      <c r="B5" s="999">
        <v>7.6014342120847802</v>
      </c>
      <c r="C5" s="662"/>
      <c r="D5" s="839" t="s">
        <v>238</v>
      </c>
      <c r="E5" s="779"/>
    </row>
    <row r="6" spans="1:5" ht="15">
      <c r="A6" s="779" t="s">
        <v>238</v>
      </c>
      <c r="B6" s="999">
        <v>8.6305772217736383</v>
      </c>
      <c r="D6" s="1156" t="s">
        <v>22</v>
      </c>
      <c r="E6" s="1157"/>
    </row>
    <row r="7" spans="1:5" ht="15">
      <c r="A7" s="779" t="s">
        <v>21</v>
      </c>
      <c r="B7" s="999">
        <v>8.8128512441544995</v>
      </c>
      <c r="C7" s="662"/>
      <c r="D7" s="1156" t="s">
        <v>143</v>
      </c>
      <c r="E7" s="779"/>
    </row>
    <row r="8" spans="1:5" ht="15">
      <c r="A8" s="779" t="s">
        <v>22</v>
      </c>
      <c r="B8" s="999">
        <v>6.5124259928774197</v>
      </c>
      <c r="D8" s="839" t="s">
        <v>21</v>
      </c>
      <c r="E8" s="999"/>
    </row>
    <row r="9" spans="1:5" ht="15">
      <c r="A9" s="779" t="s">
        <v>143</v>
      </c>
      <c r="B9" s="999">
        <v>7.1485917118151914</v>
      </c>
      <c r="D9" s="839" t="s">
        <v>142</v>
      </c>
      <c r="E9" s="835"/>
    </row>
    <row r="10" spans="1:5" ht="15">
      <c r="A10" s="779" t="s">
        <v>142</v>
      </c>
      <c r="B10" s="999">
        <v>9.3164855379080525</v>
      </c>
      <c r="C10" s="840"/>
      <c r="D10" s="839" t="s">
        <v>145</v>
      </c>
      <c r="E10" s="835"/>
    </row>
    <row r="11" spans="1:5" ht="15">
      <c r="A11" s="779" t="s">
        <v>145</v>
      </c>
      <c r="B11" s="999">
        <v>10.8035292643579</v>
      </c>
      <c r="C11" s="662"/>
      <c r="D11" s="839" t="s">
        <v>268</v>
      </c>
      <c r="E11" s="1147"/>
    </row>
    <row r="12" spans="1:5" ht="15">
      <c r="A12" s="779" t="s">
        <v>146</v>
      </c>
      <c r="B12" s="999">
        <v>8.9291199670433503</v>
      </c>
      <c r="C12" s="821"/>
      <c r="D12" s="839" t="s">
        <v>285</v>
      </c>
      <c r="E12" s="835"/>
    </row>
    <row r="13" spans="1:5">
      <c r="A13" s="779" t="s">
        <v>424</v>
      </c>
      <c r="B13" s="999">
        <v>9.3586779726205371</v>
      </c>
      <c r="C13" s="662"/>
      <c r="E13" s="662" t="e">
        <f>AVERAGE(E4:E12)</f>
        <v>#DIV/0!</v>
      </c>
    </row>
    <row r="14" spans="1:5">
      <c r="B14" s="821"/>
      <c r="C14" s="662"/>
    </row>
    <row r="15" spans="1:5">
      <c r="A15" s="321" t="s">
        <v>415</v>
      </c>
      <c r="B15" s="821"/>
      <c r="C15" s="662"/>
    </row>
    <row r="16" spans="1:5">
      <c r="C16" s="662"/>
    </row>
    <row r="17" spans="1:3">
      <c r="C17" s="662"/>
    </row>
    <row r="18" spans="1:3">
      <c r="C18" s="662"/>
    </row>
    <row r="19" spans="1:3">
      <c r="A19" s="779" t="s">
        <v>22</v>
      </c>
      <c r="B19" s="1161">
        <f>(B8)</f>
        <v>6.5124259928774197</v>
      </c>
    </row>
    <row r="20" spans="1:3">
      <c r="A20" s="779" t="s">
        <v>143</v>
      </c>
      <c r="B20" s="1161">
        <f>B9</f>
        <v>7.1485917118151914</v>
      </c>
    </row>
    <row r="21" spans="1:3">
      <c r="A21" s="779" t="s">
        <v>20</v>
      </c>
      <c r="B21" s="1161">
        <f>(B5)</f>
        <v>7.6014342120847802</v>
      </c>
    </row>
    <row r="22" spans="1:3">
      <c r="A22" s="779" t="s">
        <v>238</v>
      </c>
      <c r="B22" s="1161">
        <f>(B6)</f>
        <v>8.6305772217736383</v>
      </c>
      <c r="C22" s="662"/>
    </row>
    <row r="23" spans="1:3">
      <c r="A23" s="779" t="s">
        <v>21</v>
      </c>
      <c r="B23" s="1162">
        <f>B7</f>
        <v>8.8128512441544995</v>
      </c>
    </row>
    <row r="24" spans="1:3">
      <c r="A24" s="779" t="s">
        <v>268</v>
      </c>
      <c r="B24" s="1162">
        <f>(B12)</f>
        <v>8.9291199670433503</v>
      </c>
    </row>
    <row r="25" spans="1:3">
      <c r="A25" s="779" t="s">
        <v>142</v>
      </c>
      <c r="B25" s="1162">
        <f>B10</f>
        <v>9.3164855379080525</v>
      </c>
    </row>
    <row r="26" spans="1:3">
      <c r="A26" s="820" t="s">
        <v>144</v>
      </c>
      <c r="B26" s="1162">
        <f>(B13)</f>
        <v>9.3586779726205371</v>
      </c>
    </row>
    <row r="27" spans="1:3">
      <c r="A27" s="779" t="s">
        <v>145</v>
      </c>
      <c r="B27" s="1162">
        <f>(B11)</f>
        <v>10.8035292643579</v>
      </c>
      <c r="C27" s="662"/>
    </row>
    <row r="28" spans="1:3">
      <c r="C28" s="662"/>
    </row>
    <row r="29" spans="1:3">
      <c r="C29" s="662"/>
    </row>
    <row r="30" spans="1:3">
      <c r="B30" s="94"/>
      <c r="C30" s="662"/>
    </row>
    <row r="31" spans="1:3">
      <c r="C31" s="662"/>
    </row>
    <row r="32" spans="1:3">
      <c r="C32" s="662"/>
    </row>
    <row r="33" spans="3:10">
      <c r="C33" s="662"/>
    </row>
    <row r="34" spans="3:10">
      <c r="C34" s="662"/>
    </row>
    <row r="35" spans="3:10">
      <c r="C35" s="662"/>
    </row>
    <row r="36" spans="3:10">
      <c r="C36" s="662"/>
    </row>
    <row r="37" spans="3:10">
      <c r="C37" s="662"/>
    </row>
    <row r="38" spans="3:10">
      <c r="C38" s="662"/>
    </row>
    <row r="39" spans="3:10">
      <c r="C39" s="662"/>
    </row>
    <row r="40" spans="3:10">
      <c r="C40" s="321"/>
      <c r="G40" s="321"/>
    </row>
    <row r="41" spans="3:10">
      <c r="C41" s="321"/>
    </row>
    <row r="42" spans="3:10">
      <c r="C42" s="321"/>
    </row>
    <row r="43" spans="3:10">
      <c r="C43" s="321"/>
      <c r="J43" t="s">
        <v>41</v>
      </c>
    </row>
    <row r="44" spans="3:10">
      <c r="C44" s="321"/>
    </row>
    <row r="45" spans="3:10">
      <c r="C45" s="321"/>
    </row>
    <row r="46" spans="3:10">
      <c r="C46" s="321"/>
    </row>
    <row r="47" spans="3:10">
      <c r="C47" s="321"/>
    </row>
    <row r="48" spans="3:10">
      <c r="C48" s="321"/>
    </row>
    <row r="49" spans="3:3">
      <c r="C49" s="321"/>
    </row>
    <row r="50" spans="3:3">
      <c r="C50" s="321"/>
    </row>
    <row r="51" spans="3:3">
      <c r="C51" s="321"/>
    </row>
    <row r="52" spans="3:3">
      <c r="C52" s="321"/>
    </row>
    <row r="53" spans="3:3">
      <c r="C53" s="321"/>
    </row>
    <row r="54" spans="3:3">
      <c r="C54" s="321"/>
    </row>
    <row r="55" spans="3:3">
      <c r="C55" s="321"/>
    </row>
    <row r="56" spans="3:3">
      <c r="C56" s="321"/>
    </row>
    <row r="57" spans="3:3">
      <c r="C57" s="321"/>
    </row>
    <row r="89" spans="4:4">
      <c r="D89" s="821"/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D7F0-18F7-42FA-AFDA-A08E04CF30E1}">
  <sheetPr>
    <tabColor rgb="FFFF0066"/>
  </sheetPr>
  <dimension ref="A1:G14"/>
  <sheetViews>
    <sheetView topLeftCell="A17" workbookViewId="0">
      <selection activeCell="D14" sqref="D14"/>
    </sheetView>
  </sheetViews>
  <sheetFormatPr defaultRowHeight="12.75"/>
  <cols>
    <col min="1" max="1" width="18.28515625" style="814" bestFit="1" customWidth="1"/>
    <col min="2" max="2" width="18.85546875" style="814" bestFit="1" customWidth="1"/>
    <col min="3" max="3" width="12.85546875" style="814" customWidth="1"/>
    <col min="4" max="4" width="13.7109375" style="814" bestFit="1" customWidth="1"/>
    <col min="5" max="5" width="10" style="814" customWidth="1"/>
    <col min="6" max="258" width="9.140625" style="814"/>
    <col min="259" max="259" width="18.28515625" style="814" bestFit="1" customWidth="1"/>
    <col min="260" max="260" width="12.85546875" style="814" bestFit="1" customWidth="1"/>
    <col min="261" max="261" width="10" style="814" customWidth="1"/>
    <col min="262" max="514" width="9.140625" style="814"/>
    <col min="515" max="515" width="18.28515625" style="814" bestFit="1" customWidth="1"/>
    <col min="516" max="516" width="12.85546875" style="814" bestFit="1" customWidth="1"/>
    <col min="517" max="517" width="10" style="814" customWidth="1"/>
    <col min="518" max="770" width="9.140625" style="814"/>
    <col min="771" max="771" width="18.28515625" style="814" bestFit="1" customWidth="1"/>
    <col min="772" max="772" width="12.85546875" style="814" bestFit="1" customWidth="1"/>
    <col min="773" max="773" width="10" style="814" customWidth="1"/>
    <col min="774" max="1026" width="9.140625" style="814"/>
    <col min="1027" max="1027" width="18.28515625" style="814" bestFit="1" customWidth="1"/>
    <col min="1028" max="1028" width="12.85546875" style="814" bestFit="1" customWidth="1"/>
    <col min="1029" max="1029" width="10" style="814" customWidth="1"/>
    <col min="1030" max="1282" width="9.140625" style="814"/>
    <col min="1283" max="1283" width="18.28515625" style="814" bestFit="1" customWidth="1"/>
    <col min="1284" max="1284" width="12.85546875" style="814" bestFit="1" customWidth="1"/>
    <col min="1285" max="1285" width="10" style="814" customWidth="1"/>
    <col min="1286" max="1538" width="9.140625" style="814"/>
    <col min="1539" max="1539" width="18.28515625" style="814" bestFit="1" customWidth="1"/>
    <col min="1540" max="1540" width="12.85546875" style="814" bestFit="1" customWidth="1"/>
    <col min="1541" max="1541" width="10" style="814" customWidth="1"/>
    <col min="1542" max="1794" width="9.140625" style="814"/>
    <col min="1795" max="1795" width="18.28515625" style="814" bestFit="1" customWidth="1"/>
    <col min="1796" max="1796" width="12.85546875" style="814" bestFit="1" customWidth="1"/>
    <col min="1797" max="1797" width="10" style="814" customWidth="1"/>
    <col min="1798" max="2050" width="9.140625" style="814"/>
    <col min="2051" max="2051" width="18.28515625" style="814" bestFit="1" customWidth="1"/>
    <col min="2052" max="2052" width="12.85546875" style="814" bestFit="1" customWidth="1"/>
    <col min="2053" max="2053" width="10" style="814" customWidth="1"/>
    <col min="2054" max="2306" width="9.140625" style="814"/>
    <col min="2307" max="2307" width="18.28515625" style="814" bestFit="1" customWidth="1"/>
    <col min="2308" max="2308" width="12.85546875" style="814" bestFit="1" customWidth="1"/>
    <col min="2309" max="2309" width="10" style="814" customWidth="1"/>
    <col min="2310" max="2562" width="9.140625" style="814"/>
    <col min="2563" max="2563" width="18.28515625" style="814" bestFit="1" customWidth="1"/>
    <col min="2564" max="2564" width="12.85546875" style="814" bestFit="1" customWidth="1"/>
    <col min="2565" max="2565" width="10" style="814" customWidth="1"/>
    <col min="2566" max="2818" width="9.140625" style="814"/>
    <col min="2819" max="2819" width="18.28515625" style="814" bestFit="1" customWidth="1"/>
    <col min="2820" max="2820" width="12.85546875" style="814" bestFit="1" customWidth="1"/>
    <col min="2821" max="2821" width="10" style="814" customWidth="1"/>
    <col min="2822" max="3074" width="9.140625" style="814"/>
    <col min="3075" max="3075" width="18.28515625" style="814" bestFit="1" customWidth="1"/>
    <col min="3076" max="3076" width="12.85546875" style="814" bestFit="1" customWidth="1"/>
    <col min="3077" max="3077" width="10" style="814" customWidth="1"/>
    <col min="3078" max="3330" width="9.140625" style="814"/>
    <col min="3331" max="3331" width="18.28515625" style="814" bestFit="1" customWidth="1"/>
    <col min="3332" max="3332" width="12.85546875" style="814" bestFit="1" customWidth="1"/>
    <col min="3333" max="3333" width="10" style="814" customWidth="1"/>
    <col min="3334" max="3586" width="9.140625" style="814"/>
    <col min="3587" max="3587" width="18.28515625" style="814" bestFit="1" customWidth="1"/>
    <col min="3588" max="3588" width="12.85546875" style="814" bestFit="1" customWidth="1"/>
    <col min="3589" max="3589" width="10" style="814" customWidth="1"/>
    <col min="3590" max="3842" width="9.140625" style="814"/>
    <col min="3843" max="3843" width="18.28515625" style="814" bestFit="1" customWidth="1"/>
    <col min="3844" max="3844" width="12.85546875" style="814" bestFit="1" customWidth="1"/>
    <col min="3845" max="3845" width="10" style="814" customWidth="1"/>
    <col min="3846" max="4098" width="9.140625" style="814"/>
    <col min="4099" max="4099" width="18.28515625" style="814" bestFit="1" customWidth="1"/>
    <col min="4100" max="4100" width="12.85546875" style="814" bestFit="1" customWidth="1"/>
    <col min="4101" max="4101" width="10" style="814" customWidth="1"/>
    <col min="4102" max="4354" width="9.140625" style="814"/>
    <col min="4355" max="4355" width="18.28515625" style="814" bestFit="1" customWidth="1"/>
    <col min="4356" max="4356" width="12.85546875" style="814" bestFit="1" customWidth="1"/>
    <col min="4357" max="4357" width="10" style="814" customWidth="1"/>
    <col min="4358" max="4610" width="9.140625" style="814"/>
    <col min="4611" max="4611" width="18.28515625" style="814" bestFit="1" customWidth="1"/>
    <col min="4612" max="4612" width="12.85546875" style="814" bestFit="1" customWidth="1"/>
    <col min="4613" max="4613" width="10" style="814" customWidth="1"/>
    <col min="4614" max="4866" width="9.140625" style="814"/>
    <col min="4867" max="4867" width="18.28515625" style="814" bestFit="1" customWidth="1"/>
    <col min="4868" max="4868" width="12.85546875" style="814" bestFit="1" customWidth="1"/>
    <col min="4869" max="4869" width="10" style="814" customWidth="1"/>
    <col min="4870" max="5122" width="9.140625" style="814"/>
    <col min="5123" max="5123" width="18.28515625" style="814" bestFit="1" customWidth="1"/>
    <col min="5124" max="5124" width="12.85546875" style="814" bestFit="1" customWidth="1"/>
    <col min="5125" max="5125" width="10" style="814" customWidth="1"/>
    <col min="5126" max="5378" width="9.140625" style="814"/>
    <col min="5379" max="5379" width="18.28515625" style="814" bestFit="1" customWidth="1"/>
    <col min="5380" max="5380" width="12.85546875" style="814" bestFit="1" customWidth="1"/>
    <col min="5381" max="5381" width="10" style="814" customWidth="1"/>
    <col min="5382" max="5634" width="9.140625" style="814"/>
    <col min="5635" max="5635" width="18.28515625" style="814" bestFit="1" customWidth="1"/>
    <col min="5636" max="5636" width="12.85546875" style="814" bestFit="1" customWidth="1"/>
    <col min="5637" max="5637" width="10" style="814" customWidth="1"/>
    <col min="5638" max="5890" width="9.140625" style="814"/>
    <col min="5891" max="5891" width="18.28515625" style="814" bestFit="1" customWidth="1"/>
    <col min="5892" max="5892" width="12.85546875" style="814" bestFit="1" customWidth="1"/>
    <col min="5893" max="5893" width="10" style="814" customWidth="1"/>
    <col min="5894" max="6146" width="9.140625" style="814"/>
    <col min="6147" max="6147" width="18.28515625" style="814" bestFit="1" customWidth="1"/>
    <col min="6148" max="6148" width="12.85546875" style="814" bestFit="1" customWidth="1"/>
    <col min="6149" max="6149" width="10" style="814" customWidth="1"/>
    <col min="6150" max="6402" width="9.140625" style="814"/>
    <col min="6403" max="6403" width="18.28515625" style="814" bestFit="1" customWidth="1"/>
    <col min="6404" max="6404" width="12.85546875" style="814" bestFit="1" customWidth="1"/>
    <col min="6405" max="6405" width="10" style="814" customWidth="1"/>
    <col min="6406" max="6658" width="9.140625" style="814"/>
    <col min="6659" max="6659" width="18.28515625" style="814" bestFit="1" customWidth="1"/>
    <col min="6660" max="6660" width="12.85546875" style="814" bestFit="1" customWidth="1"/>
    <col min="6661" max="6661" width="10" style="814" customWidth="1"/>
    <col min="6662" max="6914" width="9.140625" style="814"/>
    <col min="6915" max="6915" width="18.28515625" style="814" bestFit="1" customWidth="1"/>
    <col min="6916" max="6916" width="12.85546875" style="814" bestFit="1" customWidth="1"/>
    <col min="6917" max="6917" width="10" style="814" customWidth="1"/>
    <col min="6918" max="7170" width="9.140625" style="814"/>
    <col min="7171" max="7171" width="18.28515625" style="814" bestFit="1" customWidth="1"/>
    <col min="7172" max="7172" width="12.85546875" style="814" bestFit="1" customWidth="1"/>
    <col min="7173" max="7173" width="10" style="814" customWidth="1"/>
    <col min="7174" max="7426" width="9.140625" style="814"/>
    <col min="7427" max="7427" width="18.28515625" style="814" bestFit="1" customWidth="1"/>
    <col min="7428" max="7428" width="12.85546875" style="814" bestFit="1" customWidth="1"/>
    <col min="7429" max="7429" width="10" style="814" customWidth="1"/>
    <col min="7430" max="7682" width="9.140625" style="814"/>
    <col min="7683" max="7683" width="18.28515625" style="814" bestFit="1" customWidth="1"/>
    <col min="7684" max="7684" width="12.85546875" style="814" bestFit="1" customWidth="1"/>
    <col min="7685" max="7685" width="10" style="814" customWidth="1"/>
    <col min="7686" max="7938" width="9.140625" style="814"/>
    <col min="7939" max="7939" width="18.28515625" style="814" bestFit="1" customWidth="1"/>
    <col min="7940" max="7940" width="12.85546875" style="814" bestFit="1" customWidth="1"/>
    <col min="7941" max="7941" width="10" style="814" customWidth="1"/>
    <col min="7942" max="8194" width="9.140625" style="814"/>
    <col min="8195" max="8195" width="18.28515625" style="814" bestFit="1" customWidth="1"/>
    <col min="8196" max="8196" width="12.85546875" style="814" bestFit="1" customWidth="1"/>
    <col min="8197" max="8197" width="10" style="814" customWidth="1"/>
    <col min="8198" max="8450" width="9.140625" style="814"/>
    <col min="8451" max="8451" width="18.28515625" style="814" bestFit="1" customWidth="1"/>
    <col min="8452" max="8452" width="12.85546875" style="814" bestFit="1" customWidth="1"/>
    <col min="8453" max="8453" width="10" style="814" customWidth="1"/>
    <col min="8454" max="8706" width="9.140625" style="814"/>
    <col min="8707" max="8707" width="18.28515625" style="814" bestFit="1" customWidth="1"/>
    <col min="8708" max="8708" width="12.85546875" style="814" bestFit="1" customWidth="1"/>
    <col min="8709" max="8709" width="10" style="814" customWidth="1"/>
    <col min="8710" max="8962" width="9.140625" style="814"/>
    <col min="8963" max="8963" width="18.28515625" style="814" bestFit="1" customWidth="1"/>
    <col min="8964" max="8964" width="12.85546875" style="814" bestFit="1" customWidth="1"/>
    <col min="8965" max="8965" width="10" style="814" customWidth="1"/>
    <col min="8966" max="9218" width="9.140625" style="814"/>
    <col min="9219" max="9219" width="18.28515625" style="814" bestFit="1" customWidth="1"/>
    <col min="9220" max="9220" width="12.85546875" style="814" bestFit="1" customWidth="1"/>
    <col min="9221" max="9221" width="10" style="814" customWidth="1"/>
    <col min="9222" max="9474" width="9.140625" style="814"/>
    <col min="9475" max="9475" width="18.28515625" style="814" bestFit="1" customWidth="1"/>
    <col min="9476" max="9476" width="12.85546875" style="814" bestFit="1" customWidth="1"/>
    <col min="9477" max="9477" width="10" style="814" customWidth="1"/>
    <col min="9478" max="9730" width="9.140625" style="814"/>
    <col min="9731" max="9731" width="18.28515625" style="814" bestFit="1" customWidth="1"/>
    <col min="9732" max="9732" width="12.85546875" style="814" bestFit="1" customWidth="1"/>
    <col min="9733" max="9733" width="10" style="814" customWidth="1"/>
    <col min="9734" max="9986" width="9.140625" style="814"/>
    <col min="9987" max="9987" width="18.28515625" style="814" bestFit="1" customWidth="1"/>
    <col min="9988" max="9988" width="12.85546875" style="814" bestFit="1" customWidth="1"/>
    <col min="9989" max="9989" width="10" style="814" customWidth="1"/>
    <col min="9990" max="10242" width="9.140625" style="814"/>
    <col min="10243" max="10243" width="18.28515625" style="814" bestFit="1" customWidth="1"/>
    <col min="10244" max="10244" width="12.85546875" style="814" bestFit="1" customWidth="1"/>
    <col min="10245" max="10245" width="10" style="814" customWidth="1"/>
    <col min="10246" max="10498" width="9.140625" style="814"/>
    <col min="10499" max="10499" width="18.28515625" style="814" bestFit="1" customWidth="1"/>
    <col min="10500" max="10500" width="12.85546875" style="814" bestFit="1" customWidth="1"/>
    <col min="10501" max="10501" width="10" style="814" customWidth="1"/>
    <col min="10502" max="10754" width="9.140625" style="814"/>
    <col min="10755" max="10755" width="18.28515625" style="814" bestFit="1" customWidth="1"/>
    <col min="10756" max="10756" width="12.85546875" style="814" bestFit="1" customWidth="1"/>
    <col min="10757" max="10757" width="10" style="814" customWidth="1"/>
    <col min="10758" max="11010" width="9.140625" style="814"/>
    <col min="11011" max="11011" width="18.28515625" style="814" bestFit="1" customWidth="1"/>
    <col min="11012" max="11012" width="12.85546875" style="814" bestFit="1" customWidth="1"/>
    <col min="11013" max="11013" width="10" style="814" customWidth="1"/>
    <col min="11014" max="11266" width="9.140625" style="814"/>
    <col min="11267" max="11267" width="18.28515625" style="814" bestFit="1" customWidth="1"/>
    <col min="11268" max="11268" width="12.85546875" style="814" bestFit="1" customWidth="1"/>
    <col min="11269" max="11269" width="10" style="814" customWidth="1"/>
    <col min="11270" max="11522" width="9.140625" style="814"/>
    <col min="11523" max="11523" width="18.28515625" style="814" bestFit="1" customWidth="1"/>
    <col min="11524" max="11524" width="12.85546875" style="814" bestFit="1" customWidth="1"/>
    <col min="11525" max="11525" width="10" style="814" customWidth="1"/>
    <col min="11526" max="11778" width="9.140625" style="814"/>
    <col min="11779" max="11779" width="18.28515625" style="814" bestFit="1" customWidth="1"/>
    <col min="11780" max="11780" width="12.85546875" style="814" bestFit="1" customWidth="1"/>
    <col min="11781" max="11781" width="10" style="814" customWidth="1"/>
    <col min="11782" max="12034" width="9.140625" style="814"/>
    <col min="12035" max="12035" width="18.28515625" style="814" bestFit="1" customWidth="1"/>
    <col min="12036" max="12036" width="12.85546875" style="814" bestFit="1" customWidth="1"/>
    <col min="12037" max="12037" width="10" style="814" customWidth="1"/>
    <col min="12038" max="12290" width="9.140625" style="814"/>
    <col min="12291" max="12291" width="18.28515625" style="814" bestFit="1" customWidth="1"/>
    <col min="12292" max="12292" width="12.85546875" style="814" bestFit="1" customWidth="1"/>
    <col min="12293" max="12293" width="10" style="814" customWidth="1"/>
    <col min="12294" max="12546" width="9.140625" style="814"/>
    <col min="12547" max="12547" width="18.28515625" style="814" bestFit="1" customWidth="1"/>
    <col min="12548" max="12548" width="12.85546875" style="814" bestFit="1" customWidth="1"/>
    <col min="12549" max="12549" width="10" style="814" customWidth="1"/>
    <col min="12550" max="12802" width="9.140625" style="814"/>
    <col min="12803" max="12803" width="18.28515625" style="814" bestFit="1" customWidth="1"/>
    <col min="12804" max="12804" width="12.85546875" style="814" bestFit="1" customWidth="1"/>
    <col min="12805" max="12805" width="10" style="814" customWidth="1"/>
    <col min="12806" max="13058" width="9.140625" style="814"/>
    <col min="13059" max="13059" width="18.28515625" style="814" bestFit="1" customWidth="1"/>
    <col min="13060" max="13060" width="12.85546875" style="814" bestFit="1" customWidth="1"/>
    <col min="13061" max="13061" width="10" style="814" customWidth="1"/>
    <col min="13062" max="13314" width="9.140625" style="814"/>
    <col min="13315" max="13315" width="18.28515625" style="814" bestFit="1" customWidth="1"/>
    <col min="13316" max="13316" width="12.85546875" style="814" bestFit="1" customWidth="1"/>
    <col min="13317" max="13317" width="10" style="814" customWidth="1"/>
    <col min="13318" max="13570" width="9.140625" style="814"/>
    <col min="13571" max="13571" width="18.28515625" style="814" bestFit="1" customWidth="1"/>
    <col min="13572" max="13572" width="12.85546875" style="814" bestFit="1" customWidth="1"/>
    <col min="13573" max="13573" width="10" style="814" customWidth="1"/>
    <col min="13574" max="13826" width="9.140625" style="814"/>
    <col min="13827" max="13827" width="18.28515625" style="814" bestFit="1" customWidth="1"/>
    <col min="13828" max="13828" width="12.85546875" style="814" bestFit="1" customWidth="1"/>
    <col min="13829" max="13829" width="10" style="814" customWidth="1"/>
    <col min="13830" max="14082" width="9.140625" style="814"/>
    <col min="14083" max="14083" width="18.28515625" style="814" bestFit="1" customWidth="1"/>
    <col min="14084" max="14084" width="12.85546875" style="814" bestFit="1" customWidth="1"/>
    <col min="14085" max="14085" width="10" style="814" customWidth="1"/>
    <col min="14086" max="14338" width="9.140625" style="814"/>
    <col min="14339" max="14339" width="18.28515625" style="814" bestFit="1" customWidth="1"/>
    <col min="14340" max="14340" width="12.85546875" style="814" bestFit="1" customWidth="1"/>
    <col min="14341" max="14341" width="10" style="814" customWidth="1"/>
    <col min="14342" max="14594" width="9.140625" style="814"/>
    <col min="14595" max="14595" width="18.28515625" style="814" bestFit="1" customWidth="1"/>
    <col min="14596" max="14596" width="12.85546875" style="814" bestFit="1" customWidth="1"/>
    <col min="14597" max="14597" width="10" style="814" customWidth="1"/>
    <col min="14598" max="14850" width="9.140625" style="814"/>
    <col min="14851" max="14851" width="18.28515625" style="814" bestFit="1" customWidth="1"/>
    <col min="14852" max="14852" width="12.85546875" style="814" bestFit="1" customWidth="1"/>
    <col min="14853" max="14853" width="10" style="814" customWidth="1"/>
    <col min="14854" max="15106" width="9.140625" style="814"/>
    <col min="15107" max="15107" width="18.28515625" style="814" bestFit="1" customWidth="1"/>
    <col min="15108" max="15108" width="12.85546875" style="814" bestFit="1" customWidth="1"/>
    <col min="15109" max="15109" width="10" style="814" customWidth="1"/>
    <col min="15110" max="15362" width="9.140625" style="814"/>
    <col min="15363" max="15363" width="18.28515625" style="814" bestFit="1" customWidth="1"/>
    <col min="15364" max="15364" width="12.85546875" style="814" bestFit="1" customWidth="1"/>
    <col min="15365" max="15365" width="10" style="814" customWidth="1"/>
    <col min="15366" max="15618" width="9.140625" style="814"/>
    <col min="15619" max="15619" width="18.28515625" style="814" bestFit="1" customWidth="1"/>
    <col min="15620" max="15620" width="12.85546875" style="814" bestFit="1" customWidth="1"/>
    <col min="15621" max="15621" width="10" style="814" customWidth="1"/>
    <col min="15622" max="15874" width="9.140625" style="814"/>
    <col min="15875" max="15875" width="18.28515625" style="814" bestFit="1" customWidth="1"/>
    <col min="15876" max="15876" width="12.85546875" style="814" bestFit="1" customWidth="1"/>
    <col min="15877" max="15877" width="10" style="814" customWidth="1"/>
    <col min="15878" max="16130" width="9.140625" style="814"/>
    <col min="16131" max="16131" width="18.28515625" style="814" bestFit="1" customWidth="1"/>
    <col min="16132" max="16132" width="12.85546875" style="814" bestFit="1" customWidth="1"/>
    <col min="16133" max="16133" width="10" style="814" customWidth="1"/>
    <col min="16134" max="16384" width="9.140625" style="814"/>
  </cols>
  <sheetData>
    <row r="1" spans="1:7">
      <c r="A1" s="813" t="s">
        <v>365</v>
      </c>
    </row>
    <row r="2" spans="1:7">
      <c r="A2" s="814" t="s">
        <v>371</v>
      </c>
      <c r="B2" s="814" t="s">
        <v>155</v>
      </c>
      <c r="C2" s="814" t="s">
        <v>267</v>
      </c>
      <c r="D2" s="814" t="s">
        <v>156</v>
      </c>
      <c r="E2" s="814" t="s">
        <v>370</v>
      </c>
    </row>
    <row r="3" spans="1:7" ht="15">
      <c r="A3" s="815" t="s">
        <v>366</v>
      </c>
      <c r="B3" s="779">
        <v>1306</v>
      </c>
      <c r="C3" s="817">
        <f>SUM(B3/$B$7*100)</f>
        <v>13.137511316768938</v>
      </c>
      <c r="D3" s="839"/>
      <c r="E3" s="817" t="e">
        <f>SUM(D3/$D$7*100)</f>
        <v>#DIV/0!</v>
      </c>
    </row>
    <row r="4" spans="1:7" ht="15">
      <c r="A4" s="815" t="s">
        <v>367</v>
      </c>
      <c r="B4" s="779">
        <v>1923</v>
      </c>
      <c r="C4" s="817">
        <f t="shared" ref="C4:C6" si="0">SUM(B4/$B$7*100)</f>
        <v>19.344130369178149</v>
      </c>
      <c r="D4" s="839"/>
      <c r="E4" s="817" t="e">
        <f t="shared" ref="E4:E6" si="1">SUM(D4/$D$7*100)</f>
        <v>#DIV/0!</v>
      </c>
    </row>
    <row r="5" spans="1:7" ht="15">
      <c r="A5" s="815" t="s">
        <v>368</v>
      </c>
      <c r="B5" s="779">
        <v>3946</v>
      </c>
      <c r="C5" s="817">
        <f t="shared" si="0"/>
        <v>39.694195754954229</v>
      </c>
      <c r="D5" s="839"/>
      <c r="E5" s="817" t="e">
        <f t="shared" si="1"/>
        <v>#DIV/0!</v>
      </c>
    </row>
    <row r="6" spans="1:7" ht="15">
      <c r="A6" s="815" t="s">
        <v>369</v>
      </c>
      <c r="B6" s="779">
        <v>2766</v>
      </c>
      <c r="C6" s="817">
        <f t="shared" si="0"/>
        <v>27.824162559098681</v>
      </c>
      <c r="D6" s="839"/>
      <c r="E6" s="817" t="e">
        <f t="shared" si="1"/>
        <v>#DIV/0!</v>
      </c>
    </row>
    <row r="7" spans="1:7">
      <c r="B7" s="814">
        <f>SUM(B3:B6)</f>
        <v>9941</v>
      </c>
      <c r="C7" s="838"/>
      <c r="D7" s="814">
        <f>SUM(D3:D6)</f>
        <v>0</v>
      </c>
      <c r="F7" s="838"/>
      <c r="G7" s="838"/>
    </row>
    <row r="9" spans="1:7">
      <c r="B9" s="814" t="s">
        <v>411</v>
      </c>
      <c r="C9" s="814" t="s">
        <v>267</v>
      </c>
      <c r="D9" s="814" t="s">
        <v>422</v>
      </c>
    </row>
    <row r="10" spans="1:7" ht="15">
      <c r="A10" s="815" t="s">
        <v>366</v>
      </c>
      <c r="B10" s="1166">
        <v>1306</v>
      </c>
      <c r="C10" s="995">
        <f>SUM(B10/$B$14*100)</f>
        <v>13.137511316768938</v>
      </c>
      <c r="D10" s="818">
        <v>0.13100000000000001</v>
      </c>
    </row>
    <row r="11" spans="1:7" ht="15">
      <c r="A11" s="815" t="s">
        <v>367</v>
      </c>
      <c r="B11" s="1166">
        <v>1923</v>
      </c>
      <c r="C11" s="995">
        <f>SUM(B11/$B$14*100)</f>
        <v>19.344130369178149</v>
      </c>
      <c r="D11" s="818">
        <v>0.193</v>
      </c>
    </row>
    <row r="12" spans="1:7" ht="15">
      <c r="A12" s="815" t="s">
        <v>368</v>
      </c>
      <c r="B12" s="1166">
        <v>3946</v>
      </c>
      <c r="C12" s="995">
        <f>SUM(B12/$B$14*100)</f>
        <v>39.694195754954229</v>
      </c>
      <c r="D12" s="818">
        <v>0.39700000000000002</v>
      </c>
    </row>
    <row r="13" spans="1:7" ht="15">
      <c r="A13" s="815" t="s">
        <v>369</v>
      </c>
      <c r="B13" s="1166">
        <v>2766</v>
      </c>
      <c r="C13" s="995">
        <f>SUM(B13/$B$14*100)</f>
        <v>27.824162559098681</v>
      </c>
      <c r="D13" s="818">
        <v>0.27800000000000002</v>
      </c>
    </row>
    <row r="14" spans="1:7">
      <c r="B14" s="814">
        <f>SUM(B10:B13)</f>
        <v>9941</v>
      </c>
      <c r="C14" s="814">
        <f>SUM(B14/$B$14*100)</f>
        <v>100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390E-E3C3-4543-B94A-F7851C3F008A}">
  <sheetPr filterMode="1">
    <pageSetUpPr fitToPage="1"/>
  </sheetPr>
  <dimension ref="A1:R359"/>
  <sheetViews>
    <sheetView topLeftCell="K1" workbookViewId="0">
      <selection activeCell="P324" sqref="P324:P359"/>
    </sheetView>
  </sheetViews>
  <sheetFormatPr defaultRowHeight="15"/>
  <cols>
    <col min="1" max="1" width="13" style="1207" customWidth="1"/>
    <col min="2" max="2" width="6" style="1207" customWidth="1"/>
    <col min="3" max="3" width="17" style="1207" customWidth="1"/>
    <col min="4" max="4" width="12" style="1207" customWidth="1"/>
    <col min="5" max="5" width="50" style="1207" customWidth="1"/>
    <col min="6" max="6" width="22" style="1207" customWidth="1"/>
    <col min="7" max="7" width="18" style="1207" customWidth="1"/>
    <col min="8" max="8" width="17" style="1207" customWidth="1"/>
    <col min="9" max="10" width="18" style="1207" customWidth="1"/>
    <col min="11" max="11" width="16" style="1207" customWidth="1"/>
    <col min="12" max="12" width="22" style="1207" customWidth="1"/>
    <col min="13" max="15" width="16" style="1207" customWidth="1"/>
    <col min="16" max="16" width="18" style="1207" customWidth="1"/>
    <col min="17" max="17" width="13" style="1207" customWidth="1"/>
    <col min="18" max="18" width="11" style="1207" customWidth="1"/>
    <col min="19" max="16384" width="9.140625" style="1207"/>
  </cols>
  <sheetData>
    <row r="1" spans="1:18" ht="21.95" customHeight="1">
      <c r="A1" s="1206" t="s">
        <v>425</v>
      </c>
      <c r="B1" s="1206" t="s">
        <v>75</v>
      </c>
      <c r="C1" s="1206" t="s">
        <v>426</v>
      </c>
      <c r="D1" s="1206" t="s">
        <v>427</v>
      </c>
      <c r="E1" s="1206" t="s">
        <v>428</v>
      </c>
      <c r="F1" s="1206" t="s">
        <v>429</v>
      </c>
      <c r="G1" s="1206" t="s">
        <v>472</v>
      </c>
      <c r="H1" s="1206" t="s">
        <v>430</v>
      </c>
      <c r="I1" s="1206" t="s">
        <v>431</v>
      </c>
      <c r="J1" s="1206" t="s">
        <v>432</v>
      </c>
      <c r="K1" s="1206" t="s">
        <v>473</v>
      </c>
      <c r="L1" s="1206" t="s">
        <v>433</v>
      </c>
      <c r="M1" s="1206" t="s">
        <v>434</v>
      </c>
      <c r="N1" s="1206" t="s">
        <v>435</v>
      </c>
      <c r="O1" s="1206" t="s">
        <v>436</v>
      </c>
      <c r="P1" s="1206" t="s">
        <v>474</v>
      </c>
      <c r="Q1" s="1206" t="s">
        <v>475</v>
      </c>
      <c r="R1" s="1206" t="s">
        <v>437</v>
      </c>
    </row>
    <row r="2" spans="1:18" hidden="1">
      <c r="A2" s="1208" t="s">
        <v>476</v>
      </c>
      <c r="B2" s="1208" t="s">
        <v>477</v>
      </c>
      <c r="C2" s="1208" t="s">
        <v>604</v>
      </c>
      <c r="D2" s="1208" t="s">
        <v>478</v>
      </c>
      <c r="E2" s="1208" t="s">
        <v>479</v>
      </c>
      <c r="F2" s="1208" t="s">
        <v>480</v>
      </c>
      <c r="G2" s="1208" t="s">
        <v>447</v>
      </c>
      <c r="H2" s="1208" t="s">
        <v>481</v>
      </c>
      <c r="I2" s="1209" t="s">
        <v>605</v>
      </c>
      <c r="J2" s="1208" t="s">
        <v>445</v>
      </c>
      <c r="K2" s="1208" t="s">
        <v>484</v>
      </c>
      <c r="L2" s="1208" t="s">
        <v>453</v>
      </c>
      <c r="M2" s="1208" t="s">
        <v>452</v>
      </c>
      <c r="N2" s="1208" t="s">
        <v>605</v>
      </c>
      <c r="O2" s="1210" t="s">
        <v>606</v>
      </c>
      <c r="P2" s="1210">
        <v>136</v>
      </c>
      <c r="Q2" s="1210">
        <v>7</v>
      </c>
      <c r="R2" s="1208" t="s">
        <v>442</v>
      </c>
    </row>
    <row r="3" spans="1:18" hidden="1">
      <c r="A3" s="1211" t="s">
        <v>476</v>
      </c>
      <c r="B3" s="1211" t="s">
        <v>477</v>
      </c>
      <c r="C3" s="1211" t="s">
        <v>607</v>
      </c>
      <c r="D3" s="1211" t="s">
        <v>478</v>
      </c>
      <c r="E3" s="1211" t="s">
        <v>479</v>
      </c>
      <c r="F3" s="1211" t="s">
        <v>480</v>
      </c>
      <c r="G3" s="1211" t="s">
        <v>447</v>
      </c>
      <c r="H3" s="1211" t="s">
        <v>481</v>
      </c>
      <c r="I3" s="1212" t="s">
        <v>605</v>
      </c>
      <c r="J3" s="1211" t="s">
        <v>440</v>
      </c>
      <c r="K3" s="1211" t="s">
        <v>484</v>
      </c>
      <c r="L3" s="1211" t="s">
        <v>452</v>
      </c>
      <c r="M3" s="1211" t="s">
        <v>453</v>
      </c>
      <c r="N3" s="1211" t="s">
        <v>605</v>
      </c>
      <c r="O3" s="1213" t="s">
        <v>608</v>
      </c>
      <c r="P3" s="1213">
        <v>87</v>
      </c>
      <c r="Q3" s="1213">
        <v>7</v>
      </c>
      <c r="R3" s="1211" t="s">
        <v>442</v>
      </c>
    </row>
    <row r="4" spans="1:18" hidden="1">
      <c r="A4" s="1208" t="s">
        <v>476</v>
      </c>
      <c r="B4" s="1208" t="s">
        <v>477</v>
      </c>
      <c r="C4" s="1208" t="s">
        <v>609</v>
      </c>
      <c r="D4" s="1208" t="s">
        <v>478</v>
      </c>
      <c r="E4" s="1208" t="s">
        <v>479</v>
      </c>
      <c r="F4" s="1208" t="s">
        <v>480</v>
      </c>
      <c r="G4" s="1208" t="s">
        <v>447</v>
      </c>
      <c r="H4" s="1208" t="s">
        <v>481</v>
      </c>
      <c r="I4" s="1209" t="s">
        <v>610</v>
      </c>
      <c r="J4" s="1208" t="s">
        <v>445</v>
      </c>
      <c r="K4" s="1208" t="s">
        <v>484</v>
      </c>
      <c r="L4" s="1208" t="s">
        <v>453</v>
      </c>
      <c r="M4" s="1208" t="s">
        <v>452</v>
      </c>
      <c r="N4" s="1208" t="s">
        <v>610</v>
      </c>
      <c r="O4" s="1210" t="s">
        <v>611</v>
      </c>
      <c r="P4" s="1210">
        <v>112</v>
      </c>
      <c r="Q4" s="1210">
        <v>7</v>
      </c>
      <c r="R4" s="1208" t="s">
        <v>442</v>
      </c>
    </row>
    <row r="5" spans="1:18" hidden="1">
      <c r="A5" s="1211" t="s">
        <v>476</v>
      </c>
      <c r="B5" s="1211" t="s">
        <v>477</v>
      </c>
      <c r="C5" s="1211" t="s">
        <v>612</v>
      </c>
      <c r="D5" s="1211" t="s">
        <v>478</v>
      </c>
      <c r="E5" s="1211" t="s">
        <v>479</v>
      </c>
      <c r="F5" s="1211" t="s">
        <v>480</v>
      </c>
      <c r="G5" s="1211" t="s">
        <v>447</v>
      </c>
      <c r="H5" s="1211" t="s">
        <v>481</v>
      </c>
      <c r="I5" s="1212" t="s">
        <v>610</v>
      </c>
      <c r="J5" s="1211" t="s">
        <v>440</v>
      </c>
      <c r="K5" s="1211" t="s">
        <v>484</v>
      </c>
      <c r="L5" s="1211" t="s">
        <v>452</v>
      </c>
      <c r="M5" s="1211" t="s">
        <v>453</v>
      </c>
      <c r="N5" s="1211" t="s">
        <v>610</v>
      </c>
      <c r="O5" s="1213" t="s">
        <v>526</v>
      </c>
      <c r="P5" s="1213">
        <v>21</v>
      </c>
      <c r="Q5" s="1213">
        <v>7</v>
      </c>
      <c r="R5" s="1211" t="s">
        <v>442</v>
      </c>
    </row>
    <row r="6" spans="1:18" hidden="1">
      <c r="A6" s="1208" t="s">
        <v>476</v>
      </c>
      <c r="B6" s="1208" t="s">
        <v>477</v>
      </c>
      <c r="C6" s="1208" t="s">
        <v>613</v>
      </c>
      <c r="D6" s="1208" t="s">
        <v>478</v>
      </c>
      <c r="E6" s="1208" t="s">
        <v>479</v>
      </c>
      <c r="F6" s="1208" t="s">
        <v>480</v>
      </c>
      <c r="G6" s="1208" t="s">
        <v>447</v>
      </c>
      <c r="H6" s="1208" t="s">
        <v>481</v>
      </c>
      <c r="I6" s="1209" t="s">
        <v>614</v>
      </c>
      <c r="J6" s="1208" t="s">
        <v>445</v>
      </c>
      <c r="K6" s="1208" t="s">
        <v>484</v>
      </c>
      <c r="L6" s="1208" t="s">
        <v>453</v>
      </c>
      <c r="M6" s="1208" t="s">
        <v>452</v>
      </c>
      <c r="N6" s="1208" t="s">
        <v>614</v>
      </c>
      <c r="O6" s="1210" t="s">
        <v>615</v>
      </c>
      <c r="P6" s="1210">
        <v>123</v>
      </c>
      <c r="Q6" s="1210">
        <v>6</v>
      </c>
      <c r="R6" s="1208" t="s">
        <v>442</v>
      </c>
    </row>
    <row r="7" spans="1:18" hidden="1">
      <c r="A7" s="1211" t="s">
        <v>476</v>
      </c>
      <c r="B7" s="1211" t="s">
        <v>477</v>
      </c>
      <c r="C7" s="1211" t="s">
        <v>616</v>
      </c>
      <c r="D7" s="1211" t="s">
        <v>478</v>
      </c>
      <c r="E7" s="1211" t="s">
        <v>479</v>
      </c>
      <c r="F7" s="1211" t="s">
        <v>480</v>
      </c>
      <c r="G7" s="1211" t="s">
        <v>447</v>
      </c>
      <c r="H7" s="1211" t="s">
        <v>481</v>
      </c>
      <c r="I7" s="1212" t="s">
        <v>614</v>
      </c>
      <c r="J7" s="1211" t="s">
        <v>440</v>
      </c>
      <c r="K7" s="1211" t="s">
        <v>484</v>
      </c>
      <c r="L7" s="1211" t="s">
        <v>452</v>
      </c>
      <c r="M7" s="1211" t="s">
        <v>453</v>
      </c>
      <c r="N7" s="1211" t="s">
        <v>614</v>
      </c>
      <c r="O7" s="1213" t="s">
        <v>485</v>
      </c>
      <c r="P7" s="1213">
        <v>112</v>
      </c>
      <c r="Q7" s="1213">
        <v>0</v>
      </c>
      <c r="R7" s="1211" t="s">
        <v>442</v>
      </c>
    </row>
    <row r="8" spans="1:18" hidden="1">
      <c r="A8" s="1208" t="s">
        <v>476</v>
      </c>
      <c r="B8" s="1208" t="s">
        <v>477</v>
      </c>
      <c r="C8" s="1208" t="s">
        <v>617</v>
      </c>
      <c r="D8" s="1208" t="s">
        <v>478</v>
      </c>
      <c r="E8" s="1208" t="s">
        <v>479</v>
      </c>
      <c r="F8" s="1208" t="s">
        <v>480</v>
      </c>
      <c r="G8" s="1208" t="s">
        <v>447</v>
      </c>
      <c r="H8" s="1208" t="s">
        <v>481</v>
      </c>
      <c r="I8" s="1209" t="s">
        <v>618</v>
      </c>
      <c r="J8" s="1208" t="s">
        <v>445</v>
      </c>
      <c r="K8" s="1208" t="s">
        <v>482</v>
      </c>
      <c r="L8" s="1208" t="s">
        <v>453</v>
      </c>
      <c r="M8" s="1208" t="s">
        <v>452</v>
      </c>
      <c r="N8" s="1208" t="s">
        <v>618</v>
      </c>
      <c r="O8" s="1210" t="s">
        <v>506</v>
      </c>
      <c r="P8" s="1210">
        <v>85</v>
      </c>
      <c r="Q8" s="1210">
        <v>6</v>
      </c>
      <c r="R8" s="1208" t="s">
        <v>442</v>
      </c>
    </row>
    <row r="9" spans="1:18" hidden="1">
      <c r="A9" s="1211" t="s">
        <v>476</v>
      </c>
      <c r="B9" s="1211" t="s">
        <v>477</v>
      </c>
      <c r="C9" s="1211" t="s">
        <v>619</v>
      </c>
      <c r="D9" s="1211" t="s">
        <v>478</v>
      </c>
      <c r="E9" s="1211" t="s">
        <v>479</v>
      </c>
      <c r="F9" s="1211" t="s">
        <v>480</v>
      </c>
      <c r="G9" s="1211" t="s">
        <v>447</v>
      </c>
      <c r="H9" s="1211" t="s">
        <v>481</v>
      </c>
      <c r="I9" s="1212" t="s">
        <v>618</v>
      </c>
      <c r="J9" s="1211" t="s">
        <v>440</v>
      </c>
      <c r="K9" s="1211" t="s">
        <v>482</v>
      </c>
      <c r="L9" s="1211" t="s">
        <v>452</v>
      </c>
      <c r="M9" s="1211" t="s">
        <v>453</v>
      </c>
      <c r="N9" s="1211" t="s">
        <v>618</v>
      </c>
      <c r="O9" s="1213" t="s">
        <v>620</v>
      </c>
      <c r="P9" s="1213">
        <v>106</v>
      </c>
      <c r="Q9" s="1213">
        <v>6</v>
      </c>
      <c r="R9" s="1211" t="s">
        <v>442</v>
      </c>
    </row>
    <row r="10" spans="1:18" hidden="1">
      <c r="A10" s="1208" t="s">
        <v>476</v>
      </c>
      <c r="B10" s="1208" t="s">
        <v>477</v>
      </c>
      <c r="C10" s="1208" t="s">
        <v>621</v>
      </c>
      <c r="D10" s="1208" t="s">
        <v>478</v>
      </c>
      <c r="E10" s="1208" t="s">
        <v>479</v>
      </c>
      <c r="F10" s="1208" t="s">
        <v>480</v>
      </c>
      <c r="G10" s="1208" t="s">
        <v>447</v>
      </c>
      <c r="H10" s="1208" t="s">
        <v>481</v>
      </c>
      <c r="I10" s="1209" t="s">
        <v>622</v>
      </c>
      <c r="J10" s="1208" t="s">
        <v>445</v>
      </c>
      <c r="K10" s="1208" t="s">
        <v>484</v>
      </c>
      <c r="L10" s="1208" t="s">
        <v>453</v>
      </c>
      <c r="M10" s="1208" t="s">
        <v>124</v>
      </c>
      <c r="N10" s="1208" t="s">
        <v>622</v>
      </c>
      <c r="O10" s="1210" t="s">
        <v>623</v>
      </c>
      <c r="P10" s="1210">
        <v>79</v>
      </c>
      <c r="Q10" s="1210">
        <v>6</v>
      </c>
      <c r="R10" s="1208" t="s">
        <v>442</v>
      </c>
    </row>
    <row r="11" spans="1:18" hidden="1">
      <c r="A11" s="1211" t="s">
        <v>476</v>
      </c>
      <c r="B11" s="1211" t="s">
        <v>477</v>
      </c>
      <c r="C11" s="1211" t="s">
        <v>624</v>
      </c>
      <c r="D11" s="1211" t="s">
        <v>478</v>
      </c>
      <c r="E11" s="1211" t="s">
        <v>479</v>
      </c>
      <c r="F11" s="1211" t="s">
        <v>480</v>
      </c>
      <c r="G11" s="1211" t="s">
        <v>447</v>
      </c>
      <c r="H11" s="1211" t="s">
        <v>481</v>
      </c>
      <c r="I11" s="1212" t="s">
        <v>622</v>
      </c>
      <c r="J11" s="1211" t="s">
        <v>440</v>
      </c>
      <c r="K11" s="1211" t="s">
        <v>484</v>
      </c>
      <c r="L11" s="1211" t="s">
        <v>124</v>
      </c>
      <c r="M11" s="1211" t="s">
        <v>453</v>
      </c>
      <c r="N11" s="1211" t="s">
        <v>622</v>
      </c>
      <c r="O11" s="1213" t="s">
        <v>625</v>
      </c>
      <c r="P11" s="1213">
        <v>114</v>
      </c>
      <c r="Q11" s="1213">
        <v>6</v>
      </c>
      <c r="R11" s="1211" t="s">
        <v>442</v>
      </c>
    </row>
    <row r="12" spans="1:18" hidden="1">
      <c r="A12" s="1208" t="s">
        <v>476</v>
      </c>
      <c r="B12" s="1208" t="s">
        <v>477</v>
      </c>
      <c r="C12" s="1208" t="s">
        <v>626</v>
      </c>
      <c r="D12" s="1208" t="s">
        <v>478</v>
      </c>
      <c r="E12" s="1208" t="s">
        <v>479</v>
      </c>
      <c r="F12" s="1208" t="s">
        <v>480</v>
      </c>
      <c r="G12" s="1208" t="s">
        <v>447</v>
      </c>
      <c r="H12" s="1208" t="s">
        <v>481</v>
      </c>
      <c r="I12" s="1209" t="s">
        <v>627</v>
      </c>
      <c r="J12" s="1208" t="s">
        <v>445</v>
      </c>
      <c r="K12" s="1208" t="s">
        <v>484</v>
      </c>
      <c r="L12" s="1208" t="s">
        <v>453</v>
      </c>
      <c r="M12" s="1208" t="s">
        <v>124</v>
      </c>
      <c r="N12" s="1208" t="s">
        <v>627</v>
      </c>
      <c r="O12" s="1210" t="s">
        <v>611</v>
      </c>
      <c r="P12" s="1210">
        <v>62</v>
      </c>
      <c r="Q12" s="1210">
        <v>6</v>
      </c>
      <c r="R12" s="1208" t="s">
        <v>442</v>
      </c>
    </row>
    <row r="13" spans="1:18" hidden="1">
      <c r="A13" s="1211" t="s">
        <v>476</v>
      </c>
      <c r="B13" s="1211" t="s">
        <v>477</v>
      </c>
      <c r="C13" s="1211" t="s">
        <v>628</v>
      </c>
      <c r="D13" s="1211" t="s">
        <v>478</v>
      </c>
      <c r="E13" s="1211" t="s">
        <v>479</v>
      </c>
      <c r="F13" s="1211" t="s">
        <v>480</v>
      </c>
      <c r="G13" s="1211" t="s">
        <v>447</v>
      </c>
      <c r="H13" s="1211" t="s">
        <v>481</v>
      </c>
      <c r="I13" s="1212" t="s">
        <v>627</v>
      </c>
      <c r="J13" s="1211" t="s">
        <v>440</v>
      </c>
      <c r="K13" s="1211" t="s">
        <v>484</v>
      </c>
      <c r="L13" s="1211" t="s">
        <v>452</v>
      </c>
      <c r="M13" s="1211" t="s">
        <v>453</v>
      </c>
      <c r="N13" s="1211" t="s">
        <v>627</v>
      </c>
      <c r="O13" s="1213" t="s">
        <v>526</v>
      </c>
      <c r="P13" s="1213">
        <v>114</v>
      </c>
      <c r="Q13" s="1213">
        <v>6</v>
      </c>
      <c r="R13" s="1211" t="s">
        <v>442</v>
      </c>
    </row>
    <row r="14" spans="1:18" hidden="1">
      <c r="A14" s="1208" t="s">
        <v>476</v>
      </c>
      <c r="B14" s="1208" t="s">
        <v>477</v>
      </c>
      <c r="C14" s="1208" t="s">
        <v>629</v>
      </c>
      <c r="D14" s="1208" t="s">
        <v>478</v>
      </c>
      <c r="E14" s="1208" t="s">
        <v>479</v>
      </c>
      <c r="F14" s="1208" t="s">
        <v>480</v>
      </c>
      <c r="G14" s="1208" t="s">
        <v>447</v>
      </c>
      <c r="H14" s="1208" t="s">
        <v>481</v>
      </c>
      <c r="I14" s="1209" t="s">
        <v>630</v>
      </c>
      <c r="J14" s="1208" t="s">
        <v>445</v>
      </c>
      <c r="K14" s="1208" t="s">
        <v>484</v>
      </c>
      <c r="L14" s="1208" t="s">
        <v>453</v>
      </c>
      <c r="M14" s="1208" t="s">
        <v>452</v>
      </c>
      <c r="N14" s="1208" t="s">
        <v>630</v>
      </c>
      <c r="O14" s="1210" t="s">
        <v>623</v>
      </c>
      <c r="P14" s="1210">
        <v>79</v>
      </c>
      <c r="Q14" s="1210">
        <v>7</v>
      </c>
      <c r="R14" s="1208" t="s">
        <v>442</v>
      </c>
    </row>
    <row r="15" spans="1:18" hidden="1">
      <c r="A15" s="1211" t="s">
        <v>476</v>
      </c>
      <c r="B15" s="1211" t="s">
        <v>477</v>
      </c>
      <c r="C15" s="1211" t="s">
        <v>631</v>
      </c>
      <c r="D15" s="1211" t="s">
        <v>478</v>
      </c>
      <c r="E15" s="1211" t="s">
        <v>479</v>
      </c>
      <c r="F15" s="1211" t="s">
        <v>480</v>
      </c>
      <c r="G15" s="1211" t="s">
        <v>447</v>
      </c>
      <c r="H15" s="1211" t="s">
        <v>481</v>
      </c>
      <c r="I15" s="1212" t="s">
        <v>630</v>
      </c>
      <c r="J15" s="1211" t="s">
        <v>440</v>
      </c>
      <c r="K15" s="1211" t="s">
        <v>484</v>
      </c>
      <c r="L15" s="1211" t="s">
        <v>452</v>
      </c>
      <c r="M15" s="1211" t="s">
        <v>453</v>
      </c>
      <c r="N15" s="1211" t="s">
        <v>630</v>
      </c>
      <c r="O15" s="1213" t="s">
        <v>485</v>
      </c>
      <c r="P15" s="1213">
        <v>102</v>
      </c>
      <c r="Q15" s="1213">
        <v>7</v>
      </c>
      <c r="R15" s="1211" t="s">
        <v>442</v>
      </c>
    </row>
    <row r="16" spans="1:18" hidden="1">
      <c r="A16" s="1208" t="s">
        <v>476</v>
      </c>
      <c r="B16" s="1208" t="s">
        <v>477</v>
      </c>
      <c r="C16" s="1208" t="s">
        <v>632</v>
      </c>
      <c r="D16" s="1208" t="s">
        <v>478</v>
      </c>
      <c r="E16" s="1208" t="s">
        <v>479</v>
      </c>
      <c r="F16" s="1208" t="s">
        <v>480</v>
      </c>
      <c r="G16" s="1208" t="s">
        <v>447</v>
      </c>
      <c r="H16" s="1208" t="s">
        <v>481</v>
      </c>
      <c r="I16" s="1209" t="s">
        <v>633</v>
      </c>
      <c r="J16" s="1208" t="s">
        <v>445</v>
      </c>
      <c r="K16" s="1208" t="s">
        <v>484</v>
      </c>
      <c r="L16" s="1208" t="s">
        <v>453</v>
      </c>
      <c r="M16" s="1208" t="s">
        <v>452</v>
      </c>
      <c r="N16" s="1208" t="s">
        <v>633</v>
      </c>
      <c r="O16" s="1210" t="s">
        <v>611</v>
      </c>
      <c r="P16" s="1210">
        <v>58</v>
      </c>
      <c r="Q16" s="1210">
        <v>6</v>
      </c>
      <c r="R16" s="1208" t="s">
        <v>442</v>
      </c>
    </row>
    <row r="17" spans="1:18" hidden="1">
      <c r="A17" s="1211" t="s">
        <v>476</v>
      </c>
      <c r="B17" s="1211" t="s">
        <v>477</v>
      </c>
      <c r="C17" s="1211" t="s">
        <v>634</v>
      </c>
      <c r="D17" s="1211" t="s">
        <v>478</v>
      </c>
      <c r="E17" s="1211" t="s">
        <v>479</v>
      </c>
      <c r="F17" s="1211" t="s">
        <v>480</v>
      </c>
      <c r="G17" s="1211" t="s">
        <v>447</v>
      </c>
      <c r="H17" s="1211" t="s">
        <v>481</v>
      </c>
      <c r="I17" s="1212" t="s">
        <v>633</v>
      </c>
      <c r="J17" s="1211" t="s">
        <v>440</v>
      </c>
      <c r="K17" s="1211" t="s">
        <v>484</v>
      </c>
      <c r="L17" s="1211" t="s">
        <v>452</v>
      </c>
      <c r="M17" s="1211" t="s">
        <v>453</v>
      </c>
      <c r="N17" s="1211" t="s">
        <v>633</v>
      </c>
      <c r="O17" s="1213" t="s">
        <v>485</v>
      </c>
      <c r="P17" s="1213">
        <v>61</v>
      </c>
      <c r="Q17" s="1213">
        <v>6</v>
      </c>
      <c r="R17" s="1211" t="s">
        <v>442</v>
      </c>
    </row>
    <row r="18" spans="1:18" hidden="1">
      <c r="A18" s="1208" t="s">
        <v>476</v>
      </c>
      <c r="B18" s="1208" t="s">
        <v>477</v>
      </c>
      <c r="C18" s="1208" t="s">
        <v>635</v>
      </c>
      <c r="D18" s="1208" t="s">
        <v>500</v>
      </c>
      <c r="E18" s="1208" t="s">
        <v>501</v>
      </c>
      <c r="F18" s="1208" t="s">
        <v>636</v>
      </c>
      <c r="G18" s="1208" t="s">
        <v>637</v>
      </c>
      <c r="H18" s="1208" t="s">
        <v>530</v>
      </c>
      <c r="I18" s="1209" t="s">
        <v>638</v>
      </c>
      <c r="J18" s="1208" t="s">
        <v>445</v>
      </c>
      <c r="K18" s="1208" t="s">
        <v>639</v>
      </c>
      <c r="L18" s="1208" t="s">
        <v>640</v>
      </c>
      <c r="M18" s="1208" t="s">
        <v>452</v>
      </c>
      <c r="N18" s="1208" t="s">
        <v>638</v>
      </c>
      <c r="O18" s="1210" t="s">
        <v>641</v>
      </c>
      <c r="P18" s="1210">
        <v>6</v>
      </c>
      <c r="Q18" s="1210">
        <v>3</v>
      </c>
      <c r="R18" s="1208" t="s">
        <v>442</v>
      </c>
    </row>
    <row r="19" spans="1:18" hidden="1">
      <c r="A19" s="1211" t="s">
        <v>476</v>
      </c>
      <c r="B19" s="1211" t="s">
        <v>477</v>
      </c>
      <c r="C19" s="1211" t="s">
        <v>642</v>
      </c>
      <c r="D19" s="1211" t="s">
        <v>500</v>
      </c>
      <c r="E19" s="1211" t="s">
        <v>501</v>
      </c>
      <c r="F19" s="1211" t="s">
        <v>636</v>
      </c>
      <c r="G19" s="1211" t="s">
        <v>637</v>
      </c>
      <c r="H19" s="1211" t="s">
        <v>530</v>
      </c>
      <c r="I19" s="1212" t="s">
        <v>643</v>
      </c>
      <c r="J19" s="1211" t="s">
        <v>440</v>
      </c>
      <c r="K19" s="1211" t="s">
        <v>639</v>
      </c>
      <c r="L19" s="1211" t="s">
        <v>452</v>
      </c>
      <c r="M19" s="1211" t="s">
        <v>462</v>
      </c>
      <c r="N19" s="1211" t="s">
        <v>643</v>
      </c>
      <c r="O19" s="1213" t="s">
        <v>495</v>
      </c>
      <c r="P19" s="1213">
        <v>6</v>
      </c>
      <c r="Q19" s="1213">
        <v>3</v>
      </c>
      <c r="R19" s="1211" t="s">
        <v>442</v>
      </c>
    </row>
    <row r="20" spans="1:18" hidden="1">
      <c r="A20" s="1208" t="s">
        <v>476</v>
      </c>
      <c r="B20" s="1208" t="s">
        <v>477</v>
      </c>
      <c r="C20" s="1208" t="s">
        <v>644</v>
      </c>
      <c r="D20" s="1208" t="s">
        <v>478</v>
      </c>
      <c r="E20" s="1208" t="s">
        <v>479</v>
      </c>
      <c r="F20" s="1208" t="s">
        <v>480</v>
      </c>
      <c r="G20" s="1208" t="s">
        <v>447</v>
      </c>
      <c r="H20" s="1208" t="s">
        <v>481</v>
      </c>
      <c r="I20" s="1209" t="s">
        <v>645</v>
      </c>
      <c r="J20" s="1208" t="s">
        <v>445</v>
      </c>
      <c r="K20" s="1208" t="s">
        <v>484</v>
      </c>
      <c r="L20" s="1208" t="s">
        <v>453</v>
      </c>
      <c r="M20" s="1208" t="s">
        <v>452</v>
      </c>
      <c r="N20" s="1208" t="s">
        <v>645</v>
      </c>
      <c r="O20" s="1210" t="s">
        <v>646</v>
      </c>
      <c r="P20" s="1210">
        <v>62</v>
      </c>
      <c r="Q20" s="1210">
        <v>6</v>
      </c>
      <c r="R20" s="1208" t="s">
        <v>442</v>
      </c>
    </row>
    <row r="21" spans="1:18" hidden="1">
      <c r="A21" s="1211" t="s">
        <v>476</v>
      </c>
      <c r="B21" s="1211" t="s">
        <v>477</v>
      </c>
      <c r="C21" s="1211" t="s">
        <v>647</v>
      </c>
      <c r="D21" s="1211" t="s">
        <v>478</v>
      </c>
      <c r="E21" s="1211" t="s">
        <v>479</v>
      </c>
      <c r="F21" s="1211" t="s">
        <v>480</v>
      </c>
      <c r="G21" s="1211" t="s">
        <v>447</v>
      </c>
      <c r="H21" s="1211" t="s">
        <v>481</v>
      </c>
      <c r="I21" s="1212" t="s">
        <v>645</v>
      </c>
      <c r="J21" s="1211" t="s">
        <v>440</v>
      </c>
      <c r="K21" s="1211" t="s">
        <v>484</v>
      </c>
      <c r="L21" s="1211" t="s">
        <v>452</v>
      </c>
      <c r="M21" s="1211" t="s">
        <v>453</v>
      </c>
      <c r="N21" s="1211" t="s">
        <v>645</v>
      </c>
      <c r="O21" s="1213" t="s">
        <v>648</v>
      </c>
      <c r="P21" s="1213">
        <v>90</v>
      </c>
      <c r="Q21" s="1213">
        <v>6</v>
      </c>
      <c r="R21" s="1211" t="s">
        <v>442</v>
      </c>
    </row>
    <row r="22" spans="1:18" hidden="1">
      <c r="A22" s="1208" t="s">
        <v>476</v>
      </c>
      <c r="B22" s="1208" t="s">
        <v>477</v>
      </c>
      <c r="C22" s="1208" t="s">
        <v>649</v>
      </c>
      <c r="D22" s="1208" t="s">
        <v>500</v>
      </c>
      <c r="E22" s="1208" t="s">
        <v>501</v>
      </c>
      <c r="F22" s="1208" t="s">
        <v>578</v>
      </c>
      <c r="G22" s="1208" t="s">
        <v>441</v>
      </c>
      <c r="H22" s="1208" t="s">
        <v>530</v>
      </c>
      <c r="I22" s="1209" t="s">
        <v>645</v>
      </c>
      <c r="J22" s="1208" t="s">
        <v>445</v>
      </c>
      <c r="K22" s="1208" t="s">
        <v>579</v>
      </c>
      <c r="L22" s="1208" t="s">
        <v>650</v>
      </c>
      <c r="M22" s="1208" t="s">
        <v>124</v>
      </c>
      <c r="N22" s="1208" t="s">
        <v>645</v>
      </c>
      <c r="O22" s="1210" t="s">
        <v>519</v>
      </c>
      <c r="P22" s="1210">
        <v>2</v>
      </c>
      <c r="Q22" s="1210">
        <v>2</v>
      </c>
      <c r="R22" s="1208" t="s">
        <v>442</v>
      </c>
    </row>
    <row r="23" spans="1:18" hidden="1">
      <c r="A23" s="1211" t="s">
        <v>476</v>
      </c>
      <c r="B23" s="1211" t="s">
        <v>477</v>
      </c>
      <c r="C23" s="1211" t="s">
        <v>651</v>
      </c>
      <c r="D23" s="1211" t="s">
        <v>500</v>
      </c>
      <c r="E23" s="1211" t="s">
        <v>501</v>
      </c>
      <c r="F23" s="1211" t="s">
        <v>578</v>
      </c>
      <c r="G23" s="1211" t="s">
        <v>441</v>
      </c>
      <c r="H23" s="1211" t="s">
        <v>530</v>
      </c>
      <c r="I23" s="1212" t="s">
        <v>645</v>
      </c>
      <c r="J23" s="1211" t="s">
        <v>445</v>
      </c>
      <c r="K23" s="1211" t="s">
        <v>579</v>
      </c>
      <c r="L23" s="1211" t="s">
        <v>650</v>
      </c>
      <c r="M23" s="1211" t="s">
        <v>452</v>
      </c>
      <c r="N23" s="1211" t="s">
        <v>645</v>
      </c>
      <c r="O23" s="1213" t="s">
        <v>519</v>
      </c>
      <c r="P23" s="1213">
        <v>2</v>
      </c>
      <c r="Q23" s="1213">
        <v>2</v>
      </c>
      <c r="R23" s="1211" t="s">
        <v>442</v>
      </c>
    </row>
    <row r="24" spans="1:18" hidden="1">
      <c r="A24" s="1208" t="s">
        <v>476</v>
      </c>
      <c r="B24" s="1208" t="s">
        <v>477</v>
      </c>
      <c r="C24" s="1208" t="s">
        <v>652</v>
      </c>
      <c r="D24" s="1208" t="s">
        <v>500</v>
      </c>
      <c r="E24" s="1208" t="s">
        <v>501</v>
      </c>
      <c r="F24" s="1208" t="s">
        <v>578</v>
      </c>
      <c r="G24" s="1208" t="s">
        <v>441</v>
      </c>
      <c r="H24" s="1208" t="s">
        <v>530</v>
      </c>
      <c r="I24" s="1209" t="s">
        <v>645</v>
      </c>
      <c r="J24" s="1208" t="s">
        <v>440</v>
      </c>
      <c r="K24" s="1208" t="s">
        <v>579</v>
      </c>
      <c r="L24" s="1208" t="s">
        <v>452</v>
      </c>
      <c r="M24" s="1208" t="s">
        <v>650</v>
      </c>
      <c r="N24" s="1208" t="s">
        <v>645</v>
      </c>
      <c r="O24" s="1210" t="s">
        <v>564</v>
      </c>
      <c r="P24" s="1210">
        <v>3</v>
      </c>
      <c r="Q24" s="1210">
        <v>2</v>
      </c>
      <c r="R24" s="1208" t="s">
        <v>442</v>
      </c>
    </row>
    <row r="25" spans="1:18" hidden="1">
      <c r="A25" s="1211" t="s">
        <v>499</v>
      </c>
      <c r="B25" s="1211" t="s">
        <v>477</v>
      </c>
      <c r="C25" s="1211" t="s">
        <v>653</v>
      </c>
      <c r="D25" s="1211" t="s">
        <v>500</v>
      </c>
      <c r="E25" s="1211" t="s">
        <v>501</v>
      </c>
      <c r="F25" s="1211" t="s">
        <v>480</v>
      </c>
      <c r="G25" s="1211" t="s">
        <v>447</v>
      </c>
      <c r="H25" s="1211" t="s">
        <v>481</v>
      </c>
      <c r="I25" s="1212" t="s">
        <v>654</v>
      </c>
      <c r="J25" s="1211" t="s">
        <v>445</v>
      </c>
      <c r="K25" s="1211" t="s">
        <v>482</v>
      </c>
      <c r="L25" s="1211" t="s">
        <v>447</v>
      </c>
      <c r="M25" s="1211" t="s">
        <v>124</v>
      </c>
      <c r="N25" s="1211" t="s">
        <v>654</v>
      </c>
      <c r="O25" s="1213" t="s">
        <v>543</v>
      </c>
      <c r="P25" s="1213">
        <v>33</v>
      </c>
      <c r="Q25" s="1213">
        <v>6</v>
      </c>
      <c r="R25" s="1211" t="s">
        <v>442</v>
      </c>
    </row>
    <row r="26" spans="1:18" hidden="1">
      <c r="A26" s="1208" t="s">
        <v>499</v>
      </c>
      <c r="B26" s="1208" t="s">
        <v>477</v>
      </c>
      <c r="C26" s="1208" t="s">
        <v>655</v>
      </c>
      <c r="D26" s="1208" t="s">
        <v>500</v>
      </c>
      <c r="E26" s="1208" t="s">
        <v>501</v>
      </c>
      <c r="F26" s="1208" t="s">
        <v>480</v>
      </c>
      <c r="G26" s="1208" t="s">
        <v>447</v>
      </c>
      <c r="H26" s="1208" t="s">
        <v>481</v>
      </c>
      <c r="I26" s="1209" t="s">
        <v>654</v>
      </c>
      <c r="J26" s="1208" t="s">
        <v>440</v>
      </c>
      <c r="K26" s="1208" t="s">
        <v>482</v>
      </c>
      <c r="L26" s="1208" t="s">
        <v>124</v>
      </c>
      <c r="M26" s="1208" t="s">
        <v>513</v>
      </c>
      <c r="N26" s="1208" t="s">
        <v>654</v>
      </c>
      <c r="O26" s="1210" t="s">
        <v>589</v>
      </c>
      <c r="P26" s="1210">
        <v>61</v>
      </c>
      <c r="Q26" s="1210">
        <v>6</v>
      </c>
      <c r="R26" s="1208" t="s">
        <v>442</v>
      </c>
    </row>
    <row r="27" spans="1:18" hidden="1">
      <c r="A27" s="1211" t="s">
        <v>499</v>
      </c>
      <c r="B27" s="1211" t="s">
        <v>477</v>
      </c>
      <c r="C27" s="1211" t="s">
        <v>656</v>
      </c>
      <c r="D27" s="1211" t="s">
        <v>500</v>
      </c>
      <c r="E27" s="1211" t="s">
        <v>501</v>
      </c>
      <c r="F27" s="1211" t="s">
        <v>511</v>
      </c>
      <c r="G27" s="1211" t="s">
        <v>453</v>
      </c>
      <c r="H27" s="1211" t="s">
        <v>503</v>
      </c>
      <c r="I27" s="1212" t="s">
        <v>657</v>
      </c>
      <c r="J27" s="1211" t="s">
        <v>445</v>
      </c>
      <c r="K27" s="1211" t="s">
        <v>658</v>
      </c>
      <c r="L27" s="1211" t="s">
        <v>453</v>
      </c>
      <c r="M27" s="1211" t="s">
        <v>124</v>
      </c>
      <c r="N27" s="1211" t="s">
        <v>657</v>
      </c>
      <c r="O27" s="1213" t="s">
        <v>516</v>
      </c>
      <c r="P27" s="1213">
        <v>93</v>
      </c>
      <c r="Q27" s="1213">
        <v>6</v>
      </c>
      <c r="R27" s="1211" t="s">
        <v>442</v>
      </c>
    </row>
    <row r="28" spans="1:18" hidden="1">
      <c r="A28" s="1208" t="s">
        <v>499</v>
      </c>
      <c r="B28" s="1208" t="s">
        <v>477</v>
      </c>
      <c r="C28" s="1208" t="s">
        <v>659</v>
      </c>
      <c r="D28" s="1208" t="s">
        <v>500</v>
      </c>
      <c r="E28" s="1208" t="s">
        <v>501</v>
      </c>
      <c r="F28" s="1208" t="s">
        <v>511</v>
      </c>
      <c r="G28" s="1208" t="s">
        <v>453</v>
      </c>
      <c r="H28" s="1208" t="s">
        <v>503</v>
      </c>
      <c r="I28" s="1209" t="s">
        <v>657</v>
      </c>
      <c r="J28" s="1208" t="s">
        <v>440</v>
      </c>
      <c r="K28" s="1208" t="s">
        <v>658</v>
      </c>
      <c r="L28" s="1208" t="s">
        <v>124</v>
      </c>
      <c r="M28" s="1208" t="s">
        <v>453</v>
      </c>
      <c r="N28" s="1208" t="s">
        <v>657</v>
      </c>
      <c r="O28" s="1210" t="s">
        <v>547</v>
      </c>
      <c r="P28" s="1210">
        <v>139</v>
      </c>
      <c r="Q28" s="1210">
        <v>6</v>
      </c>
      <c r="R28" s="1208" t="s">
        <v>442</v>
      </c>
    </row>
    <row r="29" spans="1:18" hidden="1">
      <c r="A29" s="1211" t="s">
        <v>499</v>
      </c>
      <c r="B29" s="1211" t="s">
        <v>477</v>
      </c>
      <c r="C29" s="1211" t="s">
        <v>660</v>
      </c>
      <c r="D29" s="1211" t="s">
        <v>500</v>
      </c>
      <c r="E29" s="1211" t="s">
        <v>501</v>
      </c>
      <c r="F29" s="1211" t="s">
        <v>480</v>
      </c>
      <c r="G29" s="1211" t="s">
        <v>447</v>
      </c>
      <c r="H29" s="1211" t="s">
        <v>481</v>
      </c>
      <c r="I29" s="1212" t="s">
        <v>657</v>
      </c>
      <c r="J29" s="1211" t="s">
        <v>445</v>
      </c>
      <c r="K29" s="1211" t="s">
        <v>482</v>
      </c>
      <c r="L29" s="1211" t="s">
        <v>513</v>
      </c>
      <c r="M29" s="1211" t="s">
        <v>124</v>
      </c>
      <c r="N29" s="1211" t="s">
        <v>657</v>
      </c>
      <c r="O29" s="1213" t="s">
        <v>483</v>
      </c>
      <c r="P29" s="1213">
        <v>100</v>
      </c>
      <c r="Q29" s="1213">
        <v>6</v>
      </c>
      <c r="R29" s="1211" t="s">
        <v>442</v>
      </c>
    </row>
    <row r="30" spans="1:18" hidden="1">
      <c r="A30" s="1208" t="s">
        <v>499</v>
      </c>
      <c r="B30" s="1208" t="s">
        <v>477</v>
      </c>
      <c r="C30" s="1208" t="s">
        <v>661</v>
      </c>
      <c r="D30" s="1208" t="s">
        <v>500</v>
      </c>
      <c r="E30" s="1208" t="s">
        <v>501</v>
      </c>
      <c r="F30" s="1208" t="s">
        <v>522</v>
      </c>
      <c r="G30" s="1208" t="s">
        <v>466</v>
      </c>
      <c r="H30" s="1208" t="s">
        <v>508</v>
      </c>
      <c r="I30" s="1209" t="s">
        <v>657</v>
      </c>
      <c r="J30" s="1208" t="s">
        <v>445</v>
      </c>
      <c r="K30" s="1208" t="s">
        <v>523</v>
      </c>
      <c r="L30" s="1208" t="s">
        <v>466</v>
      </c>
      <c r="M30" s="1208" t="s">
        <v>124</v>
      </c>
      <c r="N30" s="1208" t="s">
        <v>657</v>
      </c>
      <c r="O30" s="1210" t="s">
        <v>510</v>
      </c>
      <c r="P30" s="1210">
        <v>49</v>
      </c>
      <c r="Q30" s="1210">
        <v>4</v>
      </c>
      <c r="R30" s="1208" t="s">
        <v>442</v>
      </c>
    </row>
    <row r="31" spans="1:18" hidden="1">
      <c r="A31" s="1211" t="s">
        <v>499</v>
      </c>
      <c r="B31" s="1211" t="s">
        <v>477</v>
      </c>
      <c r="C31" s="1211" t="s">
        <v>662</v>
      </c>
      <c r="D31" s="1211" t="s">
        <v>500</v>
      </c>
      <c r="E31" s="1211" t="s">
        <v>501</v>
      </c>
      <c r="F31" s="1211" t="s">
        <v>480</v>
      </c>
      <c r="G31" s="1211" t="s">
        <v>447</v>
      </c>
      <c r="H31" s="1211" t="s">
        <v>481</v>
      </c>
      <c r="I31" s="1212" t="s">
        <v>657</v>
      </c>
      <c r="J31" s="1211" t="s">
        <v>440</v>
      </c>
      <c r="K31" s="1211" t="s">
        <v>482</v>
      </c>
      <c r="L31" s="1211" t="s">
        <v>124</v>
      </c>
      <c r="M31" s="1211" t="s">
        <v>513</v>
      </c>
      <c r="N31" s="1211" t="s">
        <v>657</v>
      </c>
      <c r="O31" s="1213" t="s">
        <v>663</v>
      </c>
      <c r="P31" s="1213">
        <v>44</v>
      </c>
      <c r="Q31" s="1213">
        <v>6</v>
      </c>
      <c r="R31" s="1211" t="s">
        <v>442</v>
      </c>
    </row>
    <row r="32" spans="1:18" hidden="1">
      <c r="A32" s="1208" t="s">
        <v>499</v>
      </c>
      <c r="B32" s="1208" t="s">
        <v>477</v>
      </c>
      <c r="C32" s="1208" t="s">
        <v>664</v>
      </c>
      <c r="D32" s="1208" t="s">
        <v>500</v>
      </c>
      <c r="E32" s="1208" t="s">
        <v>501</v>
      </c>
      <c r="F32" s="1208" t="s">
        <v>522</v>
      </c>
      <c r="G32" s="1208" t="s">
        <v>466</v>
      </c>
      <c r="H32" s="1208" t="s">
        <v>508</v>
      </c>
      <c r="I32" s="1209" t="s">
        <v>657</v>
      </c>
      <c r="J32" s="1208" t="s">
        <v>440</v>
      </c>
      <c r="K32" s="1208" t="s">
        <v>523</v>
      </c>
      <c r="L32" s="1208" t="s">
        <v>124</v>
      </c>
      <c r="M32" s="1208" t="s">
        <v>466</v>
      </c>
      <c r="N32" s="1208" t="s">
        <v>657</v>
      </c>
      <c r="O32" s="1210" t="s">
        <v>512</v>
      </c>
      <c r="P32" s="1210">
        <v>41</v>
      </c>
      <c r="Q32" s="1210">
        <v>4</v>
      </c>
      <c r="R32" s="1208" t="s">
        <v>442</v>
      </c>
    </row>
    <row r="33" spans="1:18" hidden="1">
      <c r="A33" s="1211" t="s">
        <v>499</v>
      </c>
      <c r="B33" s="1211" t="s">
        <v>477</v>
      </c>
      <c r="C33" s="1211" t="s">
        <v>665</v>
      </c>
      <c r="D33" s="1211" t="s">
        <v>500</v>
      </c>
      <c r="E33" s="1211" t="s">
        <v>501</v>
      </c>
      <c r="F33" s="1211" t="s">
        <v>480</v>
      </c>
      <c r="G33" s="1211" t="s">
        <v>447</v>
      </c>
      <c r="H33" s="1211" t="s">
        <v>481</v>
      </c>
      <c r="I33" s="1212" t="s">
        <v>645</v>
      </c>
      <c r="J33" s="1211" t="s">
        <v>445</v>
      </c>
      <c r="K33" s="1211" t="s">
        <v>482</v>
      </c>
      <c r="L33" s="1211" t="s">
        <v>513</v>
      </c>
      <c r="M33" s="1211" t="s">
        <v>124</v>
      </c>
      <c r="N33" s="1211" t="s">
        <v>645</v>
      </c>
      <c r="O33" s="1213" t="s">
        <v>525</v>
      </c>
      <c r="P33" s="1213">
        <v>134</v>
      </c>
      <c r="Q33" s="1213">
        <v>6</v>
      </c>
      <c r="R33" s="1211" t="s">
        <v>442</v>
      </c>
    </row>
    <row r="34" spans="1:18" hidden="1">
      <c r="A34" s="1208" t="s">
        <v>499</v>
      </c>
      <c r="B34" s="1208" t="s">
        <v>477</v>
      </c>
      <c r="C34" s="1208" t="s">
        <v>666</v>
      </c>
      <c r="D34" s="1208" t="s">
        <v>500</v>
      </c>
      <c r="E34" s="1208" t="s">
        <v>501</v>
      </c>
      <c r="F34" s="1208" t="s">
        <v>480</v>
      </c>
      <c r="G34" s="1208" t="s">
        <v>447</v>
      </c>
      <c r="H34" s="1208" t="s">
        <v>481</v>
      </c>
      <c r="I34" s="1209" t="s">
        <v>645</v>
      </c>
      <c r="J34" s="1208" t="s">
        <v>440</v>
      </c>
      <c r="K34" s="1208" t="s">
        <v>482</v>
      </c>
      <c r="L34" s="1208" t="s">
        <v>124</v>
      </c>
      <c r="M34" s="1208" t="s">
        <v>513</v>
      </c>
      <c r="N34" s="1208" t="s">
        <v>645</v>
      </c>
      <c r="O34" s="1210" t="s">
        <v>538</v>
      </c>
      <c r="P34" s="1210">
        <v>89</v>
      </c>
      <c r="Q34" s="1210">
        <v>6</v>
      </c>
      <c r="R34" s="1208" t="s">
        <v>442</v>
      </c>
    </row>
    <row r="35" spans="1:18" hidden="1">
      <c r="A35" s="1211" t="s">
        <v>499</v>
      </c>
      <c r="B35" s="1211" t="s">
        <v>477</v>
      </c>
      <c r="C35" s="1211" t="s">
        <v>667</v>
      </c>
      <c r="D35" s="1211" t="s">
        <v>500</v>
      </c>
      <c r="E35" s="1211" t="s">
        <v>501</v>
      </c>
      <c r="F35" s="1211" t="s">
        <v>511</v>
      </c>
      <c r="G35" s="1211" t="s">
        <v>453</v>
      </c>
      <c r="H35" s="1211" t="s">
        <v>503</v>
      </c>
      <c r="I35" s="1212" t="s">
        <v>645</v>
      </c>
      <c r="J35" s="1211" t="s">
        <v>445</v>
      </c>
      <c r="K35" s="1211" t="s">
        <v>545</v>
      </c>
      <c r="L35" s="1211" t="s">
        <v>453</v>
      </c>
      <c r="M35" s="1211" t="s">
        <v>124</v>
      </c>
      <c r="N35" s="1211" t="s">
        <v>645</v>
      </c>
      <c r="O35" s="1213" t="s">
        <v>586</v>
      </c>
      <c r="P35" s="1213">
        <v>127</v>
      </c>
      <c r="Q35" s="1213">
        <v>6</v>
      </c>
      <c r="R35" s="1211" t="s">
        <v>442</v>
      </c>
    </row>
    <row r="36" spans="1:18" hidden="1">
      <c r="A36" s="1208" t="s">
        <v>499</v>
      </c>
      <c r="B36" s="1208" t="s">
        <v>477</v>
      </c>
      <c r="C36" s="1208" t="s">
        <v>668</v>
      </c>
      <c r="D36" s="1208" t="s">
        <v>500</v>
      </c>
      <c r="E36" s="1208" t="s">
        <v>501</v>
      </c>
      <c r="F36" s="1208" t="s">
        <v>511</v>
      </c>
      <c r="G36" s="1208" t="s">
        <v>453</v>
      </c>
      <c r="H36" s="1208" t="s">
        <v>503</v>
      </c>
      <c r="I36" s="1209" t="s">
        <v>645</v>
      </c>
      <c r="J36" s="1208" t="s">
        <v>440</v>
      </c>
      <c r="K36" s="1208" t="s">
        <v>545</v>
      </c>
      <c r="L36" s="1208" t="s">
        <v>124</v>
      </c>
      <c r="M36" s="1208" t="s">
        <v>453</v>
      </c>
      <c r="N36" s="1208" t="s">
        <v>645</v>
      </c>
      <c r="O36" s="1210" t="s">
        <v>483</v>
      </c>
      <c r="P36" s="1210">
        <v>124</v>
      </c>
      <c r="Q36" s="1210">
        <v>6</v>
      </c>
      <c r="R36" s="1208" t="s">
        <v>442</v>
      </c>
    </row>
    <row r="37" spans="1:18" hidden="1">
      <c r="A37" s="1211" t="s">
        <v>499</v>
      </c>
      <c r="B37" s="1211" t="s">
        <v>477</v>
      </c>
      <c r="C37" s="1211" t="s">
        <v>669</v>
      </c>
      <c r="D37" s="1211" t="s">
        <v>500</v>
      </c>
      <c r="E37" s="1211" t="s">
        <v>501</v>
      </c>
      <c r="F37" s="1211" t="s">
        <v>562</v>
      </c>
      <c r="G37" s="1211" t="s">
        <v>453</v>
      </c>
      <c r="H37" s="1211" t="s">
        <v>481</v>
      </c>
      <c r="I37" s="1212" t="s">
        <v>645</v>
      </c>
      <c r="J37" s="1211" t="s">
        <v>445</v>
      </c>
      <c r="K37" s="1211" t="s">
        <v>670</v>
      </c>
      <c r="L37" s="1211" t="s">
        <v>462</v>
      </c>
      <c r="M37" s="1211" t="s">
        <v>124</v>
      </c>
      <c r="N37" s="1211" t="s">
        <v>645</v>
      </c>
      <c r="O37" s="1213" t="s">
        <v>521</v>
      </c>
      <c r="P37" s="1213">
        <v>162</v>
      </c>
      <c r="Q37" s="1213">
        <v>7</v>
      </c>
      <c r="R37" s="1211" t="s">
        <v>442</v>
      </c>
    </row>
    <row r="38" spans="1:18" hidden="1">
      <c r="A38" s="1208" t="s">
        <v>499</v>
      </c>
      <c r="B38" s="1208" t="s">
        <v>477</v>
      </c>
      <c r="C38" s="1208" t="s">
        <v>671</v>
      </c>
      <c r="D38" s="1208" t="s">
        <v>500</v>
      </c>
      <c r="E38" s="1208" t="s">
        <v>501</v>
      </c>
      <c r="F38" s="1208" t="s">
        <v>562</v>
      </c>
      <c r="G38" s="1208" t="s">
        <v>453</v>
      </c>
      <c r="H38" s="1208" t="s">
        <v>481</v>
      </c>
      <c r="I38" s="1209" t="s">
        <v>645</v>
      </c>
      <c r="J38" s="1208" t="s">
        <v>440</v>
      </c>
      <c r="K38" s="1208" t="s">
        <v>670</v>
      </c>
      <c r="L38" s="1208" t="s">
        <v>124</v>
      </c>
      <c r="M38" s="1208" t="s">
        <v>462</v>
      </c>
      <c r="N38" s="1208" t="s">
        <v>645</v>
      </c>
      <c r="O38" s="1210" t="s">
        <v>573</v>
      </c>
      <c r="P38" s="1210">
        <v>145</v>
      </c>
      <c r="Q38" s="1210">
        <v>7</v>
      </c>
      <c r="R38" s="1208" t="s">
        <v>442</v>
      </c>
    </row>
    <row r="39" spans="1:18" hidden="1">
      <c r="A39" s="1211" t="s">
        <v>499</v>
      </c>
      <c r="B39" s="1211" t="s">
        <v>477</v>
      </c>
      <c r="C39" s="1211" t="s">
        <v>672</v>
      </c>
      <c r="D39" s="1211" t="s">
        <v>500</v>
      </c>
      <c r="E39" s="1211" t="s">
        <v>501</v>
      </c>
      <c r="F39" s="1211" t="s">
        <v>520</v>
      </c>
      <c r="G39" s="1211" t="s">
        <v>441</v>
      </c>
      <c r="H39" s="1211" t="s">
        <v>508</v>
      </c>
      <c r="I39" s="1212" t="s">
        <v>645</v>
      </c>
      <c r="J39" s="1211" t="s">
        <v>445</v>
      </c>
      <c r="K39" s="1211" t="s">
        <v>539</v>
      </c>
      <c r="L39" s="1211" t="s">
        <v>441</v>
      </c>
      <c r="M39" s="1211" t="s">
        <v>124</v>
      </c>
      <c r="N39" s="1211" t="s">
        <v>645</v>
      </c>
      <c r="O39" s="1213" t="s">
        <v>537</v>
      </c>
      <c r="P39" s="1213">
        <v>56</v>
      </c>
      <c r="Q39" s="1213">
        <v>4</v>
      </c>
      <c r="R39" s="1211" t="s">
        <v>442</v>
      </c>
    </row>
    <row r="40" spans="1:18" hidden="1">
      <c r="A40" s="1208" t="s">
        <v>499</v>
      </c>
      <c r="B40" s="1208" t="s">
        <v>477</v>
      </c>
      <c r="C40" s="1208" t="s">
        <v>673</v>
      </c>
      <c r="D40" s="1208" t="s">
        <v>500</v>
      </c>
      <c r="E40" s="1208" t="s">
        <v>501</v>
      </c>
      <c r="F40" s="1208" t="s">
        <v>522</v>
      </c>
      <c r="G40" s="1208" t="s">
        <v>466</v>
      </c>
      <c r="H40" s="1208" t="s">
        <v>508</v>
      </c>
      <c r="I40" s="1209" t="s">
        <v>645</v>
      </c>
      <c r="J40" s="1208" t="s">
        <v>445</v>
      </c>
      <c r="K40" s="1208" t="s">
        <v>523</v>
      </c>
      <c r="L40" s="1208" t="s">
        <v>466</v>
      </c>
      <c r="M40" s="1208" t="s">
        <v>124</v>
      </c>
      <c r="N40" s="1208" t="s">
        <v>645</v>
      </c>
      <c r="O40" s="1210" t="s">
        <v>510</v>
      </c>
      <c r="P40" s="1210">
        <v>43</v>
      </c>
      <c r="Q40" s="1210">
        <v>4</v>
      </c>
      <c r="R40" s="1208" t="s">
        <v>442</v>
      </c>
    </row>
    <row r="41" spans="1:18" hidden="1">
      <c r="A41" s="1211" t="s">
        <v>499</v>
      </c>
      <c r="B41" s="1211" t="s">
        <v>477</v>
      </c>
      <c r="C41" s="1211" t="s">
        <v>674</v>
      </c>
      <c r="D41" s="1211" t="s">
        <v>500</v>
      </c>
      <c r="E41" s="1211" t="s">
        <v>501</v>
      </c>
      <c r="F41" s="1211" t="s">
        <v>520</v>
      </c>
      <c r="G41" s="1211" t="s">
        <v>441</v>
      </c>
      <c r="H41" s="1211" t="s">
        <v>508</v>
      </c>
      <c r="I41" s="1212" t="s">
        <v>645</v>
      </c>
      <c r="J41" s="1211" t="s">
        <v>440</v>
      </c>
      <c r="K41" s="1211" t="s">
        <v>539</v>
      </c>
      <c r="L41" s="1211" t="s">
        <v>124</v>
      </c>
      <c r="M41" s="1211" t="s">
        <v>441</v>
      </c>
      <c r="N41" s="1211" t="s">
        <v>645</v>
      </c>
      <c r="O41" s="1213" t="s">
        <v>489</v>
      </c>
      <c r="P41" s="1213">
        <v>48</v>
      </c>
      <c r="Q41" s="1213">
        <v>4</v>
      </c>
      <c r="R41" s="1211" t="s">
        <v>442</v>
      </c>
    </row>
    <row r="42" spans="1:18" hidden="1">
      <c r="A42" s="1208" t="s">
        <v>499</v>
      </c>
      <c r="B42" s="1208" t="s">
        <v>477</v>
      </c>
      <c r="C42" s="1208" t="s">
        <v>675</v>
      </c>
      <c r="D42" s="1208" t="s">
        <v>500</v>
      </c>
      <c r="E42" s="1208" t="s">
        <v>501</v>
      </c>
      <c r="F42" s="1208" t="s">
        <v>522</v>
      </c>
      <c r="G42" s="1208" t="s">
        <v>466</v>
      </c>
      <c r="H42" s="1208" t="s">
        <v>508</v>
      </c>
      <c r="I42" s="1209" t="s">
        <v>645</v>
      </c>
      <c r="J42" s="1208" t="s">
        <v>440</v>
      </c>
      <c r="K42" s="1208" t="s">
        <v>523</v>
      </c>
      <c r="L42" s="1208" t="s">
        <v>124</v>
      </c>
      <c r="M42" s="1208" t="s">
        <v>466</v>
      </c>
      <c r="N42" s="1208" t="s">
        <v>645</v>
      </c>
      <c r="O42" s="1210" t="s">
        <v>512</v>
      </c>
      <c r="P42" s="1210">
        <v>31</v>
      </c>
      <c r="Q42" s="1210">
        <v>4</v>
      </c>
      <c r="R42" s="1208" t="s">
        <v>442</v>
      </c>
    </row>
    <row r="43" spans="1:18" hidden="1">
      <c r="A43" s="1211" t="s">
        <v>499</v>
      </c>
      <c r="B43" s="1211" t="s">
        <v>477</v>
      </c>
      <c r="C43" s="1211" t="s">
        <v>676</v>
      </c>
      <c r="D43" s="1211" t="s">
        <v>500</v>
      </c>
      <c r="E43" s="1211" t="s">
        <v>501</v>
      </c>
      <c r="F43" s="1211" t="s">
        <v>505</v>
      </c>
      <c r="G43" s="1211" t="s">
        <v>453</v>
      </c>
      <c r="H43" s="1211" t="s">
        <v>581</v>
      </c>
      <c r="I43" s="1212" t="s">
        <v>677</v>
      </c>
      <c r="J43" s="1211" t="s">
        <v>445</v>
      </c>
      <c r="K43" s="1211" t="s">
        <v>582</v>
      </c>
      <c r="L43" s="1211" t="s">
        <v>453</v>
      </c>
      <c r="M43" s="1211" t="s">
        <v>124</v>
      </c>
      <c r="N43" s="1211" t="s">
        <v>677</v>
      </c>
      <c r="O43" s="1213" t="s">
        <v>583</v>
      </c>
      <c r="P43" s="1213">
        <v>88</v>
      </c>
      <c r="Q43" s="1213">
        <v>4</v>
      </c>
      <c r="R43" s="1211" t="s">
        <v>442</v>
      </c>
    </row>
    <row r="44" spans="1:18" hidden="1">
      <c r="A44" s="1208" t="s">
        <v>499</v>
      </c>
      <c r="B44" s="1208" t="s">
        <v>477</v>
      </c>
      <c r="C44" s="1208" t="s">
        <v>678</v>
      </c>
      <c r="D44" s="1208" t="s">
        <v>500</v>
      </c>
      <c r="E44" s="1208" t="s">
        <v>501</v>
      </c>
      <c r="F44" s="1208" t="s">
        <v>505</v>
      </c>
      <c r="G44" s="1208" t="s">
        <v>453</v>
      </c>
      <c r="H44" s="1208" t="s">
        <v>581</v>
      </c>
      <c r="I44" s="1209" t="s">
        <v>677</v>
      </c>
      <c r="J44" s="1208" t="s">
        <v>440</v>
      </c>
      <c r="K44" s="1208" t="s">
        <v>582</v>
      </c>
      <c r="L44" s="1208" t="s">
        <v>124</v>
      </c>
      <c r="M44" s="1208" t="s">
        <v>453</v>
      </c>
      <c r="N44" s="1208" t="s">
        <v>677</v>
      </c>
      <c r="O44" s="1210" t="s">
        <v>546</v>
      </c>
      <c r="P44" s="1210">
        <v>43</v>
      </c>
      <c r="Q44" s="1210">
        <v>4</v>
      </c>
      <c r="R44" s="1208" t="s">
        <v>442</v>
      </c>
    </row>
    <row r="45" spans="1:18" hidden="1">
      <c r="A45" s="1211" t="s">
        <v>499</v>
      </c>
      <c r="B45" s="1211" t="s">
        <v>477</v>
      </c>
      <c r="C45" s="1211" t="s">
        <v>679</v>
      </c>
      <c r="D45" s="1211" t="s">
        <v>500</v>
      </c>
      <c r="E45" s="1211" t="s">
        <v>501</v>
      </c>
      <c r="F45" s="1211" t="s">
        <v>511</v>
      </c>
      <c r="G45" s="1211" t="s">
        <v>453</v>
      </c>
      <c r="H45" s="1211" t="s">
        <v>503</v>
      </c>
      <c r="I45" s="1212" t="s">
        <v>677</v>
      </c>
      <c r="J45" s="1211" t="s">
        <v>445</v>
      </c>
      <c r="K45" s="1211" t="s">
        <v>680</v>
      </c>
      <c r="L45" s="1211" t="s">
        <v>453</v>
      </c>
      <c r="M45" s="1211" t="s">
        <v>124</v>
      </c>
      <c r="N45" s="1211" t="s">
        <v>677</v>
      </c>
      <c r="O45" s="1213" t="s">
        <v>586</v>
      </c>
      <c r="P45" s="1213">
        <v>165</v>
      </c>
      <c r="Q45" s="1213">
        <v>6</v>
      </c>
      <c r="R45" s="1211" t="s">
        <v>442</v>
      </c>
    </row>
    <row r="46" spans="1:18" hidden="1">
      <c r="A46" s="1208" t="s">
        <v>499</v>
      </c>
      <c r="B46" s="1208" t="s">
        <v>477</v>
      </c>
      <c r="C46" s="1208" t="s">
        <v>681</v>
      </c>
      <c r="D46" s="1208" t="s">
        <v>500</v>
      </c>
      <c r="E46" s="1208" t="s">
        <v>501</v>
      </c>
      <c r="F46" s="1208" t="s">
        <v>480</v>
      </c>
      <c r="G46" s="1208" t="s">
        <v>447</v>
      </c>
      <c r="H46" s="1208" t="s">
        <v>481</v>
      </c>
      <c r="I46" s="1209" t="s">
        <v>677</v>
      </c>
      <c r="J46" s="1208" t="s">
        <v>445</v>
      </c>
      <c r="K46" s="1208" t="s">
        <v>482</v>
      </c>
      <c r="L46" s="1208" t="s">
        <v>513</v>
      </c>
      <c r="M46" s="1208" t="s">
        <v>124</v>
      </c>
      <c r="N46" s="1208" t="s">
        <v>677</v>
      </c>
      <c r="O46" s="1210" t="s">
        <v>483</v>
      </c>
      <c r="P46" s="1210">
        <v>57</v>
      </c>
      <c r="Q46" s="1210">
        <v>6</v>
      </c>
      <c r="R46" s="1208" t="s">
        <v>442</v>
      </c>
    </row>
    <row r="47" spans="1:18" hidden="1">
      <c r="A47" s="1211" t="s">
        <v>499</v>
      </c>
      <c r="B47" s="1211" t="s">
        <v>477</v>
      </c>
      <c r="C47" s="1211" t="s">
        <v>682</v>
      </c>
      <c r="D47" s="1211" t="s">
        <v>500</v>
      </c>
      <c r="E47" s="1211" t="s">
        <v>501</v>
      </c>
      <c r="F47" s="1211" t="s">
        <v>480</v>
      </c>
      <c r="G47" s="1211" t="s">
        <v>447</v>
      </c>
      <c r="H47" s="1211" t="s">
        <v>481</v>
      </c>
      <c r="I47" s="1212" t="s">
        <v>677</v>
      </c>
      <c r="J47" s="1211" t="s">
        <v>440</v>
      </c>
      <c r="K47" s="1211" t="s">
        <v>482</v>
      </c>
      <c r="L47" s="1211" t="s">
        <v>124</v>
      </c>
      <c r="M47" s="1211" t="s">
        <v>513</v>
      </c>
      <c r="N47" s="1211" t="s">
        <v>677</v>
      </c>
      <c r="O47" s="1213" t="s">
        <v>663</v>
      </c>
      <c r="P47" s="1213">
        <v>44</v>
      </c>
      <c r="Q47" s="1213">
        <v>6</v>
      </c>
      <c r="R47" s="1211" t="s">
        <v>442</v>
      </c>
    </row>
    <row r="48" spans="1:18" hidden="1">
      <c r="A48" s="1208" t="s">
        <v>499</v>
      </c>
      <c r="B48" s="1208" t="s">
        <v>477</v>
      </c>
      <c r="C48" s="1208" t="s">
        <v>683</v>
      </c>
      <c r="D48" s="1208" t="s">
        <v>500</v>
      </c>
      <c r="E48" s="1208" t="s">
        <v>501</v>
      </c>
      <c r="F48" s="1208" t="s">
        <v>511</v>
      </c>
      <c r="G48" s="1208" t="s">
        <v>453</v>
      </c>
      <c r="H48" s="1208" t="s">
        <v>503</v>
      </c>
      <c r="I48" s="1209" t="s">
        <v>677</v>
      </c>
      <c r="J48" s="1208" t="s">
        <v>440</v>
      </c>
      <c r="K48" s="1208" t="s">
        <v>680</v>
      </c>
      <c r="L48" s="1208" t="s">
        <v>124</v>
      </c>
      <c r="M48" s="1208" t="s">
        <v>453</v>
      </c>
      <c r="N48" s="1208" t="s">
        <v>677</v>
      </c>
      <c r="O48" s="1210" t="s">
        <v>510</v>
      </c>
      <c r="P48" s="1210">
        <v>134</v>
      </c>
      <c r="Q48" s="1210">
        <v>6</v>
      </c>
      <c r="R48" s="1208" t="s">
        <v>442</v>
      </c>
    </row>
    <row r="49" spans="1:18" hidden="1">
      <c r="A49" s="1211" t="s">
        <v>499</v>
      </c>
      <c r="B49" s="1211" t="s">
        <v>477</v>
      </c>
      <c r="C49" s="1211" t="s">
        <v>684</v>
      </c>
      <c r="D49" s="1211" t="s">
        <v>500</v>
      </c>
      <c r="E49" s="1211" t="s">
        <v>501</v>
      </c>
      <c r="F49" s="1211" t="s">
        <v>522</v>
      </c>
      <c r="G49" s="1211" t="s">
        <v>466</v>
      </c>
      <c r="H49" s="1211" t="s">
        <v>508</v>
      </c>
      <c r="I49" s="1212" t="s">
        <v>677</v>
      </c>
      <c r="J49" s="1211" t="s">
        <v>445</v>
      </c>
      <c r="K49" s="1211" t="s">
        <v>533</v>
      </c>
      <c r="L49" s="1211" t="s">
        <v>466</v>
      </c>
      <c r="M49" s="1211" t="s">
        <v>124</v>
      </c>
      <c r="N49" s="1211" t="s">
        <v>677</v>
      </c>
      <c r="O49" s="1213" t="s">
        <v>510</v>
      </c>
      <c r="P49" s="1213">
        <v>57</v>
      </c>
      <c r="Q49" s="1213">
        <v>4</v>
      </c>
      <c r="R49" s="1211" t="s">
        <v>442</v>
      </c>
    </row>
    <row r="50" spans="1:18" hidden="1">
      <c r="A50" s="1208" t="s">
        <v>499</v>
      </c>
      <c r="B50" s="1208" t="s">
        <v>477</v>
      </c>
      <c r="C50" s="1208" t="s">
        <v>685</v>
      </c>
      <c r="D50" s="1208" t="s">
        <v>500</v>
      </c>
      <c r="E50" s="1208" t="s">
        <v>501</v>
      </c>
      <c r="F50" s="1208" t="s">
        <v>522</v>
      </c>
      <c r="G50" s="1208" t="s">
        <v>466</v>
      </c>
      <c r="H50" s="1208" t="s">
        <v>508</v>
      </c>
      <c r="I50" s="1209" t="s">
        <v>677</v>
      </c>
      <c r="J50" s="1208" t="s">
        <v>440</v>
      </c>
      <c r="K50" s="1208" t="s">
        <v>533</v>
      </c>
      <c r="L50" s="1208" t="s">
        <v>124</v>
      </c>
      <c r="M50" s="1208" t="s">
        <v>466</v>
      </c>
      <c r="N50" s="1208" t="s">
        <v>677</v>
      </c>
      <c r="O50" s="1210" t="s">
        <v>512</v>
      </c>
      <c r="P50" s="1210">
        <v>47</v>
      </c>
      <c r="Q50" s="1210">
        <v>4</v>
      </c>
      <c r="R50" s="1208" t="s">
        <v>442</v>
      </c>
    </row>
    <row r="51" spans="1:18" hidden="1">
      <c r="A51" s="1211" t="s">
        <v>499</v>
      </c>
      <c r="B51" s="1211" t="s">
        <v>477</v>
      </c>
      <c r="C51" s="1211" t="s">
        <v>686</v>
      </c>
      <c r="D51" s="1211" t="s">
        <v>500</v>
      </c>
      <c r="E51" s="1211" t="s">
        <v>501</v>
      </c>
      <c r="F51" s="1211" t="s">
        <v>687</v>
      </c>
      <c r="G51" s="1211" t="s">
        <v>688</v>
      </c>
      <c r="H51" s="1211" t="s">
        <v>530</v>
      </c>
      <c r="I51" s="1212" t="s">
        <v>605</v>
      </c>
      <c r="J51" s="1211" t="s">
        <v>445</v>
      </c>
      <c r="K51" s="1211" t="s">
        <v>689</v>
      </c>
      <c r="L51" s="1211" t="s">
        <v>690</v>
      </c>
      <c r="M51" s="1211" t="s">
        <v>124</v>
      </c>
      <c r="N51" s="1211" t="s">
        <v>605</v>
      </c>
      <c r="O51" s="1213" t="s">
        <v>524</v>
      </c>
      <c r="P51" s="1213">
        <v>3</v>
      </c>
      <c r="Q51" s="1213">
        <v>3</v>
      </c>
      <c r="R51" s="1211" t="s">
        <v>442</v>
      </c>
    </row>
    <row r="52" spans="1:18" hidden="1">
      <c r="A52" s="1208" t="s">
        <v>499</v>
      </c>
      <c r="B52" s="1208" t="s">
        <v>477</v>
      </c>
      <c r="C52" s="1208" t="s">
        <v>691</v>
      </c>
      <c r="D52" s="1208" t="s">
        <v>500</v>
      </c>
      <c r="E52" s="1208" t="s">
        <v>501</v>
      </c>
      <c r="F52" s="1208" t="s">
        <v>480</v>
      </c>
      <c r="G52" s="1208" t="s">
        <v>447</v>
      </c>
      <c r="H52" s="1208" t="s">
        <v>481</v>
      </c>
      <c r="I52" s="1209" t="s">
        <v>605</v>
      </c>
      <c r="J52" s="1208" t="s">
        <v>445</v>
      </c>
      <c r="K52" s="1208" t="s">
        <v>482</v>
      </c>
      <c r="L52" s="1208" t="s">
        <v>513</v>
      </c>
      <c r="M52" s="1208" t="s">
        <v>124</v>
      </c>
      <c r="N52" s="1208" t="s">
        <v>605</v>
      </c>
      <c r="O52" s="1210" t="s">
        <v>525</v>
      </c>
      <c r="P52" s="1210">
        <v>126</v>
      </c>
      <c r="Q52" s="1210">
        <v>6</v>
      </c>
      <c r="R52" s="1208" t="s">
        <v>442</v>
      </c>
    </row>
    <row r="53" spans="1:18" hidden="1">
      <c r="A53" s="1211" t="s">
        <v>499</v>
      </c>
      <c r="B53" s="1211" t="s">
        <v>477</v>
      </c>
      <c r="C53" s="1211" t="s">
        <v>692</v>
      </c>
      <c r="D53" s="1211" t="s">
        <v>500</v>
      </c>
      <c r="E53" s="1211" t="s">
        <v>501</v>
      </c>
      <c r="F53" s="1211" t="s">
        <v>480</v>
      </c>
      <c r="G53" s="1211" t="s">
        <v>447</v>
      </c>
      <c r="H53" s="1211" t="s">
        <v>481</v>
      </c>
      <c r="I53" s="1212" t="s">
        <v>605</v>
      </c>
      <c r="J53" s="1211" t="s">
        <v>440</v>
      </c>
      <c r="K53" s="1211" t="s">
        <v>482</v>
      </c>
      <c r="L53" s="1211" t="s">
        <v>124</v>
      </c>
      <c r="M53" s="1211" t="s">
        <v>513</v>
      </c>
      <c r="N53" s="1211" t="s">
        <v>605</v>
      </c>
      <c r="O53" s="1213" t="s">
        <v>528</v>
      </c>
      <c r="P53" s="1213">
        <v>81</v>
      </c>
      <c r="Q53" s="1213">
        <v>6</v>
      </c>
      <c r="R53" s="1211" t="s">
        <v>442</v>
      </c>
    </row>
    <row r="54" spans="1:18" hidden="1">
      <c r="A54" s="1208" t="s">
        <v>499</v>
      </c>
      <c r="B54" s="1208" t="s">
        <v>477</v>
      </c>
      <c r="C54" s="1208" t="s">
        <v>693</v>
      </c>
      <c r="D54" s="1208" t="s">
        <v>500</v>
      </c>
      <c r="E54" s="1208" t="s">
        <v>501</v>
      </c>
      <c r="F54" s="1208" t="s">
        <v>505</v>
      </c>
      <c r="G54" s="1208" t="s">
        <v>453</v>
      </c>
      <c r="H54" s="1208" t="s">
        <v>581</v>
      </c>
      <c r="I54" s="1209" t="s">
        <v>605</v>
      </c>
      <c r="J54" s="1208" t="s">
        <v>445</v>
      </c>
      <c r="K54" s="1208" t="s">
        <v>694</v>
      </c>
      <c r="L54" s="1208" t="s">
        <v>453</v>
      </c>
      <c r="M54" s="1208" t="s">
        <v>124</v>
      </c>
      <c r="N54" s="1208" t="s">
        <v>605</v>
      </c>
      <c r="O54" s="1210" t="s">
        <v>695</v>
      </c>
      <c r="P54" s="1210">
        <v>87</v>
      </c>
      <c r="Q54" s="1210">
        <v>4</v>
      </c>
      <c r="R54" s="1208" t="s">
        <v>442</v>
      </c>
    </row>
    <row r="55" spans="1:18" hidden="1">
      <c r="A55" s="1211" t="s">
        <v>499</v>
      </c>
      <c r="B55" s="1211" t="s">
        <v>477</v>
      </c>
      <c r="C55" s="1211" t="s">
        <v>696</v>
      </c>
      <c r="D55" s="1211" t="s">
        <v>500</v>
      </c>
      <c r="E55" s="1211" t="s">
        <v>501</v>
      </c>
      <c r="F55" s="1211" t="s">
        <v>505</v>
      </c>
      <c r="G55" s="1211" t="s">
        <v>453</v>
      </c>
      <c r="H55" s="1211" t="s">
        <v>581</v>
      </c>
      <c r="I55" s="1212" t="s">
        <v>605</v>
      </c>
      <c r="J55" s="1211" t="s">
        <v>440</v>
      </c>
      <c r="K55" s="1211" t="s">
        <v>694</v>
      </c>
      <c r="L55" s="1211" t="s">
        <v>124</v>
      </c>
      <c r="M55" s="1211" t="s">
        <v>453</v>
      </c>
      <c r="N55" s="1211" t="s">
        <v>605</v>
      </c>
      <c r="O55" s="1213" t="s">
        <v>546</v>
      </c>
      <c r="P55" s="1213">
        <v>42</v>
      </c>
      <c r="Q55" s="1213">
        <v>4</v>
      </c>
      <c r="R55" s="1211" t="s">
        <v>442</v>
      </c>
    </row>
    <row r="56" spans="1:18" hidden="1">
      <c r="A56" s="1208" t="s">
        <v>499</v>
      </c>
      <c r="B56" s="1208" t="s">
        <v>477</v>
      </c>
      <c r="C56" s="1208" t="s">
        <v>697</v>
      </c>
      <c r="D56" s="1208" t="s">
        <v>500</v>
      </c>
      <c r="E56" s="1208" t="s">
        <v>501</v>
      </c>
      <c r="F56" s="1208" t="s">
        <v>520</v>
      </c>
      <c r="G56" s="1208" t="s">
        <v>441</v>
      </c>
      <c r="H56" s="1208" t="s">
        <v>508</v>
      </c>
      <c r="I56" s="1209" t="s">
        <v>605</v>
      </c>
      <c r="J56" s="1208" t="s">
        <v>445</v>
      </c>
      <c r="K56" s="1208" t="s">
        <v>529</v>
      </c>
      <c r="L56" s="1208" t="s">
        <v>441</v>
      </c>
      <c r="M56" s="1208" t="s">
        <v>124</v>
      </c>
      <c r="N56" s="1208" t="s">
        <v>605</v>
      </c>
      <c r="O56" s="1210" t="s">
        <v>521</v>
      </c>
      <c r="P56" s="1210">
        <v>54</v>
      </c>
      <c r="Q56" s="1210">
        <v>4</v>
      </c>
      <c r="R56" s="1208" t="s">
        <v>442</v>
      </c>
    </row>
    <row r="57" spans="1:18" hidden="1">
      <c r="A57" s="1211" t="s">
        <v>499</v>
      </c>
      <c r="B57" s="1211" t="s">
        <v>477</v>
      </c>
      <c r="C57" s="1211" t="s">
        <v>698</v>
      </c>
      <c r="D57" s="1211" t="s">
        <v>500</v>
      </c>
      <c r="E57" s="1211" t="s">
        <v>501</v>
      </c>
      <c r="F57" s="1211" t="s">
        <v>517</v>
      </c>
      <c r="G57" s="1211" t="s">
        <v>462</v>
      </c>
      <c r="H57" s="1211" t="s">
        <v>481</v>
      </c>
      <c r="I57" s="1212" t="s">
        <v>605</v>
      </c>
      <c r="J57" s="1211" t="s">
        <v>445</v>
      </c>
      <c r="K57" s="1211" t="s">
        <v>699</v>
      </c>
      <c r="L57" s="1211" t="s">
        <v>462</v>
      </c>
      <c r="M57" s="1211" t="s">
        <v>124</v>
      </c>
      <c r="N57" s="1211" t="s">
        <v>605</v>
      </c>
      <c r="O57" s="1213" t="s">
        <v>541</v>
      </c>
      <c r="P57" s="1213">
        <v>183</v>
      </c>
      <c r="Q57" s="1213">
        <v>7</v>
      </c>
      <c r="R57" s="1211" t="s">
        <v>442</v>
      </c>
    </row>
    <row r="58" spans="1:18" hidden="1">
      <c r="A58" s="1208" t="s">
        <v>499</v>
      </c>
      <c r="B58" s="1208" t="s">
        <v>477</v>
      </c>
      <c r="C58" s="1208" t="s">
        <v>700</v>
      </c>
      <c r="D58" s="1208" t="s">
        <v>500</v>
      </c>
      <c r="E58" s="1208" t="s">
        <v>501</v>
      </c>
      <c r="F58" s="1208" t="s">
        <v>520</v>
      </c>
      <c r="G58" s="1208" t="s">
        <v>441</v>
      </c>
      <c r="H58" s="1208" t="s">
        <v>508</v>
      </c>
      <c r="I58" s="1209" t="s">
        <v>605</v>
      </c>
      <c r="J58" s="1208" t="s">
        <v>440</v>
      </c>
      <c r="K58" s="1208" t="s">
        <v>529</v>
      </c>
      <c r="L58" s="1208" t="s">
        <v>124</v>
      </c>
      <c r="M58" s="1208" t="s">
        <v>441</v>
      </c>
      <c r="N58" s="1208" t="s">
        <v>605</v>
      </c>
      <c r="O58" s="1210" t="s">
        <v>495</v>
      </c>
      <c r="P58" s="1210">
        <v>44</v>
      </c>
      <c r="Q58" s="1210">
        <v>4</v>
      </c>
      <c r="R58" s="1208" t="s">
        <v>442</v>
      </c>
    </row>
    <row r="59" spans="1:18" hidden="1">
      <c r="A59" s="1211" t="s">
        <v>499</v>
      </c>
      <c r="B59" s="1211" t="s">
        <v>477</v>
      </c>
      <c r="C59" s="1211" t="s">
        <v>701</v>
      </c>
      <c r="D59" s="1211" t="s">
        <v>500</v>
      </c>
      <c r="E59" s="1211" t="s">
        <v>501</v>
      </c>
      <c r="F59" s="1211" t="s">
        <v>517</v>
      </c>
      <c r="G59" s="1211" t="s">
        <v>462</v>
      </c>
      <c r="H59" s="1211" t="s">
        <v>481</v>
      </c>
      <c r="I59" s="1212" t="s">
        <v>605</v>
      </c>
      <c r="J59" s="1211" t="s">
        <v>440</v>
      </c>
      <c r="K59" s="1211" t="s">
        <v>699</v>
      </c>
      <c r="L59" s="1211" t="s">
        <v>124</v>
      </c>
      <c r="M59" s="1211" t="s">
        <v>462</v>
      </c>
      <c r="N59" s="1211" t="s">
        <v>605</v>
      </c>
      <c r="O59" s="1213" t="s">
        <v>572</v>
      </c>
      <c r="P59" s="1213">
        <v>145</v>
      </c>
      <c r="Q59" s="1213">
        <v>7</v>
      </c>
      <c r="R59" s="1211" t="s">
        <v>442</v>
      </c>
    </row>
    <row r="60" spans="1:18" hidden="1">
      <c r="A60" s="1208" t="s">
        <v>499</v>
      </c>
      <c r="B60" s="1208" t="s">
        <v>477</v>
      </c>
      <c r="C60" s="1208" t="s">
        <v>702</v>
      </c>
      <c r="D60" s="1208" t="s">
        <v>500</v>
      </c>
      <c r="E60" s="1208" t="s">
        <v>501</v>
      </c>
      <c r="F60" s="1208" t="s">
        <v>703</v>
      </c>
      <c r="G60" s="1208" t="s">
        <v>704</v>
      </c>
      <c r="H60" s="1208" t="s">
        <v>530</v>
      </c>
      <c r="I60" s="1209" t="s">
        <v>605</v>
      </c>
      <c r="J60" s="1208" t="s">
        <v>445</v>
      </c>
      <c r="K60" s="1208" t="s">
        <v>705</v>
      </c>
      <c r="L60" s="1208" t="s">
        <v>706</v>
      </c>
      <c r="M60" s="1208" t="s">
        <v>124</v>
      </c>
      <c r="N60" s="1208" t="s">
        <v>605</v>
      </c>
      <c r="O60" s="1210" t="s">
        <v>496</v>
      </c>
      <c r="P60" s="1210">
        <v>2</v>
      </c>
      <c r="Q60" s="1210">
        <v>2</v>
      </c>
      <c r="R60" s="1208" t="s">
        <v>442</v>
      </c>
    </row>
    <row r="61" spans="1:18" hidden="1">
      <c r="A61" s="1211" t="s">
        <v>499</v>
      </c>
      <c r="B61" s="1211" t="s">
        <v>477</v>
      </c>
      <c r="C61" s="1211" t="s">
        <v>707</v>
      </c>
      <c r="D61" s="1211" t="s">
        <v>500</v>
      </c>
      <c r="E61" s="1211" t="s">
        <v>501</v>
      </c>
      <c r="F61" s="1211" t="s">
        <v>703</v>
      </c>
      <c r="G61" s="1211" t="s">
        <v>704</v>
      </c>
      <c r="H61" s="1211" t="s">
        <v>530</v>
      </c>
      <c r="I61" s="1212" t="s">
        <v>605</v>
      </c>
      <c r="J61" s="1211" t="s">
        <v>440</v>
      </c>
      <c r="K61" s="1211" t="s">
        <v>705</v>
      </c>
      <c r="L61" s="1211" t="s">
        <v>124</v>
      </c>
      <c r="M61" s="1211" t="s">
        <v>466</v>
      </c>
      <c r="N61" s="1211" t="s">
        <v>605</v>
      </c>
      <c r="O61" s="1213" t="s">
        <v>496</v>
      </c>
      <c r="P61" s="1213">
        <v>4</v>
      </c>
      <c r="Q61" s="1213">
        <v>2</v>
      </c>
      <c r="R61" s="1211" t="s">
        <v>442</v>
      </c>
    </row>
    <row r="62" spans="1:18" hidden="1">
      <c r="A62" s="1208" t="s">
        <v>499</v>
      </c>
      <c r="B62" s="1208" t="s">
        <v>477</v>
      </c>
      <c r="C62" s="1208" t="s">
        <v>708</v>
      </c>
      <c r="D62" s="1208" t="s">
        <v>500</v>
      </c>
      <c r="E62" s="1208" t="s">
        <v>501</v>
      </c>
      <c r="F62" s="1208" t="s">
        <v>511</v>
      </c>
      <c r="G62" s="1208" t="s">
        <v>453</v>
      </c>
      <c r="H62" s="1208" t="s">
        <v>503</v>
      </c>
      <c r="I62" s="1209" t="s">
        <v>605</v>
      </c>
      <c r="J62" s="1208" t="s">
        <v>445</v>
      </c>
      <c r="K62" s="1208" t="s">
        <v>680</v>
      </c>
      <c r="L62" s="1208" t="s">
        <v>453</v>
      </c>
      <c r="M62" s="1208" t="s">
        <v>124</v>
      </c>
      <c r="N62" s="1208" t="s">
        <v>605</v>
      </c>
      <c r="O62" s="1210" t="s">
        <v>495</v>
      </c>
      <c r="P62" s="1210">
        <v>184</v>
      </c>
      <c r="Q62" s="1210">
        <v>6</v>
      </c>
      <c r="R62" s="1208" t="s">
        <v>442</v>
      </c>
    </row>
    <row r="63" spans="1:18" hidden="1">
      <c r="A63" s="1211" t="s">
        <v>499</v>
      </c>
      <c r="B63" s="1211" t="s">
        <v>477</v>
      </c>
      <c r="C63" s="1211" t="s">
        <v>709</v>
      </c>
      <c r="D63" s="1211" t="s">
        <v>500</v>
      </c>
      <c r="E63" s="1211" t="s">
        <v>501</v>
      </c>
      <c r="F63" s="1211" t="s">
        <v>511</v>
      </c>
      <c r="G63" s="1211" t="s">
        <v>453</v>
      </c>
      <c r="H63" s="1211" t="s">
        <v>503</v>
      </c>
      <c r="I63" s="1212" t="s">
        <v>605</v>
      </c>
      <c r="J63" s="1211" t="s">
        <v>440</v>
      </c>
      <c r="K63" s="1211" t="s">
        <v>680</v>
      </c>
      <c r="L63" s="1211" t="s">
        <v>124</v>
      </c>
      <c r="M63" s="1211" t="s">
        <v>453</v>
      </c>
      <c r="N63" s="1211" t="s">
        <v>605</v>
      </c>
      <c r="O63" s="1213" t="s">
        <v>571</v>
      </c>
      <c r="P63" s="1213">
        <v>73</v>
      </c>
      <c r="Q63" s="1213">
        <v>6</v>
      </c>
      <c r="R63" s="1211" t="s">
        <v>442</v>
      </c>
    </row>
    <row r="64" spans="1:18" hidden="1">
      <c r="A64" s="1208" t="s">
        <v>499</v>
      </c>
      <c r="B64" s="1208" t="s">
        <v>477</v>
      </c>
      <c r="C64" s="1208" t="s">
        <v>710</v>
      </c>
      <c r="D64" s="1208" t="s">
        <v>500</v>
      </c>
      <c r="E64" s="1208" t="s">
        <v>501</v>
      </c>
      <c r="F64" s="1208" t="s">
        <v>522</v>
      </c>
      <c r="G64" s="1208" t="s">
        <v>466</v>
      </c>
      <c r="H64" s="1208" t="s">
        <v>508</v>
      </c>
      <c r="I64" s="1209" t="s">
        <v>605</v>
      </c>
      <c r="J64" s="1208" t="s">
        <v>445</v>
      </c>
      <c r="K64" s="1208" t="s">
        <v>533</v>
      </c>
      <c r="L64" s="1208" t="s">
        <v>466</v>
      </c>
      <c r="M64" s="1208" t="s">
        <v>124</v>
      </c>
      <c r="N64" s="1208" t="s">
        <v>605</v>
      </c>
      <c r="O64" s="1210" t="s">
        <v>535</v>
      </c>
      <c r="P64" s="1210">
        <v>38</v>
      </c>
      <c r="Q64" s="1210">
        <v>4</v>
      </c>
      <c r="R64" s="1208" t="s">
        <v>442</v>
      </c>
    </row>
    <row r="65" spans="1:18" hidden="1">
      <c r="A65" s="1211" t="s">
        <v>499</v>
      </c>
      <c r="B65" s="1211" t="s">
        <v>477</v>
      </c>
      <c r="C65" s="1211" t="s">
        <v>711</v>
      </c>
      <c r="D65" s="1211" t="s">
        <v>500</v>
      </c>
      <c r="E65" s="1211" t="s">
        <v>501</v>
      </c>
      <c r="F65" s="1211" t="s">
        <v>522</v>
      </c>
      <c r="G65" s="1211" t="s">
        <v>466</v>
      </c>
      <c r="H65" s="1211" t="s">
        <v>508</v>
      </c>
      <c r="I65" s="1212" t="s">
        <v>605</v>
      </c>
      <c r="J65" s="1211" t="s">
        <v>440</v>
      </c>
      <c r="K65" s="1211" t="s">
        <v>533</v>
      </c>
      <c r="L65" s="1211" t="s">
        <v>124</v>
      </c>
      <c r="M65" s="1211" t="s">
        <v>466</v>
      </c>
      <c r="N65" s="1211" t="s">
        <v>605</v>
      </c>
      <c r="O65" s="1213" t="s">
        <v>712</v>
      </c>
      <c r="P65" s="1213">
        <v>53</v>
      </c>
      <c r="Q65" s="1213">
        <v>4</v>
      </c>
      <c r="R65" s="1211" t="s">
        <v>442</v>
      </c>
    </row>
    <row r="66" spans="1:18" hidden="1">
      <c r="A66" s="1208" t="s">
        <v>499</v>
      </c>
      <c r="B66" s="1208" t="s">
        <v>477</v>
      </c>
      <c r="C66" s="1208" t="s">
        <v>713</v>
      </c>
      <c r="D66" s="1208" t="s">
        <v>500</v>
      </c>
      <c r="E66" s="1208" t="s">
        <v>501</v>
      </c>
      <c r="F66" s="1208" t="s">
        <v>522</v>
      </c>
      <c r="G66" s="1208" t="s">
        <v>466</v>
      </c>
      <c r="H66" s="1208" t="s">
        <v>503</v>
      </c>
      <c r="I66" s="1209" t="s">
        <v>714</v>
      </c>
      <c r="J66" s="1208" t="s">
        <v>445</v>
      </c>
      <c r="K66" s="1208" t="s">
        <v>715</v>
      </c>
      <c r="L66" s="1208" t="s">
        <v>466</v>
      </c>
      <c r="M66" s="1208" t="s">
        <v>124</v>
      </c>
      <c r="N66" s="1208" t="s">
        <v>714</v>
      </c>
      <c r="O66" s="1210" t="s">
        <v>526</v>
      </c>
      <c r="P66" s="1210">
        <v>105</v>
      </c>
      <c r="Q66" s="1210">
        <v>7</v>
      </c>
      <c r="R66" s="1208" t="s">
        <v>442</v>
      </c>
    </row>
    <row r="67" spans="1:18" hidden="1">
      <c r="A67" s="1211" t="s">
        <v>499</v>
      </c>
      <c r="B67" s="1211" t="s">
        <v>477</v>
      </c>
      <c r="C67" s="1211" t="s">
        <v>716</v>
      </c>
      <c r="D67" s="1211" t="s">
        <v>500</v>
      </c>
      <c r="E67" s="1211" t="s">
        <v>501</v>
      </c>
      <c r="F67" s="1211" t="s">
        <v>522</v>
      </c>
      <c r="G67" s="1211" t="s">
        <v>466</v>
      </c>
      <c r="H67" s="1211" t="s">
        <v>503</v>
      </c>
      <c r="I67" s="1212" t="s">
        <v>714</v>
      </c>
      <c r="J67" s="1211" t="s">
        <v>440</v>
      </c>
      <c r="K67" s="1211" t="s">
        <v>715</v>
      </c>
      <c r="L67" s="1211" t="s">
        <v>124</v>
      </c>
      <c r="M67" s="1211" t="s">
        <v>466</v>
      </c>
      <c r="N67" s="1211" t="s">
        <v>714</v>
      </c>
      <c r="O67" s="1213" t="s">
        <v>527</v>
      </c>
      <c r="P67" s="1213">
        <v>101</v>
      </c>
      <c r="Q67" s="1213">
        <v>7</v>
      </c>
      <c r="R67" s="1211" t="s">
        <v>442</v>
      </c>
    </row>
    <row r="68" spans="1:18" hidden="1">
      <c r="A68" s="1208" t="s">
        <v>499</v>
      </c>
      <c r="B68" s="1208" t="s">
        <v>477</v>
      </c>
      <c r="C68" s="1208" t="s">
        <v>717</v>
      </c>
      <c r="D68" s="1208" t="s">
        <v>500</v>
      </c>
      <c r="E68" s="1208" t="s">
        <v>501</v>
      </c>
      <c r="F68" s="1208" t="s">
        <v>505</v>
      </c>
      <c r="G68" s="1208" t="s">
        <v>453</v>
      </c>
      <c r="H68" s="1208" t="s">
        <v>581</v>
      </c>
      <c r="I68" s="1209" t="s">
        <v>714</v>
      </c>
      <c r="J68" s="1208" t="s">
        <v>445</v>
      </c>
      <c r="K68" s="1208" t="s">
        <v>694</v>
      </c>
      <c r="L68" s="1208" t="s">
        <v>453</v>
      </c>
      <c r="M68" s="1208" t="s">
        <v>124</v>
      </c>
      <c r="N68" s="1208" t="s">
        <v>714</v>
      </c>
      <c r="O68" s="1210" t="s">
        <v>583</v>
      </c>
      <c r="P68" s="1210">
        <v>90</v>
      </c>
      <c r="Q68" s="1210">
        <v>4</v>
      </c>
      <c r="R68" s="1208" t="s">
        <v>442</v>
      </c>
    </row>
    <row r="69" spans="1:18" hidden="1">
      <c r="A69" s="1211" t="s">
        <v>499</v>
      </c>
      <c r="B69" s="1211" t="s">
        <v>477</v>
      </c>
      <c r="C69" s="1211" t="s">
        <v>718</v>
      </c>
      <c r="D69" s="1211" t="s">
        <v>500</v>
      </c>
      <c r="E69" s="1211" t="s">
        <v>501</v>
      </c>
      <c r="F69" s="1211" t="s">
        <v>505</v>
      </c>
      <c r="G69" s="1211" t="s">
        <v>453</v>
      </c>
      <c r="H69" s="1211" t="s">
        <v>581</v>
      </c>
      <c r="I69" s="1212" t="s">
        <v>714</v>
      </c>
      <c r="J69" s="1211" t="s">
        <v>440</v>
      </c>
      <c r="K69" s="1211" t="s">
        <v>694</v>
      </c>
      <c r="L69" s="1211" t="s">
        <v>124</v>
      </c>
      <c r="M69" s="1211" t="s">
        <v>453</v>
      </c>
      <c r="N69" s="1211" t="s">
        <v>714</v>
      </c>
      <c r="O69" s="1213" t="s">
        <v>546</v>
      </c>
      <c r="P69" s="1213">
        <v>46</v>
      </c>
      <c r="Q69" s="1213">
        <v>4</v>
      </c>
      <c r="R69" s="1211" t="s">
        <v>442</v>
      </c>
    </row>
    <row r="70" spans="1:18" hidden="1">
      <c r="A70" s="1208" t="s">
        <v>499</v>
      </c>
      <c r="B70" s="1208" t="s">
        <v>477</v>
      </c>
      <c r="C70" s="1208" t="s">
        <v>719</v>
      </c>
      <c r="D70" s="1208" t="s">
        <v>500</v>
      </c>
      <c r="E70" s="1208" t="s">
        <v>501</v>
      </c>
      <c r="F70" s="1208" t="s">
        <v>511</v>
      </c>
      <c r="G70" s="1208" t="s">
        <v>453</v>
      </c>
      <c r="H70" s="1208" t="s">
        <v>503</v>
      </c>
      <c r="I70" s="1209" t="s">
        <v>714</v>
      </c>
      <c r="J70" s="1208" t="s">
        <v>445</v>
      </c>
      <c r="K70" s="1208" t="s">
        <v>531</v>
      </c>
      <c r="L70" s="1208" t="s">
        <v>453</v>
      </c>
      <c r="M70" s="1208" t="s">
        <v>124</v>
      </c>
      <c r="N70" s="1208" t="s">
        <v>714</v>
      </c>
      <c r="O70" s="1210" t="s">
        <v>483</v>
      </c>
      <c r="P70" s="1210">
        <v>180</v>
      </c>
      <c r="Q70" s="1210">
        <v>6</v>
      </c>
      <c r="R70" s="1208" t="s">
        <v>442</v>
      </c>
    </row>
    <row r="71" spans="1:18" hidden="1">
      <c r="A71" s="1211" t="s">
        <v>499</v>
      </c>
      <c r="B71" s="1211" t="s">
        <v>477</v>
      </c>
      <c r="C71" s="1211" t="s">
        <v>720</v>
      </c>
      <c r="D71" s="1211" t="s">
        <v>500</v>
      </c>
      <c r="E71" s="1211" t="s">
        <v>501</v>
      </c>
      <c r="F71" s="1211" t="s">
        <v>511</v>
      </c>
      <c r="G71" s="1211" t="s">
        <v>453</v>
      </c>
      <c r="H71" s="1211" t="s">
        <v>503</v>
      </c>
      <c r="I71" s="1212" t="s">
        <v>714</v>
      </c>
      <c r="J71" s="1211" t="s">
        <v>440</v>
      </c>
      <c r="K71" s="1211" t="s">
        <v>531</v>
      </c>
      <c r="L71" s="1211" t="s">
        <v>124</v>
      </c>
      <c r="M71" s="1211" t="s">
        <v>453</v>
      </c>
      <c r="N71" s="1211" t="s">
        <v>714</v>
      </c>
      <c r="O71" s="1213" t="s">
        <v>483</v>
      </c>
      <c r="P71" s="1213">
        <v>96</v>
      </c>
      <c r="Q71" s="1213">
        <v>6</v>
      </c>
      <c r="R71" s="1211" t="s">
        <v>442</v>
      </c>
    </row>
    <row r="72" spans="1:18" hidden="1">
      <c r="A72" s="1208" t="s">
        <v>499</v>
      </c>
      <c r="B72" s="1208" t="s">
        <v>477</v>
      </c>
      <c r="C72" s="1208" t="s">
        <v>721</v>
      </c>
      <c r="D72" s="1208" t="s">
        <v>500</v>
      </c>
      <c r="E72" s="1208" t="s">
        <v>501</v>
      </c>
      <c r="F72" s="1208" t="s">
        <v>565</v>
      </c>
      <c r="G72" s="1208" t="s">
        <v>453</v>
      </c>
      <c r="H72" s="1208" t="s">
        <v>549</v>
      </c>
      <c r="I72" s="1209" t="s">
        <v>714</v>
      </c>
      <c r="J72" s="1208" t="s">
        <v>445</v>
      </c>
      <c r="K72" s="1208" t="s">
        <v>722</v>
      </c>
      <c r="L72" s="1208" t="s">
        <v>723</v>
      </c>
      <c r="M72" s="1208" t="s">
        <v>124</v>
      </c>
      <c r="N72" s="1208" t="s">
        <v>714</v>
      </c>
      <c r="O72" s="1210" t="s">
        <v>489</v>
      </c>
      <c r="P72" s="1210">
        <v>0</v>
      </c>
      <c r="Q72" s="1210">
        <v>9</v>
      </c>
      <c r="R72" s="1208" t="s">
        <v>442</v>
      </c>
    </row>
    <row r="73" spans="1:18" hidden="1">
      <c r="A73" s="1211" t="s">
        <v>499</v>
      </c>
      <c r="B73" s="1211" t="s">
        <v>477</v>
      </c>
      <c r="C73" s="1211" t="s">
        <v>724</v>
      </c>
      <c r="D73" s="1211" t="s">
        <v>500</v>
      </c>
      <c r="E73" s="1211" t="s">
        <v>501</v>
      </c>
      <c r="F73" s="1211" t="s">
        <v>565</v>
      </c>
      <c r="G73" s="1211" t="s">
        <v>453</v>
      </c>
      <c r="H73" s="1211" t="s">
        <v>549</v>
      </c>
      <c r="I73" s="1212" t="s">
        <v>610</v>
      </c>
      <c r="J73" s="1211" t="s">
        <v>440</v>
      </c>
      <c r="K73" s="1211" t="s">
        <v>722</v>
      </c>
      <c r="L73" s="1211" t="s">
        <v>124</v>
      </c>
      <c r="M73" s="1211" t="s">
        <v>723</v>
      </c>
      <c r="N73" s="1211" t="s">
        <v>610</v>
      </c>
      <c r="O73" s="1213" t="s">
        <v>544</v>
      </c>
      <c r="P73" s="1213">
        <v>0</v>
      </c>
      <c r="Q73" s="1213">
        <v>9</v>
      </c>
      <c r="R73" s="1211" t="s">
        <v>442</v>
      </c>
    </row>
    <row r="74" spans="1:18" hidden="1">
      <c r="A74" s="1208" t="s">
        <v>499</v>
      </c>
      <c r="B74" s="1208" t="s">
        <v>477</v>
      </c>
      <c r="C74" s="1208" t="s">
        <v>725</v>
      </c>
      <c r="D74" s="1208" t="s">
        <v>500</v>
      </c>
      <c r="E74" s="1208" t="s">
        <v>501</v>
      </c>
      <c r="F74" s="1208" t="s">
        <v>520</v>
      </c>
      <c r="G74" s="1208" t="s">
        <v>441</v>
      </c>
      <c r="H74" s="1208" t="s">
        <v>508</v>
      </c>
      <c r="I74" s="1209" t="s">
        <v>610</v>
      </c>
      <c r="J74" s="1208" t="s">
        <v>445</v>
      </c>
      <c r="K74" s="1208" t="s">
        <v>539</v>
      </c>
      <c r="L74" s="1208" t="s">
        <v>441</v>
      </c>
      <c r="M74" s="1208" t="s">
        <v>124</v>
      </c>
      <c r="N74" s="1208" t="s">
        <v>610</v>
      </c>
      <c r="O74" s="1210" t="s">
        <v>536</v>
      </c>
      <c r="P74" s="1210">
        <v>60</v>
      </c>
      <c r="Q74" s="1210">
        <v>4</v>
      </c>
      <c r="R74" s="1208" t="s">
        <v>442</v>
      </c>
    </row>
    <row r="75" spans="1:18" hidden="1">
      <c r="A75" s="1211" t="s">
        <v>499</v>
      </c>
      <c r="B75" s="1211" t="s">
        <v>477</v>
      </c>
      <c r="C75" s="1211" t="s">
        <v>726</v>
      </c>
      <c r="D75" s="1211" t="s">
        <v>500</v>
      </c>
      <c r="E75" s="1211" t="s">
        <v>501</v>
      </c>
      <c r="F75" s="1211" t="s">
        <v>520</v>
      </c>
      <c r="G75" s="1211" t="s">
        <v>441</v>
      </c>
      <c r="H75" s="1211" t="s">
        <v>508</v>
      </c>
      <c r="I75" s="1212" t="s">
        <v>610</v>
      </c>
      <c r="J75" s="1211" t="s">
        <v>440</v>
      </c>
      <c r="K75" s="1211" t="s">
        <v>539</v>
      </c>
      <c r="L75" s="1211" t="s">
        <v>124</v>
      </c>
      <c r="M75" s="1211" t="s">
        <v>441</v>
      </c>
      <c r="N75" s="1211" t="s">
        <v>610</v>
      </c>
      <c r="O75" s="1213" t="s">
        <v>524</v>
      </c>
      <c r="P75" s="1213">
        <v>54</v>
      </c>
      <c r="Q75" s="1213">
        <v>4</v>
      </c>
      <c r="R75" s="1211" t="s">
        <v>442</v>
      </c>
    </row>
    <row r="76" spans="1:18" hidden="1">
      <c r="A76" s="1208" t="s">
        <v>499</v>
      </c>
      <c r="B76" s="1208" t="s">
        <v>477</v>
      </c>
      <c r="C76" s="1208" t="s">
        <v>727</v>
      </c>
      <c r="D76" s="1208" t="s">
        <v>500</v>
      </c>
      <c r="E76" s="1208" t="s">
        <v>501</v>
      </c>
      <c r="F76" s="1208" t="s">
        <v>505</v>
      </c>
      <c r="G76" s="1208" t="s">
        <v>453</v>
      </c>
      <c r="H76" s="1208" t="s">
        <v>581</v>
      </c>
      <c r="I76" s="1209" t="s">
        <v>610</v>
      </c>
      <c r="J76" s="1208" t="s">
        <v>445</v>
      </c>
      <c r="K76" s="1208" t="s">
        <v>588</v>
      </c>
      <c r="L76" s="1208" t="s">
        <v>453</v>
      </c>
      <c r="M76" s="1208" t="s">
        <v>124</v>
      </c>
      <c r="N76" s="1208" t="s">
        <v>610</v>
      </c>
      <c r="O76" s="1210" t="s">
        <v>583</v>
      </c>
      <c r="P76" s="1210">
        <v>88</v>
      </c>
      <c r="Q76" s="1210">
        <v>4</v>
      </c>
      <c r="R76" s="1208" t="s">
        <v>442</v>
      </c>
    </row>
    <row r="77" spans="1:18" hidden="1">
      <c r="A77" s="1211" t="s">
        <v>499</v>
      </c>
      <c r="B77" s="1211" t="s">
        <v>477</v>
      </c>
      <c r="C77" s="1211" t="s">
        <v>728</v>
      </c>
      <c r="D77" s="1211" t="s">
        <v>500</v>
      </c>
      <c r="E77" s="1211" t="s">
        <v>501</v>
      </c>
      <c r="F77" s="1211" t="s">
        <v>517</v>
      </c>
      <c r="G77" s="1211" t="s">
        <v>462</v>
      </c>
      <c r="H77" s="1211" t="s">
        <v>481</v>
      </c>
      <c r="I77" s="1212" t="s">
        <v>610</v>
      </c>
      <c r="J77" s="1211" t="s">
        <v>445</v>
      </c>
      <c r="K77" s="1211" t="s">
        <v>729</v>
      </c>
      <c r="L77" s="1211" t="s">
        <v>462</v>
      </c>
      <c r="M77" s="1211" t="s">
        <v>124</v>
      </c>
      <c r="N77" s="1211" t="s">
        <v>610</v>
      </c>
      <c r="O77" s="1213" t="s">
        <v>485</v>
      </c>
      <c r="P77" s="1213">
        <v>186</v>
      </c>
      <c r="Q77" s="1213">
        <v>7</v>
      </c>
      <c r="R77" s="1211" t="s">
        <v>442</v>
      </c>
    </row>
    <row r="78" spans="1:18" hidden="1">
      <c r="A78" s="1208" t="s">
        <v>499</v>
      </c>
      <c r="B78" s="1208" t="s">
        <v>477</v>
      </c>
      <c r="C78" s="1208" t="s">
        <v>730</v>
      </c>
      <c r="D78" s="1208" t="s">
        <v>500</v>
      </c>
      <c r="E78" s="1208" t="s">
        <v>501</v>
      </c>
      <c r="F78" s="1208" t="s">
        <v>511</v>
      </c>
      <c r="G78" s="1208" t="s">
        <v>453</v>
      </c>
      <c r="H78" s="1208" t="s">
        <v>503</v>
      </c>
      <c r="I78" s="1209" t="s">
        <v>610</v>
      </c>
      <c r="J78" s="1208" t="s">
        <v>445</v>
      </c>
      <c r="K78" s="1208" t="s">
        <v>531</v>
      </c>
      <c r="L78" s="1208" t="s">
        <v>453</v>
      </c>
      <c r="M78" s="1208" t="s">
        <v>124</v>
      </c>
      <c r="N78" s="1208" t="s">
        <v>610</v>
      </c>
      <c r="O78" s="1210" t="s">
        <v>586</v>
      </c>
      <c r="P78" s="1210">
        <v>179</v>
      </c>
      <c r="Q78" s="1210">
        <v>6</v>
      </c>
      <c r="R78" s="1208" t="s">
        <v>442</v>
      </c>
    </row>
    <row r="79" spans="1:18" hidden="1">
      <c r="A79" s="1211" t="s">
        <v>499</v>
      </c>
      <c r="B79" s="1211" t="s">
        <v>477</v>
      </c>
      <c r="C79" s="1211" t="s">
        <v>731</v>
      </c>
      <c r="D79" s="1211" t="s">
        <v>500</v>
      </c>
      <c r="E79" s="1211" t="s">
        <v>501</v>
      </c>
      <c r="F79" s="1211" t="s">
        <v>505</v>
      </c>
      <c r="G79" s="1211" t="s">
        <v>453</v>
      </c>
      <c r="H79" s="1211" t="s">
        <v>581</v>
      </c>
      <c r="I79" s="1212" t="s">
        <v>610</v>
      </c>
      <c r="J79" s="1211" t="s">
        <v>440</v>
      </c>
      <c r="K79" s="1211" t="s">
        <v>588</v>
      </c>
      <c r="L79" s="1211" t="s">
        <v>124</v>
      </c>
      <c r="M79" s="1211" t="s">
        <v>453</v>
      </c>
      <c r="N79" s="1211" t="s">
        <v>610</v>
      </c>
      <c r="O79" s="1213" t="s">
        <v>546</v>
      </c>
      <c r="P79" s="1213">
        <v>53</v>
      </c>
      <c r="Q79" s="1213">
        <v>4</v>
      </c>
      <c r="R79" s="1211" t="s">
        <v>442</v>
      </c>
    </row>
    <row r="80" spans="1:18" hidden="1">
      <c r="A80" s="1208" t="s">
        <v>499</v>
      </c>
      <c r="B80" s="1208" t="s">
        <v>477</v>
      </c>
      <c r="C80" s="1208" t="s">
        <v>732</v>
      </c>
      <c r="D80" s="1208" t="s">
        <v>500</v>
      </c>
      <c r="E80" s="1208" t="s">
        <v>501</v>
      </c>
      <c r="F80" s="1208" t="s">
        <v>511</v>
      </c>
      <c r="G80" s="1208" t="s">
        <v>453</v>
      </c>
      <c r="H80" s="1208" t="s">
        <v>503</v>
      </c>
      <c r="I80" s="1209" t="s">
        <v>610</v>
      </c>
      <c r="J80" s="1208" t="s">
        <v>440</v>
      </c>
      <c r="K80" s="1208" t="s">
        <v>531</v>
      </c>
      <c r="L80" s="1208" t="s">
        <v>124</v>
      </c>
      <c r="M80" s="1208" t="s">
        <v>453</v>
      </c>
      <c r="N80" s="1208" t="s">
        <v>610</v>
      </c>
      <c r="O80" s="1210" t="s">
        <v>483</v>
      </c>
      <c r="P80" s="1210">
        <v>94</v>
      </c>
      <c r="Q80" s="1210">
        <v>6</v>
      </c>
      <c r="R80" s="1208" t="s">
        <v>442</v>
      </c>
    </row>
    <row r="81" spans="1:18" hidden="1">
      <c r="A81" s="1211" t="s">
        <v>499</v>
      </c>
      <c r="B81" s="1211" t="s">
        <v>477</v>
      </c>
      <c r="C81" s="1211" t="s">
        <v>733</v>
      </c>
      <c r="D81" s="1211" t="s">
        <v>500</v>
      </c>
      <c r="E81" s="1211" t="s">
        <v>501</v>
      </c>
      <c r="F81" s="1211" t="s">
        <v>517</v>
      </c>
      <c r="G81" s="1211" t="s">
        <v>462</v>
      </c>
      <c r="H81" s="1211" t="s">
        <v>481</v>
      </c>
      <c r="I81" s="1212" t="s">
        <v>610</v>
      </c>
      <c r="J81" s="1211" t="s">
        <v>440</v>
      </c>
      <c r="K81" s="1211" t="s">
        <v>729</v>
      </c>
      <c r="L81" s="1211" t="s">
        <v>124</v>
      </c>
      <c r="M81" s="1211" t="s">
        <v>462</v>
      </c>
      <c r="N81" s="1211" t="s">
        <v>610</v>
      </c>
      <c r="O81" s="1213" t="s">
        <v>483</v>
      </c>
      <c r="P81" s="1213">
        <v>136</v>
      </c>
      <c r="Q81" s="1213">
        <v>7</v>
      </c>
      <c r="R81" s="1211" t="s">
        <v>442</v>
      </c>
    </row>
    <row r="82" spans="1:18" hidden="1">
      <c r="A82" s="1208" t="s">
        <v>499</v>
      </c>
      <c r="B82" s="1208" t="s">
        <v>477</v>
      </c>
      <c r="C82" s="1208" t="s">
        <v>734</v>
      </c>
      <c r="D82" s="1208" t="s">
        <v>500</v>
      </c>
      <c r="E82" s="1208" t="s">
        <v>501</v>
      </c>
      <c r="F82" s="1208" t="s">
        <v>520</v>
      </c>
      <c r="G82" s="1208" t="s">
        <v>441</v>
      </c>
      <c r="H82" s="1208" t="s">
        <v>508</v>
      </c>
      <c r="I82" s="1209" t="s">
        <v>610</v>
      </c>
      <c r="J82" s="1208" t="s">
        <v>445</v>
      </c>
      <c r="K82" s="1208" t="s">
        <v>529</v>
      </c>
      <c r="L82" s="1208" t="s">
        <v>441</v>
      </c>
      <c r="M82" s="1208" t="s">
        <v>124</v>
      </c>
      <c r="N82" s="1208" t="s">
        <v>610</v>
      </c>
      <c r="O82" s="1210" t="s">
        <v>537</v>
      </c>
      <c r="P82" s="1210">
        <v>65</v>
      </c>
      <c r="Q82" s="1210">
        <v>4</v>
      </c>
      <c r="R82" s="1208" t="s">
        <v>442</v>
      </c>
    </row>
    <row r="83" spans="1:18" hidden="1">
      <c r="A83" s="1211" t="s">
        <v>499</v>
      </c>
      <c r="B83" s="1211" t="s">
        <v>477</v>
      </c>
      <c r="C83" s="1211" t="s">
        <v>735</v>
      </c>
      <c r="D83" s="1211" t="s">
        <v>500</v>
      </c>
      <c r="E83" s="1211" t="s">
        <v>501</v>
      </c>
      <c r="F83" s="1211" t="s">
        <v>736</v>
      </c>
      <c r="G83" s="1211" t="s">
        <v>441</v>
      </c>
      <c r="H83" s="1211" t="s">
        <v>530</v>
      </c>
      <c r="I83" s="1212" t="s">
        <v>610</v>
      </c>
      <c r="J83" s="1211" t="s">
        <v>445</v>
      </c>
      <c r="K83" s="1211" t="s">
        <v>737</v>
      </c>
      <c r="L83" s="1211" t="s">
        <v>460</v>
      </c>
      <c r="M83" s="1211" t="s">
        <v>124</v>
      </c>
      <c r="N83" s="1211" t="s">
        <v>610</v>
      </c>
      <c r="O83" s="1213" t="s">
        <v>537</v>
      </c>
      <c r="P83" s="1213">
        <v>8</v>
      </c>
      <c r="Q83" s="1213">
        <v>2</v>
      </c>
      <c r="R83" s="1211" t="s">
        <v>442</v>
      </c>
    </row>
    <row r="84" spans="1:18" hidden="1">
      <c r="A84" s="1208" t="s">
        <v>499</v>
      </c>
      <c r="B84" s="1208" t="s">
        <v>477</v>
      </c>
      <c r="C84" s="1208" t="s">
        <v>738</v>
      </c>
      <c r="D84" s="1208" t="s">
        <v>500</v>
      </c>
      <c r="E84" s="1208" t="s">
        <v>501</v>
      </c>
      <c r="F84" s="1208" t="s">
        <v>520</v>
      </c>
      <c r="G84" s="1208" t="s">
        <v>441</v>
      </c>
      <c r="H84" s="1208" t="s">
        <v>508</v>
      </c>
      <c r="I84" s="1209" t="s">
        <v>610</v>
      </c>
      <c r="J84" s="1208" t="s">
        <v>440</v>
      </c>
      <c r="K84" s="1208" t="s">
        <v>529</v>
      </c>
      <c r="L84" s="1208" t="s">
        <v>124</v>
      </c>
      <c r="M84" s="1208" t="s">
        <v>441</v>
      </c>
      <c r="N84" s="1208" t="s">
        <v>610</v>
      </c>
      <c r="O84" s="1210" t="s">
        <v>489</v>
      </c>
      <c r="P84" s="1210">
        <v>18</v>
      </c>
      <c r="Q84" s="1210">
        <v>4</v>
      </c>
      <c r="R84" s="1208" t="s">
        <v>442</v>
      </c>
    </row>
    <row r="85" spans="1:18" hidden="1">
      <c r="A85" s="1211" t="s">
        <v>499</v>
      </c>
      <c r="B85" s="1211" t="s">
        <v>477</v>
      </c>
      <c r="C85" s="1211" t="s">
        <v>739</v>
      </c>
      <c r="D85" s="1211" t="s">
        <v>500</v>
      </c>
      <c r="E85" s="1211" t="s">
        <v>501</v>
      </c>
      <c r="F85" s="1211" t="s">
        <v>736</v>
      </c>
      <c r="G85" s="1211" t="s">
        <v>441</v>
      </c>
      <c r="H85" s="1211" t="s">
        <v>530</v>
      </c>
      <c r="I85" s="1212" t="s">
        <v>610</v>
      </c>
      <c r="J85" s="1211" t="s">
        <v>440</v>
      </c>
      <c r="K85" s="1211" t="s">
        <v>737</v>
      </c>
      <c r="L85" s="1211" t="s">
        <v>124</v>
      </c>
      <c r="M85" s="1211" t="s">
        <v>441</v>
      </c>
      <c r="N85" s="1211" t="s">
        <v>610</v>
      </c>
      <c r="O85" s="1213" t="s">
        <v>489</v>
      </c>
      <c r="P85" s="1213">
        <v>0</v>
      </c>
      <c r="Q85" s="1213">
        <v>1</v>
      </c>
      <c r="R85" s="1211" t="s">
        <v>442</v>
      </c>
    </row>
    <row r="86" spans="1:18" hidden="1">
      <c r="A86" s="1208" t="s">
        <v>499</v>
      </c>
      <c r="B86" s="1208" t="s">
        <v>477</v>
      </c>
      <c r="C86" s="1208" t="s">
        <v>740</v>
      </c>
      <c r="D86" s="1208" t="s">
        <v>500</v>
      </c>
      <c r="E86" s="1208" t="s">
        <v>501</v>
      </c>
      <c r="F86" s="1208" t="s">
        <v>522</v>
      </c>
      <c r="G86" s="1208" t="s">
        <v>466</v>
      </c>
      <c r="H86" s="1208" t="s">
        <v>508</v>
      </c>
      <c r="I86" s="1209" t="s">
        <v>610</v>
      </c>
      <c r="J86" s="1208" t="s">
        <v>445</v>
      </c>
      <c r="K86" s="1208" t="s">
        <v>523</v>
      </c>
      <c r="L86" s="1208" t="s">
        <v>466</v>
      </c>
      <c r="M86" s="1208" t="s">
        <v>124</v>
      </c>
      <c r="N86" s="1208" t="s">
        <v>610</v>
      </c>
      <c r="O86" s="1210" t="s">
        <v>741</v>
      </c>
      <c r="P86" s="1210">
        <v>40</v>
      </c>
      <c r="Q86" s="1210">
        <v>5</v>
      </c>
      <c r="R86" s="1208" t="s">
        <v>442</v>
      </c>
    </row>
    <row r="87" spans="1:18" hidden="1">
      <c r="A87" s="1211" t="s">
        <v>499</v>
      </c>
      <c r="B87" s="1211" t="s">
        <v>477</v>
      </c>
      <c r="C87" s="1211" t="s">
        <v>742</v>
      </c>
      <c r="D87" s="1211" t="s">
        <v>500</v>
      </c>
      <c r="E87" s="1211" t="s">
        <v>501</v>
      </c>
      <c r="F87" s="1211" t="s">
        <v>522</v>
      </c>
      <c r="G87" s="1211" t="s">
        <v>466</v>
      </c>
      <c r="H87" s="1211" t="s">
        <v>508</v>
      </c>
      <c r="I87" s="1212" t="s">
        <v>610</v>
      </c>
      <c r="J87" s="1211" t="s">
        <v>440</v>
      </c>
      <c r="K87" s="1211" t="s">
        <v>523</v>
      </c>
      <c r="L87" s="1211" t="s">
        <v>124</v>
      </c>
      <c r="M87" s="1211" t="s">
        <v>466</v>
      </c>
      <c r="N87" s="1211" t="s">
        <v>610</v>
      </c>
      <c r="O87" s="1213" t="s">
        <v>512</v>
      </c>
      <c r="P87" s="1213">
        <v>50</v>
      </c>
      <c r="Q87" s="1213">
        <v>5</v>
      </c>
      <c r="R87" s="1211" t="s">
        <v>442</v>
      </c>
    </row>
    <row r="88" spans="1:18" hidden="1">
      <c r="A88" s="1208" t="s">
        <v>499</v>
      </c>
      <c r="B88" s="1208" t="s">
        <v>477</v>
      </c>
      <c r="C88" s="1208" t="s">
        <v>743</v>
      </c>
      <c r="D88" s="1208" t="s">
        <v>500</v>
      </c>
      <c r="E88" s="1208" t="s">
        <v>501</v>
      </c>
      <c r="F88" s="1208" t="s">
        <v>502</v>
      </c>
      <c r="G88" s="1208" t="s">
        <v>467</v>
      </c>
      <c r="H88" s="1208" t="s">
        <v>503</v>
      </c>
      <c r="I88" s="1209" t="s">
        <v>610</v>
      </c>
      <c r="J88" s="1208" t="s">
        <v>445</v>
      </c>
      <c r="K88" s="1208" t="s">
        <v>744</v>
      </c>
      <c r="L88" s="1208" t="s">
        <v>447</v>
      </c>
      <c r="M88" s="1208" t="s">
        <v>124</v>
      </c>
      <c r="N88" s="1208" t="s">
        <v>610</v>
      </c>
      <c r="O88" s="1210" t="s">
        <v>495</v>
      </c>
      <c r="P88" s="1210">
        <v>44</v>
      </c>
      <c r="Q88" s="1210">
        <v>8</v>
      </c>
      <c r="R88" s="1208" t="s">
        <v>442</v>
      </c>
    </row>
    <row r="89" spans="1:18" hidden="1">
      <c r="A89" s="1211" t="s">
        <v>499</v>
      </c>
      <c r="B89" s="1211" t="s">
        <v>477</v>
      </c>
      <c r="C89" s="1211" t="s">
        <v>745</v>
      </c>
      <c r="D89" s="1211" t="s">
        <v>500</v>
      </c>
      <c r="E89" s="1211" t="s">
        <v>501</v>
      </c>
      <c r="F89" s="1211" t="s">
        <v>746</v>
      </c>
      <c r="G89" s="1211" t="s">
        <v>747</v>
      </c>
      <c r="H89" s="1211" t="s">
        <v>508</v>
      </c>
      <c r="I89" s="1212" t="s">
        <v>610</v>
      </c>
      <c r="J89" s="1211" t="s">
        <v>445</v>
      </c>
      <c r="K89" s="1211" t="s">
        <v>748</v>
      </c>
      <c r="L89" s="1211" t="s">
        <v>458</v>
      </c>
      <c r="M89" s="1211" t="s">
        <v>124</v>
      </c>
      <c r="N89" s="1211" t="s">
        <v>610</v>
      </c>
      <c r="O89" s="1213" t="s">
        <v>749</v>
      </c>
      <c r="P89" s="1213">
        <v>0</v>
      </c>
      <c r="Q89" s="1213">
        <v>4</v>
      </c>
      <c r="R89" s="1211" t="s">
        <v>442</v>
      </c>
    </row>
    <row r="90" spans="1:18" hidden="1">
      <c r="A90" s="1208" t="s">
        <v>499</v>
      </c>
      <c r="B90" s="1208" t="s">
        <v>477</v>
      </c>
      <c r="C90" s="1208" t="s">
        <v>750</v>
      </c>
      <c r="D90" s="1208" t="s">
        <v>500</v>
      </c>
      <c r="E90" s="1208" t="s">
        <v>501</v>
      </c>
      <c r="F90" s="1208" t="s">
        <v>746</v>
      </c>
      <c r="G90" s="1208" t="s">
        <v>747</v>
      </c>
      <c r="H90" s="1208" t="s">
        <v>508</v>
      </c>
      <c r="I90" s="1209" t="s">
        <v>751</v>
      </c>
      <c r="J90" s="1208" t="s">
        <v>440</v>
      </c>
      <c r="K90" s="1208" t="s">
        <v>748</v>
      </c>
      <c r="L90" s="1208" t="s">
        <v>124</v>
      </c>
      <c r="M90" s="1208" t="s">
        <v>752</v>
      </c>
      <c r="N90" s="1208" t="s">
        <v>751</v>
      </c>
      <c r="O90" s="1210" t="s">
        <v>498</v>
      </c>
      <c r="P90" s="1210">
        <v>0</v>
      </c>
      <c r="Q90" s="1210">
        <v>4</v>
      </c>
      <c r="R90" s="1208" t="s">
        <v>442</v>
      </c>
    </row>
    <row r="91" spans="1:18" hidden="1">
      <c r="A91" s="1211" t="s">
        <v>499</v>
      </c>
      <c r="B91" s="1211" t="s">
        <v>477</v>
      </c>
      <c r="C91" s="1211" t="s">
        <v>753</v>
      </c>
      <c r="D91" s="1211" t="s">
        <v>500</v>
      </c>
      <c r="E91" s="1211" t="s">
        <v>501</v>
      </c>
      <c r="F91" s="1211" t="s">
        <v>687</v>
      </c>
      <c r="G91" s="1211" t="s">
        <v>688</v>
      </c>
      <c r="H91" s="1211" t="s">
        <v>530</v>
      </c>
      <c r="I91" s="1212" t="s">
        <v>751</v>
      </c>
      <c r="J91" s="1211" t="s">
        <v>440</v>
      </c>
      <c r="K91" s="1211" t="s">
        <v>689</v>
      </c>
      <c r="L91" s="1211" t="s">
        <v>124</v>
      </c>
      <c r="M91" s="1211" t="s">
        <v>451</v>
      </c>
      <c r="N91" s="1211" t="s">
        <v>751</v>
      </c>
      <c r="O91" s="1213" t="s">
        <v>754</v>
      </c>
      <c r="P91" s="1213">
        <v>3</v>
      </c>
      <c r="Q91" s="1213">
        <v>3</v>
      </c>
      <c r="R91" s="1211" t="s">
        <v>442</v>
      </c>
    </row>
    <row r="92" spans="1:18" hidden="1">
      <c r="A92" s="1208" t="s">
        <v>499</v>
      </c>
      <c r="B92" s="1208" t="s">
        <v>477</v>
      </c>
      <c r="C92" s="1208" t="s">
        <v>755</v>
      </c>
      <c r="D92" s="1208" t="s">
        <v>500</v>
      </c>
      <c r="E92" s="1208" t="s">
        <v>501</v>
      </c>
      <c r="F92" s="1208" t="s">
        <v>502</v>
      </c>
      <c r="G92" s="1208" t="s">
        <v>467</v>
      </c>
      <c r="H92" s="1208" t="s">
        <v>503</v>
      </c>
      <c r="I92" s="1209" t="s">
        <v>751</v>
      </c>
      <c r="J92" s="1208" t="s">
        <v>440</v>
      </c>
      <c r="K92" s="1208" t="s">
        <v>744</v>
      </c>
      <c r="L92" s="1208" t="s">
        <v>124</v>
      </c>
      <c r="M92" s="1208" t="s">
        <v>447</v>
      </c>
      <c r="N92" s="1208" t="s">
        <v>751</v>
      </c>
      <c r="O92" s="1210" t="s">
        <v>504</v>
      </c>
      <c r="P92" s="1210">
        <v>55</v>
      </c>
      <c r="Q92" s="1210">
        <v>8</v>
      </c>
      <c r="R92" s="1208" t="s">
        <v>442</v>
      </c>
    </row>
    <row r="93" spans="1:18" hidden="1">
      <c r="A93" s="1211" t="s">
        <v>499</v>
      </c>
      <c r="B93" s="1211" t="s">
        <v>477</v>
      </c>
      <c r="C93" s="1211" t="s">
        <v>756</v>
      </c>
      <c r="D93" s="1211" t="s">
        <v>500</v>
      </c>
      <c r="E93" s="1211" t="s">
        <v>501</v>
      </c>
      <c r="F93" s="1211" t="s">
        <v>566</v>
      </c>
      <c r="G93" s="1211" t="s">
        <v>453</v>
      </c>
      <c r="H93" s="1211" t="s">
        <v>530</v>
      </c>
      <c r="I93" s="1212" t="s">
        <v>751</v>
      </c>
      <c r="J93" s="1211" t="s">
        <v>445</v>
      </c>
      <c r="K93" s="1211" t="s">
        <v>567</v>
      </c>
      <c r="L93" s="1211" t="s">
        <v>453</v>
      </c>
      <c r="M93" s="1211" t="s">
        <v>124</v>
      </c>
      <c r="N93" s="1211" t="s">
        <v>751</v>
      </c>
      <c r="O93" s="1213" t="s">
        <v>757</v>
      </c>
      <c r="P93" s="1213">
        <v>0</v>
      </c>
      <c r="Q93" s="1213">
        <v>5</v>
      </c>
      <c r="R93" s="1211" t="s">
        <v>442</v>
      </c>
    </row>
    <row r="94" spans="1:18" hidden="1">
      <c r="A94" s="1208" t="s">
        <v>499</v>
      </c>
      <c r="B94" s="1208" t="s">
        <v>477</v>
      </c>
      <c r="C94" s="1208" t="s">
        <v>758</v>
      </c>
      <c r="D94" s="1208" t="s">
        <v>500</v>
      </c>
      <c r="E94" s="1208" t="s">
        <v>501</v>
      </c>
      <c r="F94" s="1208" t="s">
        <v>566</v>
      </c>
      <c r="G94" s="1208" t="s">
        <v>453</v>
      </c>
      <c r="H94" s="1208" t="s">
        <v>530</v>
      </c>
      <c r="I94" s="1209" t="s">
        <v>751</v>
      </c>
      <c r="J94" s="1208" t="s">
        <v>440</v>
      </c>
      <c r="K94" s="1208" t="s">
        <v>567</v>
      </c>
      <c r="L94" s="1208" t="s">
        <v>124</v>
      </c>
      <c r="M94" s="1208" t="s">
        <v>453</v>
      </c>
      <c r="N94" s="1208" t="s">
        <v>751</v>
      </c>
      <c r="O94" s="1210" t="s">
        <v>759</v>
      </c>
      <c r="P94" s="1210">
        <v>2</v>
      </c>
      <c r="Q94" s="1210">
        <v>5</v>
      </c>
      <c r="R94" s="1208" t="s">
        <v>442</v>
      </c>
    </row>
    <row r="95" spans="1:18" hidden="1">
      <c r="A95" s="1211" t="s">
        <v>499</v>
      </c>
      <c r="B95" s="1211" t="s">
        <v>477</v>
      </c>
      <c r="C95" s="1211" t="s">
        <v>760</v>
      </c>
      <c r="D95" s="1211" t="s">
        <v>500</v>
      </c>
      <c r="E95" s="1211" t="s">
        <v>501</v>
      </c>
      <c r="F95" s="1211" t="s">
        <v>505</v>
      </c>
      <c r="G95" s="1211" t="s">
        <v>453</v>
      </c>
      <c r="H95" s="1211" t="s">
        <v>581</v>
      </c>
      <c r="I95" s="1212" t="s">
        <v>751</v>
      </c>
      <c r="J95" s="1211" t="s">
        <v>445</v>
      </c>
      <c r="K95" s="1211" t="s">
        <v>694</v>
      </c>
      <c r="L95" s="1211" t="s">
        <v>453</v>
      </c>
      <c r="M95" s="1211" t="s">
        <v>124</v>
      </c>
      <c r="N95" s="1211" t="s">
        <v>751</v>
      </c>
      <c r="O95" s="1213" t="s">
        <v>583</v>
      </c>
      <c r="P95" s="1213">
        <v>91</v>
      </c>
      <c r="Q95" s="1213">
        <v>4</v>
      </c>
      <c r="R95" s="1211" t="s">
        <v>442</v>
      </c>
    </row>
    <row r="96" spans="1:18" hidden="1">
      <c r="A96" s="1208" t="s">
        <v>499</v>
      </c>
      <c r="B96" s="1208" t="s">
        <v>477</v>
      </c>
      <c r="C96" s="1208" t="s">
        <v>761</v>
      </c>
      <c r="D96" s="1208" t="s">
        <v>500</v>
      </c>
      <c r="E96" s="1208" t="s">
        <v>501</v>
      </c>
      <c r="F96" s="1208" t="s">
        <v>505</v>
      </c>
      <c r="G96" s="1208" t="s">
        <v>453</v>
      </c>
      <c r="H96" s="1208" t="s">
        <v>581</v>
      </c>
      <c r="I96" s="1209" t="s">
        <v>751</v>
      </c>
      <c r="J96" s="1208" t="s">
        <v>440</v>
      </c>
      <c r="K96" s="1208" t="s">
        <v>694</v>
      </c>
      <c r="L96" s="1208" t="s">
        <v>124</v>
      </c>
      <c r="M96" s="1208" t="s">
        <v>453</v>
      </c>
      <c r="N96" s="1208" t="s">
        <v>751</v>
      </c>
      <c r="O96" s="1210" t="s">
        <v>546</v>
      </c>
      <c r="P96" s="1210">
        <v>83</v>
      </c>
      <c r="Q96" s="1210">
        <v>4</v>
      </c>
      <c r="R96" s="1208" t="s">
        <v>442</v>
      </c>
    </row>
    <row r="97" spans="1:18" hidden="1">
      <c r="A97" s="1211" t="s">
        <v>499</v>
      </c>
      <c r="B97" s="1211" t="s">
        <v>477</v>
      </c>
      <c r="C97" s="1211" t="s">
        <v>762</v>
      </c>
      <c r="D97" s="1211" t="s">
        <v>500</v>
      </c>
      <c r="E97" s="1211" t="s">
        <v>501</v>
      </c>
      <c r="F97" s="1211" t="s">
        <v>522</v>
      </c>
      <c r="G97" s="1211" t="s">
        <v>466</v>
      </c>
      <c r="H97" s="1211" t="s">
        <v>508</v>
      </c>
      <c r="I97" s="1212" t="s">
        <v>751</v>
      </c>
      <c r="J97" s="1211" t="s">
        <v>445</v>
      </c>
      <c r="K97" s="1211" t="s">
        <v>533</v>
      </c>
      <c r="L97" s="1211" t="s">
        <v>466</v>
      </c>
      <c r="M97" s="1211" t="s">
        <v>124</v>
      </c>
      <c r="N97" s="1211" t="s">
        <v>751</v>
      </c>
      <c r="O97" s="1213" t="s">
        <v>510</v>
      </c>
      <c r="P97" s="1213">
        <v>31</v>
      </c>
      <c r="Q97" s="1213">
        <v>4</v>
      </c>
      <c r="R97" s="1211" t="s">
        <v>442</v>
      </c>
    </row>
    <row r="98" spans="1:18" hidden="1">
      <c r="A98" s="1208" t="s">
        <v>499</v>
      </c>
      <c r="B98" s="1208" t="s">
        <v>477</v>
      </c>
      <c r="C98" s="1208" t="s">
        <v>763</v>
      </c>
      <c r="D98" s="1208" t="s">
        <v>500</v>
      </c>
      <c r="E98" s="1208" t="s">
        <v>501</v>
      </c>
      <c r="F98" s="1208" t="s">
        <v>522</v>
      </c>
      <c r="G98" s="1208" t="s">
        <v>466</v>
      </c>
      <c r="H98" s="1208" t="s">
        <v>508</v>
      </c>
      <c r="I98" s="1209" t="s">
        <v>751</v>
      </c>
      <c r="J98" s="1208" t="s">
        <v>440</v>
      </c>
      <c r="K98" s="1208" t="s">
        <v>533</v>
      </c>
      <c r="L98" s="1208" t="s">
        <v>124</v>
      </c>
      <c r="M98" s="1208" t="s">
        <v>466</v>
      </c>
      <c r="N98" s="1208" t="s">
        <v>751</v>
      </c>
      <c r="O98" s="1210" t="s">
        <v>512</v>
      </c>
      <c r="P98" s="1210">
        <v>38</v>
      </c>
      <c r="Q98" s="1210">
        <v>4</v>
      </c>
      <c r="R98" s="1208" t="s">
        <v>442</v>
      </c>
    </row>
    <row r="99" spans="1:18" hidden="1">
      <c r="A99" s="1211" t="s">
        <v>499</v>
      </c>
      <c r="B99" s="1211" t="s">
        <v>477</v>
      </c>
      <c r="C99" s="1211" t="s">
        <v>764</v>
      </c>
      <c r="D99" s="1211" t="s">
        <v>500</v>
      </c>
      <c r="E99" s="1211" t="s">
        <v>501</v>
      </c>
      <c r="F99" s="1211" t="s">
        <v>511</v>
      </c>
      <c r="G99" s="1211" t="s">
        <v>453</v>
      </c>
      <c r="H99" s="1211" t="s">
        <v>503</v>
      </c>
      <c r="I99" s="1212" t="s">
        <v>751</v>
      </c>
      <c r="J99" s="1211" t="s">
        <v>445</v>
      </c>
      <c r="K99" s="1211" t="s">
        <v>568</v>
      </c>
      <c r="L99" s="1211" t="s">
        <v>453</v>
      </c>
      <c r="M99" s="1211" t="s">
        <v>124</v>
      </c>
      <c r="N99" s="1211" t="s">
        <v>751</v>
      </c>
      <c r="O99" s="1213" t="s">
        <v>542</v>
      </c>
      <c r="P99" s="1213">
        <v>175</v>
      </c>
      <c r="Q99" s="1213">
        <v>6</v>
      </c>
      <c r="R99" s="1211" t="s">
        <v>442</v>
      </c>
    </row>
    <row r="100" spans="1:18" hidden="1">
      <c r="A100" s="1208" t="s">
        <v>499</v>
      </c>
      <c r="B100" s="1208" t="s">
        <v>477</v>
      </c>
      <c r="C100" s="1208" t="s">
        <v>765</v>
      </c>
      <c r="D100" s="1208" t="s">
        <v>500</v>
      </c>
      <c r="E100" s="1208" t="s">
        <v>501</v>
      </c>
      <c r="F100" s="1208" t="s">
        <v>511</v>
      </c>
      <c r="G100" s="1208" t="s">
        <v>453</v>
      </c>
      <c r="H100" s="1208" t="s">
        <v>503</v>
      </c>
      <c r="I100" s="1209" t="s">
        <v>751</v>
      </c>
      <c r="J100" s="1208" t="s">
        <v>440</v>
      </c>
      <c r="K100" s="1208" t="s">
        <v>568</v>
      </c>
      <c r="L100" s="1208" t="s">
        <v>124</v>
      </c>
      <c r="M100" s="1208" t="s">
        <v>453</v>
      </c>
      <c r="N100" s="1208" t="s">
        <v>751</v>
      </c>
      <c r="O100" s="1210" t="s">
        <v>584</v>
      </c>
      <c r="P100" s="1210">
        <v>121</v>
      </c>
      <c r="Q100" s="1210">
        <v>6</v>
      </c>
      <c r="R100" s="1208" t="s">
        <v>442</v>
      </c>
    </row>
    <row r="101" spans="1:18" hidden="1">
      <c r="A101" s="1211" t="s">
        <v>499</v>
      </c>
      <c r="B101" s="1211" t="s">
        <v>477</v>
      </c>
      <c r="C101" s="1211" t="s">
        <v>766</v>
      </c>
      <c r="D101" s="1211" t="s">
        <v>500</v>
      </c>
      <c r="E101" s="1211" t="s">
        <v>501</v>
      </c>
      <c r="F101" s="1211" t="s">
        <v>480</v>
      </c>
      <c r="G101" s="1211" t="s">
        <v>447</v>
      </c>
      <c r="H101" s="1211" t="s">
        <v>481</v>
      </c>
      <c r="I101" s="1212" t="s">
        <v>767</v>
      </c>
      <c r="J101" s="1211" t="s">
        <v>445</v>
      </c>
      <c r="K101" s="1211" t="s">
        <v>482</v>
      </c>
      <c r="L101" s="1211" t="s">
        <v>513</v>
      </c>
      <c r="M101" s="1211" t="s">
        <v>124</v>
      </c>
      <c r="N101" s="1211" t="s">
        <v>767</v>
      </c>
      <c r="O101" s="1213" t="s">
        <v>580</v>
      </c>
      <c r="P101" s="1213">
        <v>112</v>
      </c>
      <c r="Q101" s="1213">
        <v>7</v>
      </c>
      <c r="R101" s="1211" t="s">
        <v>442</v>
      </c>
    </row>
    <row r="102" spans="1:18" hidden="1">
      <c r="A102" s="1208" t="s">
        <v>499</v>
      </c>
      <c r="B102" s="1208" t="s">
        <v>477</v>
      </c>
      <c r="C102" s="1208" t="s">
        <v>768</v>
      </c>
      <c r="D102" s="1208" t="s">
        <v>500</v>
      </c>
      <c r="E102" s="1208" t="s">
        <v>501</v>
      </c>
      <c r="F102" s="1208" t="s">
        <v>480</v>
      </c>
      <c r="G102" s="1208" t="s">
        <v>447</v>
      </c>
      <c r="H102" s="1208" t="s">
        <v>481</v>
      </c>
      <c r="I102" s="1209" t="s">
        <v>767</v>
      </c>
      <c r="J102" s="1208" t="s">
        <v>440</v>
      </c>
      <c r="K102" s="1208" t="s">
        <v>482</v>
      </c>
      <c r="L102" s="1208" t="s">
        <v>124</v>
      </c>
      <c r="M102" s="1208" t="s">
        <v>447</v>
      </c>
      <c r="N102" s="1208" t="s">
        <v>767</v>
      </c>
      <c r="O102" s="1210" t="s">
        <v>569</v>
      </c>
      <c r="P102" s="1210">
        <v>24</v>
      </c>
      <c r="Q102" s="1210">
        <v>7</v>
      </c>
      <c r="R102" s="1208" t="s">
        <v>442</v>
      </c>
    </row>
    <row r="103" spans="1:18" hidden="1">
      <c r="A103" s="1211" t="s">
        <v>499</v>
      </c>
      <c r="B103" s="1211" t="s">
        <v>477</v>
      </c>
      <c r="C103" s="1211" t="s">
        <v>769</v>
      </c>
      <c r="D103" s="1211" t="s">
        <v>500</v>
      </c>
      <c r="E103" s="1211" t="s">
        <v>501</v>
      </c>
      <c r="F103" s="1211" t="s">
        <v>505</v>
      </c>
      <c r="G103" s="1211" t="s">
        <v>453</v>
      </c>
      <c r="H103" s="1211" t="s">
        <v>581</v>
      </c>
      <c r="I103" s="1212" t="s">
        <v>767</v>
      </c>
      <c r="J103" s="1211" t="s">
        <v>445</v>
      </c>
      <c r="K103" s="1211" t="s">
        <v>582</v>
      </c>
      <c r="L103" s="1211" t="s">
        <v>453</v>
      </c>
      <c r="M103" s="1211" t="s">
        <v>124</v>
      </c>
      <c r="N103" s="1211" t="s">
        <v>767</v>
      </c>
      <c r="O103" s="1213" t="s">
        <v>770</v>
      </c>
      <c r="P103" s="1213">
        <v>91</v>
      </c>
      <c r="Q103" s="1213">
        <v>4</v>
      </c>
      <c r="R103" s="1211" t="s">
        <v>442</v>
      </c>
    </row>
    <row r="104" spans="1:18" hidden="1">
      <c r="A104" s="1208" t="s">
        <v>499</v>
      </c>
      <c r="B104" s="1208" t="s">
        <v>477</v>
      </c>
      <c r="C104" s="1208" t="s">
        <v>771</v>
      </c>
      <c r="D104" s="1208" t="s">
        <v>500</v>
      </c>
      <c r="E104" s="1208" t="s">
        <v>501</v>
      </c>
      <c r="F104" s="1208" t="s">
        <v>511</v>
      </c>
      <c r="G104" s="1208" t="s">
        <v>453</v>
      </c>
      <c r="H104" s="1208" t="s">
        <v>503</v>
      </c>
      <c r="I104" s="1209" t="s">
        <v>767</v>
      </c>
      <c r="J104" s="1208" t="s">
        <v>445</v>
      </c>
      <c r="K104" s="1208" t="s">
        <v>568</v>
      </c>
      <c r="L104" s="1208" t="s">
        <v>453</v>
      </c>
      <c r="M104" s="1208" t="s">
        <v>124</v>
      </c>
      <c r="N104" s="1208" t="s">
        <v>767</v>
      </c>
      <c r="O104" s="1210" t="s">
        <v>586</v>
      </c>
      <c r="P104" s="1210">
        <v>172</v>
      </c>
      <c r="Q104" s="1210">
        <v>6</v>
      </c>
      <c r="R104" s="1208" t="s">
        <v>442</v>
      </c>
    </row>
    <row r="105" spans="1:18" hidden="1">
      <c r="A105" s="1211" t="s">
        <v>499</v>
      </c>
      <c r="B105" s="1211" t="s">
        <v>477</v>
      </c>
      <c r="C105" s="1211" t="s">
        <v>772</v>
      </c>
      <c r="D105" s="1211" t="s">
        <v>500</v>
      </c>
      <c r="E105" s="1211" t="s">
        <v>501</v>
      </c>
      <c r="F105" s="1211" t="s">
        <v>505</v>
      </c>
      <c r="G105" s="1211" t="s">
        <v>453</v>
      </c>
      <c r="H105" s="1211" t="s">
        <v>581</v>
      </c>
      <c r="I105" s="1212" t="s">
        <v>767</v>
      </c>
      <c r="J105" s="1211" t="s">
        <v>440</v>
      </c>
      <c r="K105" s="1211" t="s">
        <v>582</v>
      </c>
      <c r="L105" s="1211" t="s">
        <v>124</v>
      </c>
      <c r="M105" s="1211" t="s">
        <v>453</v>
      </c>
      <c r="N105" s="1211" t="s">
        <v>767</v>
      </c>
      <c r="O105" s="1213" t="s">
        <v>546</v>
      </c>
      <c r="P105" s="1213">
        <v>88</v>
      </c>
      <c r="Q105" s="1213">
        <v>4</v>
      </c>
      <c r="R105" s="1211" t="s">
        <v>442</v>
      </c>
    </row>
    <row r="106" spans="1:18" hidden="1">
      <c r="A106" s="1208" t="s">
        <v>499</v>
      </c>
      <c r="B106" s="1208" t="s">
        <v>477</v>
      </c>
      <c r="C106" s="1208" t="s">
        <v>773</v>
      </c>
      <c r="D106" s="1208" t="s">
        <v>500</v>
      </c>
      <c r="E106" s="1208" t="s">
        <v>501</v>
      </c>
      <c r="F106" s="1208" t="s">
        <v>511</v>
      </c>
      <c r="G106" s="1208" t="s">
        <v>453</v>
      </c>
      <c r="H106" s="1208" t="s">
        <v>503</v>
      </c>
      <c r="I106" s="1209" t="s">
        <v>767</v>
      </c>
      <c r="J106" s="1208" t="s">
        <v>440</v>
      </c>
      <c r="K106" s="1208" t="s">
        <v>568</v>
      </c>
      <c r="L106" s="1208" t="s">
        <v>124</v>
      </c>
      <c r="M106" s="1208" t="s">
        <v>453</v>
      </c>
      <c r="N106" s="1208" t="s">
        <v>767</v>
      </c>
      <c r="O106" s="1210" t="s">
        <v>483</v>
      </c>
      <c r="P106" s="1210">
        <v>173</v>
      </c>
      <c r="Q106" s="1210">
        <v>6</v>
      </c>
      <c r="R106" s="1208" t="s">
        <v>442</v>
      </c>
    </row>
    <row r="107" spans="1:18" hidden="1">
      <c r="A107" s="1211" t="s">
        <v>499</v>
      </c>
      <c r="B107" s="1211" t="s">
        <v>477</v>
      </c>
      <c r="C107" s="1211" t="s">
        <v>774</v>
      </c>
      <c r="D107" s="1211" t="s">
        <v>500</v>
      </c>
      <c r="E107" s="1211" t="s">
        <v>501</v>
      </c>
      <c r="F107" s="1211" t="s">
        <v>520</v>
      </c>
      <c r="G107" s="1211" t="s">
        <v>441</v>
      </c>
      <c r="H107" s="1211" t="s">
        <v>508</v>
      </c>
      <c r="I107" s="1212" t="s">
        <v>767</v>
      </c>
      <c r="J107" s="1211" t="s">
        <v>445</v>
      </c>
      <c r="K107" s="1211" t="s">
        <v>529</v>
      </c>
      <c r="L107" s="1211" t="s">
        <v>441</v>
      </c>
      <c r="M107" s="1211" t="s">
        <v>124</v>
      </c>
      <c r="N107" s="1211" t="s">
        <v>767</v>
      </c>
      <c r="O107" s="1213" t="s">
        <v>495</v>
      </c>
      <c r="P107" s="1213">
        <v>60</v>
      </c>
      <c r="Q107" s="1213">
        <v>4</v>
      </c>
      <c r="R107" s="1211" t="s">
        <v>442</v>
      </c>
    </row>
    <row r="108" spans="1:18" hidden="1">
      <c r="A108" s="1208" t="s">
        <v>499</v>
      </c>
      <c r="B108" s="1208" t="s">
        <v>477</v>
      </c>
      <c r="C108" s="1208" t="s">
        <v>775</v>
      </c>
      <c r="D108" s="1208" t="s">
        <v>500</v>
      </c>
      <c r="E108" s="1208" t="s">
        <v>501</v>
      </c>
      <c r="F108" s="1208" t="s">
        <v>517</v>
      </c>
      <c r="G108" s="1208" t="s">
        <v>462</v>
      </c>
      <c r="H108" s="1208" t="s">
        <v>481</v>
      </c>
      <c r="I108" s="1209" t="s">
        <v>767</v>
      </c>
      <c r="J108" s="1208" t="s">
        <v>445</v>
      </c>
      <c r="K108" s="1208" t="s">
        <v>776</v>
      </c>
      <c r="L108" s="1208" t="s">
        <v>462</v>
      </c>
      <c r="M108" s="1208" t="s">
        <v>124</v>
      </c>
      <c r="N108" s="1208" t="s">
        <v>767</v>
      </c>
      <c r="O108" s="1210" t="s">
        <v>521</v>
      </c>
      <c r="P108" s="1210">
        <v>178</v>
      </c>
      <c r="Q108" s="1210">
        <v>7</v>
      </c>
      <c r="R108" s="1208" t="s">
        <v>442</v>
      </c>
    </row>
    <row r="109" spans="1:18" hidden="1">
      <c r="A109" s="1211" t="s">
        <v>499</v>
      </c>
      <c r="B109" s="1211" t="s">
        <v>477</v>
      </c>
      <c r="C109" s="1211" t="s">
        <v>777</v>
      </c>
      <c r="D109" s="1211" t="s">
        <v>500</v>
      </c>
      <c r="E109" s="1211" t="s">
        <v>501</v>
      </c>
      <c r="F109" s="1211" t="s">
        <v>520</v>
      </c>
      <c r="G109" s="1211" t="s">
        <v>441</v>
      </c>
      <c r="H109" s="1211" t="s">
        <v>508</v>
      </c>
      <c r="I109" s="1212" t="s">
        <v>767</v>
      </c>
      <c r="J109" s="1211" t="s">
        <v>440</v>
      </c>
      <c r="K109" s="1211" t="s">
        <v>529</v>
      </c>
      <c r="L109" s="1211" t="s">
        <v>124</v>
      </c>
      <c r="M109" s="1211" t="s">
        <v>441</v>
      </c>
      <c r="N109" s="1211" t="s">
        <v>767</v>
      </c>
      <c r="O109" s="1213" t="s">
        <v>489</v>
      </c>
      <c r="P109" s="1213">
        <v>60</v>
      </c>
      <c r="Q109" s="1213">
        <v>4</v>
      </c>
      <c r="R109" s="1211" t="s">
        <v>442</v>
      </c>
    </row>
    <row r="110" spans="1:18" hidden="1">
      <c r="A110" s="1208" t="s">
        <v>499</v>
      </c>
      <c r="B110" s="1208" t="s">
        <v>477</v>
      </c>
      <c r="C110" s="1208" t="s">
        <v>778</v>
      </c>
      <c r="D110" s="1208" t="s">
        <v>500</v>
      </c>
      <c r="E110" s="1208" t="s">
        <v>501</v>
      </c>
      <c r="F110" s="1208" t="s">
        <v>517</v>
      </c>
      <c r="G110" s="1208" t="s">
        <v>462</v>
      </c>
      <c r="H110" s="1208" t="s">
        <v>481</v>
      </c>
      <c r="I110" s="1209" t="s">
        <v>767</v>
      </c>
      <c r="J110" s="1208" t="s">
        <v>440</v>
      </c>
      <c r="K110" s="1208" t="s">
        <v>776</v>
      </c>
      <c r="L110" s="1208" t="s">
        <v>124</v>
      </c>
      <c r="M110" s="1208" t="s">
        <v>462</v>
      </c>
      <c r="N110" s="1208" t="s">
        <v>767</v>
      </c>
      <c r="O110" s="1210" t="s">
        <v>561</v>
      </c>
      <c r="P110" s="1210">
        <v>172</v>
      </c>
      <c r="Q110" s="1210">
        <v>7</v>
      </c>
      <c r="R110" s="1208" t="s">
        <v>442</v>
      </c>
    </row>
    <row r="111" spans="1:18" hidden="1">
      <c r="A111" s="1211" t="s">
        <v>499</v>
      </c>
      <c r="B111" s="1211" t="s">
        <v>477</v>
      </c>
      <c r="C111" s="1211" t="s">
        <v>779</v>
      </c>
      <c r="D111" s="1211" t="s">
        <v>500</v>
      </c>
      <c r="E111" s="1211" t="s">
        <v>501</v>
      </c>
      <c r="F111" s="1211" t="s">
        <v>522</v>
      </c>
      <c r="G111" s="1211" t="s">
        <v>466</v>
      </c>
      <c r="H111" s="1211" t="s">
        <v>508</v>
      </c>
      <c r="I111" s="1212" t="s">
        <v>767</v>
      </c>
      <c r="J111" s="1211" t="s">
        <v>445</v>
      </c>
      <c r="K111" s="1211" t="s">
        <v>533</v>
      </c>
      <c r="L111" s="1211" t="s">
        <v>466</v>
      </c>
      <c r="M111" s="1211" t="s">
        <v>124</v>
      </c>
      <c r="N111" s="1211" t="s">
        <v>767</v>
      </c>
      <c r="O111" s="1213" t="s">
        <v>542</v>
      </c>
      <c r="P111" s="1213">
        <v>37</v>
      </c>
      <c r="Q111" s="1213">
        <v>4</v>
      </c>
      <c r="R111" s="1211" t="s">
        <v>442</v>
      </c>
    </row>
    <row r="112" spans="1:18" hidden="1">
      <c r="A112" s="1208" t="s">
        <v>499</v>
      </c>
      <c r="B112" s="1208" t="s">
        <v>477</v>
      </c>
      <c r="C112" s="1208" t="s">
        <v>780</v>
      </c>
      <c r="D112" s="1208" t="s">
        <v>500</v>
      </c>
      <c r="E112" s="1208" t="s">
        <v>501</v>
      </c>
      <c r="F112" s="1208" t="s">
        <v>522</v>
      </c>
      <c r="G112" s="1208" t="s">
        <v>466</v>
      </c>
      <c r="H112" s="1208" t="s">
        <v>508</v>
      </c>
      <c r="I112" s="1209" t="s">
        <v>767</v>
      </c>
      <c r="J112" s="1208" t="s">
        <v>440</v>
      </c>
      <c r="K112" s="1208" t="s">
        <v>533</v>
      </c>
      <c r="L112" s="1208" t="s">
        <v>124</v>
      </c>
      <c r="M112" s="1208" t="s">
        <v>466</v>
      </c>
      <c r="N112" s="1208" t="s">
        <v>767</v>
      </c>
      <c r="O112" s="1210" t="s">
        <v>781</v>
      </c>
      <c r="P112" s="1210">
        <v>45</v>
      </c>
      <c r="Q112" s="1210">
        <v>4</v>
      </c>
      <c r="R112" s="1208" t="s">
        <v>442</v>
      </c>
    </row>
    <row r="113" spans="1:18" hidden="1">
      <c r="A113" s="1211" t="s">
        <v>499</v>
      </c>
      <c r="B113" s="1211" t="s">
        <v>477</v>
      </c>
      <c r="C113" s="1211" t="s">
        <v>782</v>
      </c>
      <c r="D113" s="1211" t="s">
        <v>500</v>
      </c>
      <c r="E113" s="1211" t="s">
        <v>501</v>
      </c>
      <c r="F113" s="1211" t="s">
        <v>736</v>
      </c>
      <c r="G113" s="1211" t="s">
        <v>441</v>
      </c>
      <c r="H113" s="1211" t="s">
        <v>530</v>
      </c>
      <c r="I113" s="1212" t="s">
        <v>783</v>
      </c>
      <c r="J113" s="1211" t="s">
        <v>445</v>
      </c>
      <c r="K113" s="1211" t="s">
        <v>737</v>
      </c>
      <c r="L113" s="1211" t="s">
        <v>650</v>
      </c>
      <c r="M113" s="1211" t="s">
        <v>124</v>
      </c>
      <c r="N113" s="1211" t="s">
        <v>783</v>
      </c>
      <c r="O113" s="1213" t="s">
        <v>784</v>
      </c>
      <c r="P113" s="1213">
        <v>0</v>
      </c>
      <c r="Q113" s="1213">
        <v>1</v>
      </c>
      <c r="R113" s="1211" t="s">
        <v>442</v>
      </c>
    </row>
    <row r="114" spans="1:18" hidden="1">
      <c r="A114" s="1208" t="s">
        <v>499</v>
      </c>
      <c r="B114" s="1208" t="s">
        <v>477</v>
      </c>
      <c r="C114" s="1208" t="s">
        <v>785</v>
      </c>
      <c r="D114" s="1208" t="s">
        <v>500</v>
      </c>
      <c r="E114" s="1208" t="s">
        <v>501</v>
      </c>
      <c r="F114" s="1208" t="s">
        <v>736</v>
      </c>
      <c r="G114" s="1208" t="s">
        <v>441</v>
      </c>
      <c r="H114" s="1208" t="s">
        <v>530</v>
      </c>
      <c r="I114" s="1209" t="s">
        <v>783</v>
      </c>
      <c r="J114" s="1208" t="s">
        <v>440</v>
      </c>
      <c r="K114" s="1208" t="s">
        <v>737</v>
      </c>
      <c r="L114" s="1208" t="s">
        <v>124</v>
      </c>
      <c r="M114" s="1208" t="s">
        <v>441</v>
      </c>
      <c r="N114" s="1208" t="s">
        <v>783</v>
      </c>
      <c r="O114" s="1210" t="s">
        <v>786</v>
      </c>
      <c r="P114" s="1210">
        <v>5</v>
      </c>
      <c r="Q114" s="1210">
        <v>1</v>
      </c>
      <c r="R114" s="1208" t="s">
        <v>442</v>
      </c>
    </row>
    <row r="115" spans="1:18" hidden="1">
      <c r="A115" s="1211" t="s">
        <v>499</v>
      </c>
      <c r="B115" s="1211" t="s">
        <v>477</v>
      </c>
      <c r="C115" s="1211" t="s">
        <v>787</v>
      </c>
      <c r="D115" s="1211" t="s">
        <v>500</v>
      </c>
      <c r="E115" s="1211" t="s">
        <v>501</v>
      </c>
      <c r="F115" s="1211" t="s">
        <v>505</v>
      </c>
      <c r="G115" s="1211" t="s">
        <v>453</v>
      </c>
      <c r="H115" s="1211" t="s">
        <v>581</v>
      </c>
      <c r="I115" s="1212" t="s">
        <v>783</v>
      </c>
      <c r="J115" s="1211" t="s">
        <v>445</v>
      </c>
      <c r="K115" s="1211" t="s">
        <v>694</v>
      </c>
      <c r="L115" s="1211" t="s">
        <v>453</v>
      </c>
      <c r="M115" s="1211" t="s">
        <v>124</v>
      </c>
      <c r="N115" s="1211" t="s">
        <v>783</v>
      </c>
      <c r="O115" s="1213" t="s">
        <v>583</v>
      </c>
      <c r="P115" s="1213">
        <v>85</v>
      </c>
      <c r="Q115" s="1213">
        <v>4</v>
      </c>
      <c r="R115" s="1211" t="s">
        <v>442</v>
      </c>
    </row>
    <row r="116" spans="1:18" hidden="1">
      <c r="A116" s="1208" t="s">
        <v>499</v>
      </c>
      <c r="B116" s="1208" t="s">
        <v>477</v>
      </c>
      <c r="C116" s="1208" t="s">
        <v>788</v>
      </c>
      <c r="D116" s="1208" t="s">
        <v>500</v>
      </c>
      <c r="E116" s="1208" t="s">
        <v>501</v>
      </c>
      <c r="F116" s="1208" t="s">
        <v>505</v>
      </c>
      <c r="G116" s="1208" t="s">
        <v>453</v>
      </c>
      <c r="H116" s="1208" t="s">
        <v>581</v>
      </c>
      <c r="I116" s="1209" t="s">
        <v>783</v>
      </c>
      <c r="J116" s="1208" t="s">
        <v>440</v>
      </c>
      <c r="K116" s="1208" t="s">
        <v>694</v>
      </c>
      <c r="L116" s="1208" t="s">
        <v>124</v>
      </c>
      <c r="M116" s="1208" t="s">
        <v>453</v>
      </c>
      <c r="N116" s="1208" t="s">
        <v>783</v>
      </c>
      <c r="O116" s="1210" t="s">
        <v>546</v>
      </c>
      <c r="P116" s="1210">
        <v>80</v>
      </c>
      <c r="Q116" s="1210">
        <v>4</v>
      </c>
      <c r="R116" s="1208" t="s">
        <v>442</v>
      </c>
    </row>
    <row r="117" spans="1:18" hidden="1">
      <c r="A117" s="1211" t="s">
        <v>499</v>
      </c>
      <c r="B117" s="1211" t="s">
        <v>477</v>
      </c>
      <c r="C117" s="1211" t="s">
        <v>789</v>
      </c>
      <c r="D117" s="1211" t="s">
        <v>500</v>
      </c>
      <c r="E117" s="1211" t="s">
        <v>501</v>
      </c>
      <c r="F117" s="1211" t="s">
        <v>480</v>
      </c>
      <c r="G117" s="1211" t="s">
        <v>447</v>
      </c>
      <c r="H117" s="1211" t="s">
        <v>481</v>
      </c>
      <c r="I117" s="1212" t="s">
        <v>783</v>
      </c>
      <c r="J117" s="1211" t="s">
        <v>445</v>
      </c>
      <c r="K117" s="1211" t="s">
        <v>482</v>
      </c>
      <c r="L117" s="1211" t="s">
        <v>447</v>
      </c>
      <c r="M117" s="1211" t="s">
        <v>124</v>
      </c>
      <c r="N117" s="1211" t="s">
        <v>783</v>
      </c>
      <c r="O117" s="1213" t="s">
        <v>543</v>
      </c>
      <c r="P117" s="1213">
        <v>36</v>
      </c>
      <c r="Q117" s="1213">
        <v>8</v>
      </c>
      <c r="R117" s="1211" t="s">
        <v>442</v>
      </c>
    </row>
    <row r="118" spans="1:18" hidden="1">
      <c r="A118" s="1208" t="s">
        <v>499</v>
      </c>
      <c r="B118" s="1208" t="s">
        <v>477</v>
      </c>
      <c r="C118" s="1208" t="s">
        <v>790</v>
      </c>
      <c r="D118" s="1208" t="s">
        <v>500</v>
      </c>
      <c r="E118" s="1208" t="s">
        <v>501</v>
      </c>
      <c r="F118" s="1208" t="s">
        <v>480</v>
      </c>
      <c r="G118" s="1208" t="s">
        <v>447</v>
      </c>
      <c r="H118" s="1208" t="s">
        <v>481</v>
      </c>
      <c r="I118" s="1209" t="s">
        <v>783</v>
      </c>
      <c r="J118" s="1208" t="s">
        <v>440</v>
      </c>
      <c r="K118" s="1208" t="s">
        <v>482</v>
      </c>
      <c r="L118" s="1208" t="s">
        <v>124</v>
      </c>
      <c r="M118" s="1208" t="s">
        <v>513</v>
      </c>
      <c r="N118" s="1208" t="s">
        <v>783</v>
      </c>
      <c r="O118" s="1210" t="s">
        <v>589</v>
      </c>
      <c r="P118" s="1210">
        <v>44</v>
      </c>
      <c r="Q118" s="1210">
        <v>8</v>
      </c>
      <c r="R118" s="1208" t="s">
        <v>442</v>
      </c>
    </row>
    <row r="119" spans="1:18" hidden="1">
      <c r="A119" s="1211" t="s">
        <v>499</v>
      </c>
      <c r="B119" s="1211" t="s">
        <v>477</v>
      </c>
      <c r="C119" s="1211" t="s">
        <v>791</v>
      </c>
      <c r="D119" s="1211" t="s">
        <v>500</v>
      </c>
      <c r="E119" s="1211" t="s">
        <v>501</v>
      </c>
      <c r="F119" s="1211" t="s">
        <v>511</v>
      </c>
      <c r="G119" s="1211" t="s">
        <v>453</v>
      </c>
      <c r="H119" s="1211" t="s">
        <v>503</v>
      </c>
      <c r="I119" s="1212" t="s">
        <v>783</v>
      </c>
      <c r="J119" s="1211" t="s">
        <v>445</v>
      </c>
      <c r="K119" s="1211" t="s">
        <v>548</v>
      </c>
      <c r="L119" s="1211" t="s">
        <v>453</v>
      </c>
      <c r="M119" s="1211" t="s">
        <v>124</v>
      </c>
      <c r="N119" s="1211" t="s">
        <v>783</v>
      </c>
      <c r="O119" s="1213" t="s">
        <v>586</v>
      </c>
      <c r="P119" s="1213">
        <v>173</v>
      </c>
      <c r="Q119" s="1213">
        <v>6</v>
      </c>
      <c r="R119" s="1211" t="s">
        <v>442</v>
      </c>
    </row>
    <row r="120" spans="1:18" hidden="1">
      <c r="A120" s="1208" t="s">
        <v>499</v>
      </c>
      <c r="B120" s="1208" t="s">
        <v>477</v>
      </c>
      <c r="C120" s="1208" t="s">
        <v>792</v>
      </c>
      <c r="D120" s="1208" t="s">
        <v>500</v>
      </c>
      <c r="E120" s="1208" t="s">
        <v>501</v>
      </c>
      <c r="F120" s="1208" t="s">
        <v>511</v>
      </c>
      <c r="G120" s="1208" t="s">
        <v>453</v>
      </c>
      <c r="H120" s="1208" t="s">
        <v>503</v>
      </c>
      <c r="I120" s="1209" t="s">
        <v>783</v>
      </c>
      <c r="J120" s="1208" t="s">
        <v>440</v>
      </c>
      <c r="K120" s="1208" t="s">
        <v>548</v>
      </c>
      <c r="L120" s="1208" t="s">
        <v>124</v>
      </c>
      <c r="M120" s="1208" t="s">
        <v>453</v>
      </c>
      <c r="N120" s="1208" t="s">
        <v>783</v>
      </c>
      <c r="O120" s="1210" t="s">
        <v>793</v>
      </c>
      <c r="P120" s="1210">
        <v>182</v>
      </c>
      <c r="Q120" s="1210">
        <v>6</v>
      </c>
      <c r="R120" s="1208" t="s">
        <v>442</v>
      </c>
    </row>
    <row r="121" spans="1:18" hidden="1">
      <c r="A121" s="1211" t="s">
        <v>499</v>
      </c>
      <c r="B121" s="1211" t="s">
        <v>477</v>
      </c>
      <c r="C121" s="1211" t="s">
        <v>794</v>
      </c>
      <c r="D121" s="1211" t="s">
        <v>500</v>
      </c>
      <c r="E121" s="1211" t="s">
        <v>501</v>
      </c>
      <c r="F121" s="1211" t="s">
        <v>505</v>
      </c>
      <c r="G121" s="1211" t="s">
        <v>453</v>
      </c>
      <c r="H121" s="1211" t="s">
        <v>581</v>
      </c>
      <c r="I121" s="1212" t="s">
        <v>795</v>
      </c>
      <c r="J121" s="1211" t="s">
        <v>445</v>
      </c>
      <c r="K121" s="1211" t="s">
        <v>796</v>
      </c>
      <c r="L121" s="1211" t="s">
        <v>453</v>
      </c>
      <c r="M121" s="1211" t="s">
        <v>124</v>
      </c>
      <c r="N121" s="1211" t="s">
        <v>795</v>
      </c>
      <c r="O121" s="1213" t="s">
        <v>583</v>
      </c>
      <c r="P121" s="1213">
        <v>86</v>
      </c>
      <c r="Q121" s="1213">
        <v>4</v>
      </c>
      <c r="R121" s="1211" t="s">
        <v>442</v>
      </c>
    </row>
    <row r="122" spans="1:18" hidden="1">
      <c r="A122" s="1208" t="s">
        <v>499</v>
      </c>
      <c r="B122" s="1208" t="s">
        <v>477</v>
      </c>
      <c r="C122" s="1208" t="s">
        <v>797</v>
      </c>
      <c r="D122" s="1208" t="s">
        <v>500</v>
      </c>
      <c r="E122" s="1208" t="s">
        <v>501</v>
      </c>
      <c r="F122" s="1208" t="s">
        <v>505</v>
      </c>
      <c r="G122" s="1208" t="s">
        <v>453</v>
      </c>
      <c r="H122" s="1208" t="s">
        <v>581</v>
      </c>
      <c r="I122" s="1209" t="s">
        <v>795</v>
      </c>
      <c r="J122" s="1208" t="s">
        <v>440</v>
      </c>
      <c r="K122" s="1208" t="s">
        <v>796</v>
      </c>
      <c r="L122" s="1208" t="s">
        <v>124</v>
      </c>
      <c r="M122" s="1208" t="s">
        <v>453</v>
      </c>
      <c r="N122" s="1208" t="s">
        <v>795</v>
      </c>
      <c r="O122" s="1210" t="s">
        <v>546</v>
      </c>
      <c r="P122" s="1210">
        <v>75</v>
      </c>
      <c r="Q122" s="1210">
        <v>4</v>
      </c>
      <c r="R122" s="1208" t="s">
        <v>442</v>
      </c>
    </row>
    <row r="123" spans="1:18" hidden="1">
      <c r="A123" s="1211" t="s">
        <v>499</v>
      </c>
      <c r="B123" s="1211" t="s">
        <v>477</v>
      </c>
      <c r="C123" s="1211" t="s">
        <v>798</v>
      </c>
      <c r="D123" s="1211" t="s">
        <v>500</v>
      </c>
      <c r="E123" s="1211" t="s">
        <v>501</v>
      </c>
      <c r="F123" s="1211" t="s">
        <v>736</v>
      </c>
      <c r="G123" s="1211" t="s">
        <v>441</v>
      </c>
      <c r="H123" s="1211" t="s">
        <v>530</v>
      </c>
      <c r="I123" s="1212" t="s">
        <v>795</v>
      </c>
      <c r="J123" s="1211" t="s">
        <v>445</v>
      </c>
      <c r="K123" s="1211" t="s">
        <v>737</v>
      </c>
      <c r="L123" s="1211" t="s">
        <v>650</v>
      </c>
      <c r="M123" s="1211" t="s">
        <v>124</v>
      </c>
      <c r="N123" s="1211" t="s">
        <v>795</v>
      </c>
      <c r="O123" s="1213" t="s">
        <v>759</v>
      </c>
      <c r="P123" s="1213">
        <v>0</v>
      </c>
      <c r="Q123" s="1213">
        <v>1</v>
      </c>
      <c r="R123" s="1211" t="s">
        <v>442</v>
      </c>
    </row>
    <row r="124" spans="1:18" hidden="1">
      <c r="A124" s="1208" t="s">
        <v>499</v>
      </c>
      <c r="B124" s="1208" t="s">
        <v>477</v>
      </c>
      <c r="C124" s="1208" t="s">
        <v>799</v>
      </c>
      <c r="D124" s="1208" t="s">
        <v>500</v>
      </c>
      <c r="E124" s="1208" t="s">
        <v>501</v>
      </c>
      <c r="F124" s="1208" t="s">
        <v>511</v>
      </c>
      <c r="G124" s="1208" t="s">
        <v>453</v>
      </c>
      <c r="H124" s="1208" t="s">
        <v>503</v>
      </c>
      <c r="I124" s="1209" t="s">
        <v>795</v>
      </c>
      <c r="J124" s="1208" t="s">
        <v>445</v>
      </c>
      <c r="K124" s="1208" t="s">
        <v>800</v>
      </c>
      <c r="L124" s="1208" t="s">
        <v>453</v>
      </c>
      <c r="M124" s="1208" t="s">
        <v>124</v>
      </c>
      <c r="N124" s="1208" t="s">
        <v>795</v>
      </c>
      <c r="O124" s="1210" t="s">
        <v>516</v>
      </c>
      <c r="P124" s="1210">
        <v>181</v>
      </c>
      <c r="Q124" s="1210">
        <v>6</v>
      </c>
      <c r="R124" s="1208" t="s">
        <v>442</v>
      </c>
    </row>
    <row r="125" spans="1:18" hidden="1">
      <c r="A125" s="1211" t="s">
        <v>499</v>
      </c>
      <c r="B125" s="1211" t="s">
        <v>477</v>
      </c>
      <c r="C125" s="1211" t="s">
        <v>801</v>
      </c>
      <c r="D125" s="1211" t="s">
        <v>500</v>
      </c>
      <c r="E125" s="1211" t="s">
        <v>501</v>
      </c>
      <c r="F125" s="1211" t="s">
        <v>736</v>
      </c>
      <c r="G125" s="1211" t="s">
        <v>441</v>
      </c>
      <c r="H125" s="1211" t="s">
        <v>530</v>
      </c>
      <c r="I125" s="1212" t="s">
        <v>795</v>
      </c>
      <c r="J125" s="1211" t="s">
        <v>440</v>
      </c>
      <c r="K125" s="1211" t="s">
        <v>737</v>
      </c>
      <c r="L125" s="1211" t="s">
        <v>124</v>
      </c>
      <c r="M125" s="1211" t="s">
        <v>441</v>
      </c>
      <c r="N125" s="1211" t="s">
        <v>795</v>
      </c>
      <c r="O125" s="1213" t="s">
        <v>537</v>
      </c>
      <c r="P125" s="1213">
        <v>5</v>
      </c>
      <c r="Q125" s="1213">
        <v>2</v>
      </c>
      <c r="R125" s="1211" t="s">
        <v>442</v>
      </c>
    </row>
    <row r="126" spans="1:18" hidden="1">
      <c r="A126" s="1208" t="s">
        <v>499</v>
      </c>
      <c r="B126" s="1208" t="s">
        <v>477</v>
      </c>
      <c r="C126" s="1208" t="s">
        <v>802</v>
      </c>
      <c r="D126" s="1208" t="s">
        <v>500</v>
      </c>
      <c r="E126" s="1208" t="s">
        <v>501</v>
      </c>
      <c r="F126" s="1208" t="s">
        <v>511</v>
      </c>
      <c r="G126" s="1208" t="s">
        <v>453</v>
      </c>
      <c r="H126" s="1208" t="s">
        <v>503</v>
      </c>
      <c r="I126" s="1209" t="s">
        <v>795</v>
      </c>
      <c r="J126" s="1208" t="s">
        <v>440</v>
      </c>
      <c r="K126" s="1208" t="s">
        <v>800</v>
      </c>
      <c r="L126" s="1208" t="s">
        <v>124</v>
      </c>
      <c r="M126" s="1208" t="s">
        <v>453</v>
      </c>
      <c r="N126" s="1208" t="s">
        <v>795</v>
      </c>
      <c r="O126" s="1210" t="s">
        <v>547</v>
      </c>
      <c r="P126" s="1210">
        <v>151</v>
      </c>
      <c r="Q126" s="1210">
        <v>6</v>
      </c>
      <c r="R126" s="1208" t="s">
        <v>442</v>
      </c>
    </row>
    <row r="127" spans="1:18" hidden="1">
      <c r="A127" s="1211" t="s">
        <v>499</v>
      </c>
      <c r="B127" s="1211" t="s">
        <v>477</v>
      </c>
      <c r="C127" s="1211" t="s">
        <v>803</v>
      </c>
      <c r="D127" s="1211" t="s">
        <v>500</v>
      </c>
      <c r="E127" s="1211" t="s">
        <v>501</v>
      </c>
      <c r="F127" s="1211" t="s">
        <v>517</v>
      </c>
      <c r="G127" s="1211" t="s">
        <v>462</v>
      </c>
      <c r="H127" s="1211" t="s">
        <v>481</v>
      </c>
      <c r="I127" s="1212" t="s">
        <v>795</v>
      </c>
      <c r="J127" s="1211" t="s">
        <v>445</v>
      </c>
      <c r="K127" s="1211" t="s">
        <v>804</v>
      </c>
      <c r="L127" s="1211" t="s">
        <v>462</v>
      </c>
      <c r="M127" s="1211" t="s">
        <v>124</v>
      </c>
      <c r="N127" s="1211" t="s">
        <v>795</v>
      </c>
      <c r="O127" s="1213" t="s">
        <v>521</v>
      </c>
      <c r="P127" s="1213">
        <v>171</v>
      </c>
      <c r="Q127" s="1213">
        <v>7</v>
      </c>
      <c r="R127" s="1211" t="s">
        <v>442</v>
      </c>
    </row>
    <row r="128" spans="1:18" hidden="1">
      <c r="A128" s="1208" t="s">
        <v>499</v>
      </c>
      <c r="B128" s="1208" t="s">
        <v>477</v>
      </c>
      <c r="C128" s="1208" t="s">
        <v>805</v>
      </c>
      <c r="D128" s="1208" t="s">
        <v>500</v>
      </c>
      <c r="E128" s="1208" t="s">
        <v>501</v>
      </c>
      <c r="F128" s="1208" t="s">
        <v>480</v>
      </c>
      <c r="G128" s="1208" t="s">
        <v>447</v>
      </c>
      <c r="H128" s="1208" t="s">
        <v>481</v>
      </c>
      <c r="I128" s="1209" t="s">
        <v>795</v>
      </c>
      <c r="J128" s="1208" t="s">
        <v>445</v>
      </c>
      <c r="K128" s="1208" t="s">
        <v>482</v>
      </c>
      <c r="L128" s="1208" t="s">
        <v>513</v>
      </c>
      <c r="M128" s="1208" t="s">
        <v>124</v>
      </c>
      <c r="N128" s="1208" t="s">
        <v>795</v>
      </c>
      <c r="O128" s="1210" t="s">
        <v>483</v>
      </c>
      <c r="P128" s="1210">
        <v>76</v>
      </c>
      <c r="Q128" s="1210">
        <v>8</v>
      </c>
      <c r="R128" s="1208" t="s">
        <v>442</v>
      </c>
    </row>
    <row r="129" spans="1:18" hidden="1">
      <c r="A129" s="1211" t="s">
        <v>499</v>
      </c>
      <c r="B129" s="1211" t="s">
        <v>477</v>
      </c>
      <c r="C129" s="1211" t="s">
        <v>806</v>
      </c>
      <c r="D129" s="1211" t="s">
        <v>500</v>
      </c>
      <c r="E129" s="1211" t="s">
        <v>501</v>
      </c>
      <c r="F129" s="1211" t="s">
        <v>517</v>
      </c>
      <c r="G129" s="1211" t="s">
        <v>462</v>
      </c>
      <c r="H129" s="1211" t="s">
        <v>481</v>
      </c>
      <c r="I129" s="1212" t="s">
        <v>795</v>
      </c>
      <c r="J129" s="1211" t="s">
        <v>440</v>
      </c>
      <c r="K129" s="1211" t="s">
        <v>804</v>
      </c>
      <c r="L129" s="1211" t="s">
        <v>124</v>
      </c>
      <c r="M129" s="1211" t="s">
        <v>462</v>
      </c>
      <c r="N129" s="1211" t="s">
        <v>795</v>
      </c>
      <c r="O129" s="1213" t="s">
        <v>512</v>
      </c>
      <c r="P129" s="1213">
        <v>134</v>
      </c>
      <c r="Q129" s="1213">
        <v>7</v>
      </c>
      <c r="R129" s="1211" t="s">
        <v>442</v>
      </c>
    </row>
    <row r="130" spans="1:18" hidden="1">
      <c r="A130" s="1208" t="s">
        <v>499</v>
      </c>
      <c r="B130" s="1208" t="s">
        <v>477</v>
      </c>
      <c r="C130" s="1208" t="s">
        <v>807</v>
      </c>
      <c r="D130" s="1208" t="s">
        <v>500</v>
      </c>
      <c r="E130" s="1208" t="s">
        <v>501</v>
      </c>
      <c r="F130" s="1208" t="s">
        <v>480</v>
      </c>
      <c r="G130" s="1208" t="s">
        <v>447</v>
      </c>
      <c r="H130" s="1208" t="s">
        <v>481</v>
      </c>
      <c r="I130" s="1209" t="s">
        <v>795</v>
      </c>
      <c r="J130" s="1208" t="s">
        <v>440</v>
      </c>
      <c r="K130" s="1208" t="s">
        <v>482</v>
      </c>
      <c r="L130" s="1208" t="s">
        <v>124</v>
      </c>
      <c r="M130" s="1208" t="s">
        <v>513</v>
      </c>
      <c r="N130" s="1208" t="s">
        <v>795</v>
      </c>
      <c r="O130" s="1210" t="s">
        <v>663</v>
      </c>
      <c r="P130" s="1210">
        <v>40</v>
      </c>
      <c r="Q130" s="1210">
        <v>8</v>
      </c>
      <c r="R130" s="1208" t="s">
        <v>442</v>
      </c>
    </row>
    <row r="131" spans="1:18" hidden="1">
      <c r="A131" s="1211" t="s">
        <v>499</v>
      </c>
      <c r="B131" s="1211" t="s">
        <v>477</v>
      </c>
      <c r="C131" s="1211" t="s">
        <v>808</v>
      </c>
      <c r="D131" s="1211" t="s">
        <v>500</v>
      </c>
      <c r="E131" s="1211" t="s">
        <v>501</v>
      </c>
      <c r="F131" s="1211" t="s">
        <v>522</v>
      </c>
      <c r="G131" s="1211" t="s">
        <v>466</v>
      </c>
      <c r="H131" s="1211" t="s">
        <v>503</v>
      </c>
      <c r="I131" s="1212" t="s">
        <v>795</v>
      </c>
      <c r="J131" s="1211" t="s">
        <v>445</v>
      </c>
      <c r="K131" s="1211" t="s">
        <v>534</v>
      </c>
      <c r="L131" s="1211" t="s">
        <v>466</v>
      </c>
      <c r="M131" s="1211" t="s">
        <v>124</v>
      </c>
      <c r="N131" s="1211" t="s">
        <v>795</v>
      </c>
      <c r="O131" s="1213" t="s">
        <v>809</v>
      </c>
      <c r="P131" s="1213">
        <v>122</v>
      </c>
      <c r="Q131" s="1213">
        <v>6</v>
      </c>
      <c r="R131" s="1211" t="s">
        <v>442</v>
      </c>
    </row>
    <row r="132" spans="1:18" hidden="1">
      <c r="A132" s="1208" t="s">
        <v>499</v>
      </c>
      <c r="B132" s="1208" t="s">
        <v>477</v>
      </c>
      <c r="C132" s="1208" t="s">
        <v>810</v>
      </c>
      <c r="D132" s="1208" t="s">
        <v>500</v>
      </c>
      <c r="E132" s="1208" t="s">
        <v>501</v>
      </c>
      <c r="F132" s="1208" t="s">
        <v>522</v>
      </c>
      <c r="G132" s="1208" t="s">
        <v>466</v>
      </c>
      <c r="H132" s="1208" t="s">
        <v>503</v>
      </c>
      <c r="I132" s="1209" t="s">
        <v>795</v>
      </c>
      <c r="J132" s="1208" t="s">
        <v>440</v>
      </c>
      <c r="K132" s="1208" t="s">
        <v>534</v>
      </c>
      <c r="L132" s="1208" t="s">
        <v>124</v>
      </c>
      <c r="M132" s="1208" t="s">
        <v>466</v>
      </c>
      <c r="N132" s="1208" t="s">
        <v>795</v>
      </c>
      <c r="O132" s="1210" t="s">
        <v>811</v>
      </c>
      <c r="P132" s="1210">
        <v>87</v>
      </c>
      <c r="Q132" s="1210">
        <v>6</v>
      </c>
      <c r="R132" s="1208" t="s">
        <v>442</v>
      </c>
    </row>
    <row r="133" spans="1:18" hidden="1">
      <c r="A133" s="1211" t="s">
        <v>499</v>
      </c>
      <c r="B133" s="1211" t="s">
        <v>477</v>
      </c>
      <c r="C133" s="1211" t="s">
        <v>812</v>
      </c>
      <c r="D133" s="1211" t="s">
        <v>500</v>
      </c>
      <c r="E133" s="1211" t="s">
        <v>501</v>
      </c>
      <c r="F133" s="1211" t="s">
        <v>480</v>
      </c>
      <c r="G133" s="1211" t="s">
        <v>447</v>
      </c>
      <c r="H133" s="1211" t="s">
        <v>481</v>
      </c>
      <c r="I133" s="1212" t="s">
        <v>614</v>
      </c>
      <c r="J133" s="1211" t="s">
        <v>445</v>
      </c>
      <c r="K133" s="1211" t="s">
        <v>482</v>
      </c>
      <c r="L133" s="1211" t="s">
        <v>513</v>
      </c>
      <c r="M133" s="1211" t="s">
        <v>124</v>
      </c>
      <c r="N133" s="1211" t="s">
        <v>614</v>
      </c>
      <c r="O133" s="1213" t="s">
        <v>525</v>
      </c>
      <c r="P133" s="1213">
        <v>97</v>
      </c>
      <c r="Q133" s="1213">
        <v>8</v>
      </c>
      <c r="R133" s="1211" t="s">
        <v>442</v>
      </c>
    </row>
    <row r="134" spans="1:18" hidden="1">
      <c r="A134" s="1208" t="s">
        <v>499</v>
      </c>
      <c r="B134" s="1208" t="s">
        <v>477</v>
      </c>
      <c r="C134" s="1208" t="s">
        <v>813</v>
      </c>
      <c r="D134" s="1208" t="s">
        <v>500</v>
      </c>
      <c r="E134" s="1208" t="s">
        <v>501</v>
      </c>
      <c r="F134" s="1208" t="s">
        <v>480</v>
      </c>
      <c r="G134" s="1208" t="s">
        <v>447</v>
      </c>
      <c r="H134" s="1208" t="s">
        <v>481</v>
      </c>
      <c r="I134" s="1209" t="s">
        <v>614</v>
      </c>
      <c r="J134" s="1208" t="s">
        <v>440</v>
      </c>
      <c r="K134" s="1208" t="s">
        <v>482</v>
      </c>
      <c r="L134" s="1208" t="s">
        <v>124</v>
      </c>
      <c r="M134" s="1208" t="s">
        <v>513</v>
      </c>
      <c r="N134" s="1208" t="s">
        <v>614</v>
      </c>
      <c r="O134" s="1210" t="s">
        <v>528</v>
      </c>
      <c r="P134" s="1210">
        <v>68</v>
      </c>
      <c r="Q134" s="1210">
        <v>8</v>
      </c>
      <c r="R134" s="1208" t="s">
        <v>442</v>
      </c>
    </row>
    <row r="135" spans="1:18" hidden="1">
      <c r="A135" s="1211" t="s">
        <v>499</v>
      </c>
      <c r="B135" s="1211" t="s">
        <v>477</v>
      </c>
      <c r="C135" s="1211" t="s">
        <v>814</v>
      </c>
      <c r="D135" s="1211" t="s">
        <v>500</v>
      </c>
      <c r="E135" s="1211" t="s">
        <v>501</v>
      </c>
      <c r="F135" s="1211" t="s">
        <v>505</v>
      </c>
      <c r="G135" s="1211" t="s">
        <v>453</v>
      </c>
      <c r="H135" s="1211" t="s">
        <v>581</v>
      </c>
      <c r="I135" s="1212" t="s">
        <v>614</v>
      </c>
      <c r="J135" s="1211" t="s">
        <v>445</v>
      </c>
      <c r="K135" s="1211" t="s">
        <v>582</v>
      </c>
      <c r="L135" s="1211" t="s">
        <v>453</v>
      </c>
      <c r="M135" s="1211" t="s">
        <v>124</v>
      </c>
      <c r="N135" s="1211" t="s">
        <v>614</v>
      </c>
      <c r="O135" s="1213" t="s">
        <v>583</v>
      </c>
      <c r="P135" s="1213">
        <v>85</v>
      </c>
      <c r="Q135" s="1213">
        <v>4</v>
      </c>
      <c r="R135" s="1211" t="s">
        <v>442</v>
      </c>
    </row>
    <row r="136" spans="1:18" hidden="1">
      <c r="A136" s="1208" t="s">
        <v>499</v>
      </c>
      <c r="B136" s="1208" t="s">
        <v>477</v>
      </c>
      <c r="C136" s="1208" t="s">
        <v>815</v>
      </c>
      <c r="D136" s="1208" t="s">
        <v>500</v>
      </c>
      <c r="E136" s="1208" t="s">
        <v>501</v>
      </c>
      <c r="F136" s="1208" t="s">
        <v>511</v>
      </c>
      <c r="G136" s="1208" t="s">
        <v>453</v>
      </c>
      <c r="H136" s="1208" t="s">
        <v>503</v>
      </c>
      <c r="I136" s="1209" t="s">
        <v>614</v>
      </c>
      <c r="J136" s="1208" t="s">
        <v>445</v>
      </c>
      <c r="K136" s="1208" t="s">
        <v>680</v>
      </c>
      <c r="L136" s="1208" t="s">
        <v>453</v>
      </c>
      <c r="M136" s="1208" t="s">
        <v>124</v>
      </c>
      <c r="N136" s="1208" t="s">
        <v>614</v>
      </c>
      <c r="O136" s="1210" t="s">
        <v>586</v>
      </c>
      <c r="P136" s="1210">
        <v>178</v>
      </c>
      <c r="Q136" s="1210">
        <v>6</v>
      </c>
      <c r="R136" s="1208" t="s">
        <v>442</v>
      </c>
    </row>
    <row r="137" spans="1:18" hidden="1">
      <c r="A137" s="1211" t="s">
        <v>499</v>
      </c>
      <c r="B137" s="1211" t="s">
        <v>477</v>
      </c>
      <c r="C137" s="1211" t="s">
        <v>816</v>
      </c>
      <c r="D137" s="1211" t="s">
        <v>500</v>
      </c>
      <c r="E137" s="1211" t="s">
        <v>501</v>
      </c>
      <c r="F137" s="1211" t="s">
        <v>505</v>
      </c>
      <c r="G137" s="1211" t="s">
        <v>453</v>
      </c>
      <c r="H137" s="1211" t="s">
        <v>581</v>
      </c>
      <c r="I137" s="1212" t="s">
        <v>614</v>
      </c>
      <c r="J137" s="1211" t="s">
        <v>440</v>
      </c>
      <c r="K137" s="1211" t="s">
        <v>582</v>
      </c>
      <c r="L137" s="1211" t="s">
        <v>124</v>
      </c>
      <c r="M137" s="1211" t="s">
        <v>453</v>
      </c>
      <c r="N137" s="1211" t="s">
        <v>614</v>
      </c>
      <c r="O137" s="1213" t="s">
        <v>546</v>
      </c>
      <c r="P137" s="1213">
        <v>79</v>
      </c>
      <c r="Q137" s="1213">
        <v>4</v>
      </c>
      <c r="R137" s="1211" t="s">
        <v>442</v>
      </c>
    </row>
    <row r="138" spans="1:18" hidden="1">
      <c r="A138" s="1208" t="s">
        <v>499</v>
      </c>
      <c r="B138" s="1208" t="s">
        <v>477</v>
      </c>
      <c r="C138" s="1208" t="s">
        <v>817</v>
      </c>
      <c r="D138" s="1208" t="s">
        <v>500</v>
      </c>
      <c r="E138" s="1208" t="s">
        <v>501</v>
      </c>
      <c r="F138" s="1208" t="s">
        <v>511</v>
      </c>
      <c r="G138" s="1208" t="s">
        <v>453</v>
      </c>
      <c r="H138" s="1208" t="s">
        <v>503</v>
      </c>
      <c r="I138" s="1209" t="s">
        <v>614</v>
      </c>
      <c r="J138" s="1208" t="s">
        <v>440</v>
      </c>
      <c r="K138" s="1208" t="s">
        <v>680</v>
      </c>
      <c r="L138" s="1208" t="s">
        <v>124</v>
      </c>
      <c r="M138" s="1208" t="s">
        <v>453</v>
      </c>
      <c r="N138" s="1208" t="s">
        <v>614</v>
      </c>
      <c r="O138" s="1210" t="s">
        <v>483</v>
      </c>
      <c r="P138" s="1210">
        <v>162</v>
      </c>
      <c r="Q138" s="1210">
        <v>6</v>
      </c>
      <c r="R138" s="1208" t="s">
        <v>442</v>
      </c>
    </row>
    <row r="139" spans="1:18" hidden="1">
      <c r="A139" s="1211" t="s">
        <v>499</v>
      </c>
      <c r="B139" s="1211" t="s">
        <v>477</v>
      </c>
      <c r="C139" s="1211" t="s">
        <v>818</v>
      </c>
      <c r="D139" s="1211" t="s">
        <v>500</v>
      </c>
      <c r="E139" s="1211" t="s">
        <v>501</v>
      </c>
      <c r="F139" s="1211" t="s">
        <v>520</v>
      </c>
      <c r="G139" s="1211" t="s">
        <v>441</v>
      </c>
      <c r="H139" s="1211" t="s">
        <v>508</v>
      </c>
      <c r="I139" s="1212" t="s">
        <v>614</v>
      </c>
      <c r="J139" s="1211" t="s">
        <v>445</v>
      </c>
      <c r="K139" s="1211" t="s">
        <v>529</v>
      </c>
      <c r="L139" s="1211" t="s">
        <v>441</v>
      </c>
      <c r="M139" s="1211" t="s">
        <v>124</v>
      </c>
      <c r="N139" s="1211" t="s">
        <v>614</v>
      </c>
      <c r="O139" s="1213" t="s">
        <v>537</v>
      </c>
      <c r="P139" s="1213">
        <v>62</v>
      </c>
      <c r="Q139" s="1213">
        <v>5</v>
      </c>
      <c r="R139" s="1211" t="s">
        <v>442</v>
      </c>
    </row>
    <row r="140" spans="1:18" hidden="1">
      <c r="A140" s="1208" t="s">
        <v>499</v>
      </c>
      <c r="B140" s="1208" t="s">
        <v>477</v>
      </c>
      <c r="C140" s="1208" t="s">
        <v>819</v>
      </c>
      <c r="D140" s="1208" t="s">
        <v>500</v>
      </c>
      <c r="E140" s="1208" t="s">
        <v>501</v>
      </c>
      <c r="F140" s="1208" t="s">
        <v>520</v>
      </c>
      <c r="G140" s="1208" t="s">
        <v>441</v>
      </c>
      <c r="H140" s="1208" t="s">
        <v>508</v>
      </c>
      <c r="I140" s="1209" t="s">
        <v>614</v>
      </c>
      <c r="J140" s="1208" t="s">
        <v>440</v>
      </c>
      <c r="K140" s="1208" t="s">
        <v>529</v>
      </c>
      <c r="L140" s="1208" t="s">
        <v>124</v>
      </c>
      <c r="M140" s="1208" t="s">
        <v>441</v>
      </c>
      <c r="N140" s="1208" t="s">
        <v>614</v>
      </c>
      <c r="O140" s="1210" t="s">
        <v>489</v>
      </c>
      <c r="P140" s="1210">
        <v>46</v>
      </c>
      <c r="Q140" s="1210">
        <v>5</v>
      </c>
      <c r="R140" s="1208" t="s">
        <v>442</v>
      </c>
    </row>
    <row r="141" spans="1:18" hidden="1">
      <c r="A141" s="1211" t="s">
        <v>499</v>
      </c>
      <c r="B141" s="1211" t="s">
        <v>477</v>
      </c>
      <c r="C141" s="1211" t="s">
        <v>820</v>
      </c>
      <c r="D141" s="1211" t="s">
        <v>500</v>
      </c>
      <c r="E141" s="1211" t="s">
        <v>501</v>
      </c>
      <c r="F141" s="1211" t="s">
        <v>517</v>
      </c>
      <c r="G141" s="1211" t="s">
        <v>462</v>
      </c>
      <c r="H141" s="1211" t="s">
        <v>481</v>
      </c>
      <c r="I141" s="1212" t="s">
        <v>614</v>
      </c>
      <c r="J141" s="1211" t="s">
        <v>445</v>
      </c>
      <c r="K141" s="1211" t="s">
        <v>804</v>
      </c>
      <c r="L141" s="1211" t="s">
        <v>462</v>
      </c>
      <c r="M141" s="1211" t="s">
        <v>124</v>
      </c>
      <c r="N141" s="1211" t="s">
        <v>614</v>
      </c>
      <c r="O141" s="1213" t="s">
        <v>572</v>
      </c>
      <c r="P141" s="1213">
        <v>181</v>
      </c>
      <c r="Q141" s="1213">
        <v>7</v>
      </c>
      <c r="R141" s="1211" t="s">
        <v>442</v>
      </c>
    </row>
    <row r="142" spans="1:18" hidden="1">
      <c r="A142" s="1208" t="s">
        <v>499</v>
      </c>
      <c r="B142" s="1208" t="s">
        <v>477</v>
      </c>
      <c r="C142" s="1208" t="s">
        <v>821</v>
      </c>
      <c r="D142" s="1208" t="s">
        <v>500</v>
      </c>
      <c r="E142" s="1208" t="s">
        <v>501</v>
      </c>
      <c r="F142" s="1208" t="s">
        <v>517</v>
      </c>
      <c r="G142" s="1208" t="s">
        <v>462</v>
      </c>
      <c r="H142" s="1208" t="s">
        <v>481</v>
      </c>
      <c r="I142" s="1209" t="s">
        <v>614</v>
      </c>
      <c r="J142" s="1208" t="s">
        <v>440</v>
      </c>
      <c r="K142" s="1208" t="s">
        <v>804</v>
      </c>
      <c r="L142" s="1208" t="s">
        <v>124</v>
      </c>
      <c r="M142" s="1208" t="s">
        <v>462</v>
      </c>
      <c r="N142" s="1208" t="s">
        <v>614</v>
      </c>
      <c r="O142" s="1210" t="s">
        <v>489</v>
      </c>
      <c r="P142" s="1210">
        <v>127</v>
      </c>
      <c r="Q142" s="1210">
        <v>7</v>
      </c>
      <c r="R142" s="1208" t="s">
        <v>442</v>
      </c>
    </row>
    <row r="143" spans="1:18" hidden="1">
      <c r="A143" s="1211" t="s">
        <v>499</v>
      </c>
      <c r="B143" s="1211" t="s">
        <v>477</v>
      </c>
      <c r="C143" s="1211" t="s">
        <v>822</v>
      </c>
      <c r="D143" s="1211" t="s">
        <v>500</v>
      </c>
      <c r="E143" s="1211" t="s">
        <v>501</v>
      </c>
      <c r="F143" s="1211" t="s">
        <v>522</v>
      </c>
      <c r="G143" s="1211" t="s">
        <v>466</v>
      </c>
      <c r="H143" s="1211" t="s">
        <v>508</v>
      </c>
      <c r="I143" s="1212" t="s">
        <v>614</v>
      </c>
      <c r="J143" s="1211" t="s">
        <v>445</v>
      </c>
      <c r="K143" s="1211" t="s">
        <v>523</v>
      </c>
      <c r="L143" s="1211" t="s">
        <v>466</v>
      </c>
      <c r="M143" s="1211" t="s">
        <v>124</v>
      </c>
      <c r="N143" s="1211" t="s">
        <v>614</v>
      </c>
      <c r="O143" s="1213" t="s">
        <v>510</v>
      </c>
      <c r="P143" s="1213">
        <v>52</v>
      </c>
      <c r="Q143" s="1213">
        <v>4</v>
      </c>
      <c r="R143" s="1211" t="s">
        <v>442</v>
      </c>
    </row>
    <row r="144" spans="1:18" hidden="1">
      <c r="A144" s="1208" t="s">
        <v>499</v>
      </c>
      <c r="B144" s="1208" t="s">
        <v>477</v>
      </c>
      <c r="C144" s="1208" t="s">
        <v>823</v>
      </c>
      <c r="D144" s="1208" t="s">
        <v>500</v>
      </c>
      <c r="E144" s="1208" t="s">
        <v>501</v>
      </c>
      <c r="F144" s="1208" t="s">
        <v>522</v>
      </c>
      <c r="G144" s="1208" t="s">
        <v>466</v>
      </c>
      <c r="H144" s="1208" t="s">
        <v>508</v>
      </c>
      <c r="I144" s="1209" t="s">
        <v>614</v>
      </c>
      <c r="J144" s="1208" t="s">
        <v>440</v>
      </c>
      <c r="K144" s="1208" t="s">
        <v>523</v>
      </c>
      <c r="L144" s="1208" t="s">
        <v>124</v>
      </c>
      <c r="M144" s="1208" t="s">
        <v>466</v>
      </c>
      <c r="N144" s="1208" t="s">
        <v>614</v>
      </c>
      <c r="O144" s="1210" t="s">
        <v>512</v>
      </c>
      <c r="P144" s="1210">
        <v>64</v>
      </c>
      <c r="Q144" s="1210">
        <v>4</v>
      </c>
      <c r="R144" s="1208" t="s">
        <v>442</v>
      </c>
    </row>
    <row r="145" spans="1:18" hidden="1">
      <c r="A145" s="1211" t="s">
        <v>499</v>
      </c>
      <c r="B145" s="1211" t="s">
        <v>477</v>
      </c>
      <c r="C145" s="1211" t="s">
        <v>824</v>
      </c>
      <c r="D145" s="1211" t="s">
        <v>500</v>
      </c>
      <c r="E145" s="1211" t="s">
        <v>501</v>
      </c>
      <c r="F145" s="1211" t="s">
        <v>522</v>
      </c>
      <c r="G145" s="1211" t="s">
        <v>466</v>
      </c>
      <c r="H145" s="1211" t="s">
        <v>503</v>
      </c>
      <c r="I145" s="1212" t="s">
        <v>825</v>
      </c>
      <c r="J145" s="1211" t="s">
        <v>445</v>
      </c>
      <c r="K145" s="1211" t="s">
        <v>540</v>
      </c>
      <c r="L145" s="1211" t="s">
        <v>466</v>
      </c>
      <c r="M145" s="1211" t="s">
        <v>124</v>
      </c>
      <c r="N145" s="1211" t="s">
        <v>825</v>
      </c>
      <c r="O145" s="1213" t="s">
        <v>526</v>
      </c>
      <c r="P145" s="1213">
        <v>122</v>
      </c>
      <c r="Q145" s="1213">
        <v>7</v>
      </c>
      <c r="R145" s="1211" t="s">
        <v>442</v>
      </c>
    </row>
    <row r="146" spans="1:18" hidden="1">
      <c r="A146" s="1208" t="s">
        <v>499</v>
      </c>
      <c r="B146" s="1208" t="s">
        <v>477</v>
      </c>
      <c r="C146" s="1208" t="s">
        <v>826</v>
      </c>
      <c r="D146" s="1208" t="s">
        <v>500</v>
      </c>
      <c r="E146" s="1208" t="s">
        <v>501</v>
      </c>
      <c r="F146" s="1208" t="s">
        <v>505</v>
      </c>
      <c r="G146" s="1208" t="s">
        <v>453</v>
      </c>
      <c r="H146" s="1208" t="s">
        <v>581</v>
      </c>
      <c r="I146" s="1209" t="s">
        <v>825</v>
      </c>
      <c r="J146" s="1208" t="s">
        <v>445</v>
      </c>
      <c r="K146" s="1208" t="s">
        <v>588</v>
      </c>
      <c r="L146" s="1208" t="s">
        <v>453</v>
      </c>
      <c r="M146" s="1208" t="s">
        <v>124</v>
      </c>
      <c r="N146" s="1208" t="s">
        <v>825</v>
      </c>
      <c r="O146" s="1210" t="s">
        <v>583</v>
      </c>
      <c r="P146" s="1210">
        <v>81</v>
      </c>
      <c r="Q146" s="1210">
        <v>4</v>
      </c>
      <c r="R146" s="1208" t="s">
        <v>442</v>
      </c>
    </row>
    <row r="147" spans="1:18" hidden="1">
      <c r="A147" s="1211" t="s">
        <v>499</v>
      </c>
      <c r="B147" s="1211" t="s">
        <v>477</v>
      </c>
      <c r="C147" s="1211" t="s">
        <v>827</v>
      </c>
      <c r="D147" s="1211" t="s">
        <v>500</v>
      </c>
      <c r="E147" s="1211" t="s">
        <v>501</v>
      </c>
      <c r="F147" s="1211" t="s">
        <v>522</v>
      </c>
      <c r="G147" s="1211" t="s">
        <v>466</v>
      </c>
      <c r="H147" s="1211" t="s">
        <v>503</v>
      </c>
      <c r="I147" s="1212" t="s">
        <v>825</v>
      </c>
      <c r="J147" s="1211" t="s">
        <v>440</v>
      </c>
      <c r="K147" s="1211" t="s">
        <v>540</v>
      </c>
      <c r="L147" s="1211" t="s">
        <v>124</v>
      </c>
      <c r="M147" s="1211" t="s">
        <v>466</v>
      </c>
      <c r="N147" s="1211" t="s">
        <v>825</v>
      </c>
      <c r="O147" s="1213" t="s">
        <v>527</v>
      </c>
      <c r="P147" s="1213">
        <v>168</v>
      </c>
      <c r="Q147" s="1213">
        <v>7</v>
      </c>
      <c r="R147" s="1211" t="s">
        <v>442</v>
      </c>
    </row>
    <row r="148" spans="1:18" hidden="1">
      <c r="A148" s="1208" t="s">
        <v>499</v>
      </c>
      <c r="B148" s="1208" t="s">
        <v>477</v>
      </c>
      <c r="C148" s="1208" t="s">
        <v>828</v>
      </c>
      <c r="D148" s="1208" t="s">
        <v>500</v>
      </c>
      <c r="E148" s="1208" t="s">
        <v>501</v>
      </c>
      <c r="F148" s="1208" t="s">
        <v>511</v>
      </c>
      <c r="G148" s="1208" t="s">
        <v>453</v>
      </c>
      <c r="H148" s="1208" t="s">
        <v>503</v>
      </c>
      <c r="I148" s="1209" t="s">
        <v>825</v>
      </c>
      <c r="J148" s="1208" t="s">
        <v>445</v>
      </c>
      <c r="K148" s="1208" t="s">
        <v>548</v>
      </c>
      <c r="L148" s="1208" t="s">
        <v>453</v>
      </c>
      <c r="M148" s="1208" t="s">
        <v>124</v>
      </c>
      <c r="N148" s="1208" t="s">
        <v>825</v>
      </c>
      <c r="O148" s="1210" t="s">
        <v>586</v>
      </c>
      <c r="P148" s="1210">
        <v>164</v>
      </c>
      <c r="Q148" s="1210">
        <v>6</v>
      </c>
      <c r="R148" s="1208" t="s">
        <v>442</v>
      </c>
    </row>
    <row r="149" spans="1:18" hidden="1">
      <c r="A149" s="1211" t="s">
        <v>499</v>
      </c>
      <c r="B149" s="1211" t="s">
        <v>477</v>
      </c>
      <c r="C149" s="1211" t="s">
        <v>829</v>
      </c>
      <c r="D149" s="1211" t="s">
        <v>500</v>
      </c>
      <c r="E149" s="1211" t="s">
        <v>501</v>
      </c>
      <c r="F149" s="1211" t="s">
        <v>505</v>
      </c>
      <c r="G149" s="1211" t="s">
        <v>453</v>
      </c>
      <c r="H149" s="1211" t="s">
        <v>581</v>
      </c>
      <c r="I149" s="1212" t="s">
        <v>825</v>
      </c>
      <c r="J149" s="1211" t="s">
        <v>440</v>
      </c>
      <c r="K149" s="1211" t="s">
        <v>588</v>
      </c>
      <c r="L149" s="1211" t="s">
        <v>124</v>
      </c>
      <c r="M149" s="1211" t="s">
        <v>466</v>
      </c>
      <c r="N149" s="1211" t="s">
        <v>825</v>
      </c>
      <c r="O149" s="1213" t="s">
        <v>546</v>
      </c>
      <c r="P149" s="1213">
        <v>91</v>
      </c>
      <c r="Q149" s="1213">
        <v>4</v>
      </c>
      <c r="R149" s="1211" t="s">
        <v>442</v>
      </c>
    </row>
    <row r="150" spans="1:18" hidden="1">
      <c r="A150" s="1208" t="s">
        <v>499</v>
      </c>
      <c r="B150" s="1208" t="s">
        <v>477</v>
      </c>
      <c r="C150" s="1208" t="s">
        <v>830</v>
      </c>
      <c r="D150" s="1208" t="s">
        <v>500</v>
      </c>
      <c r="E150" s="1208" t="s">
        <v>501</v>
      </c>
      <c r="F150" s="1208" t="s">
        <v>511</v>
      </c>
      <c r="G150" s="1208" t="s">
        <v>453</v>
      </c>
      <c r="H150" s="1208" t="s">
        <v>503</v>
      </c>
      <c r="I150" s="1209" t="s">
        <v>825</v>
      </c>
      <c r="J150" s="1208" t="s">
        <v>440</v>
      </c>
      <c r="K150" s="1208" t="s">
        <v>548</v>
      </c>
      <c r="L150" s="1208" t="s">
        <v>124</v>
      </c>
      <c r="M150" s="1208" t="s">
        <v>453</v>
      </c>
      <c r="N150" s="1208" t="s">
        <v>825</v>
      </c>
      <c r="O150" s="1210" t="s">
        <v>483</v>
      </c>
      <c r="P150" s="1210">
        <v>170</v>
      </c>
      <c r="Q150" s="1210">
        <v>6</v>
      </c>
      <c r="R150" s="1208" t="s">
        <v>442</v>
      </c>
    </row>
    <row r="151" spans="1:18" hidden="1">
      <c r="A151" s="1211" t="s">
        <v>499</v>
      </c>
      <c r="B151" s="1211" t="s">
        <v>477</v>
      </c>
      <c r="C151" s="1211" t="s">
        <v>831</v>
      </c>
      <c r="D151" s="1211" t="s">
        <v>500</v>
      </c>
      <c r="E151" s="1211" t="s">
        <v>501</v>
      </c>
      <c r="F151" s="1211" t="s">
        <v>522</v>
      </c>
      <c r="G151" s="1211" t="s">
        <v>466</v>
      </c>
      <c r="H151" s="1211" t="s">
        <v>508</v>
      </c>
      <c r="I151" s="1212" t="s">
        <v>825</v>
      </c>
      <c r="J151" s="1211" t="s">
        <v>445</v>
      </c>
      <c r="K151" s="1211" t="s">
        <v>533</v>
      </c>
      <c r="L151" s="1211" t="s">
        <v>466</v>
      </c>
      <c r="M151" s="1211" t="s">
        <v>124</v>
      </c>
      <c r="N151" s="1211" t="s">
        <v>825</v>
      </c>
      <c r="O151" s="1213" t="s">
        <v>571</v>
      </c>
      <c r="P151" s="1213">
        <v>0</v>
      </c>
      <c r="Q151" s="1213">
        <v>4</v>
      </c>
      <c r="R151" s="1211" t="s">
        <v>442</v>
      </c>
    </row>
    <row r="152" spans="1:18" hidden="1">
      <c r="A152" s="1208" t="s">
        <v>499</v>
      </c>
      <c r="B152" s="1208" t="s">
        <v>477</v>
      </c>
      <c r="C152" s="1208" t="s">
        <v>832</v>
      </c>
      <c r="D152" s="1208" t="s">
        <v>500</v>
      </c>
      <c r="E152" s="1208" t="s">
        <v>501</v>
      </c>
      <c r="F152" s="1208" t="s">
        <v>522</v>
      </c>
      <c r="G152" s="1208" t="s">
        <v>466</v>
      </c>
      <c r="H152" s="1208" t="s">
        <v>508</v>
      </c>
      <c r="I152" s="1209" t="s">
        <v>825</v>
      </c>
      <c r="J152" s="1208" t="s">
        <v>440</v>
      </c>
      <c r="K152" s="1208" t="s">
        <v>533</v>
      </c>
      <c r="L152" s="1208" t="s">
        <v>124</v>
      </c>
      <c r="M152" s="1208" t="s">
        <v>466</v>
      </c>
      <c r="N152" s="1208" t="s">
        <v>825</v>
      </c>
      <c r="O152" s="1210" t="s">
        <v>558</v>
      </c>
      <c r="P152" s="1210">
        <v>3</v>
      </c>
      <c r="Q152" s="1210">
        <v>4</v>
      </c>
      <c r="R152" s="1208" t="s">
        <v>442</v>
      </c>
    </row>
    <row r="153" spans="1:18" hidden="1">
      <c r="A153" s="1211" t="s">
        <v>499</v>
      </c>
      <c r="B153" s="1211" t="s">
        <v>477</v>
      </c>
      <c r="C153" s="1211" t="s">
        <v>833</v>
      </c>
      <c r="D153" s="1211" t="s">
        <v>500</v>
      </c>
      <c r="E153" s="1211" t="s">
        <v>501</v>
      </c>
      <c r="F153" s="1211" t="s">
        <v>834</v>
      </c>
      <c r="G153" s="1211" t="s">
        <v>441</v>
      </c>
      <c r="H153" s="1211" t="s">
        <v>481</v>
      </c>
      <c r="I153" s="1212" t="s">
        <v>618</v>
      </c>
      <c r="J153" s="1211" t="s">
        <v>445</v>
      </c>
      <c r="K153" s="1211" t="s">
        <v>835</v>
      </c>
      <c r="L153" s="1211" t="s">
        <v>441</v>
      </c>
      <c r="M153" s="1211" t="s">
        <v>124</v>
      </c>
      <c r="N153" s="1211" t="s">
        <v>618</v>
      </c>
      <c r="O153" s="1213" t="s">
        <v>754</v>
      </c>
      <c r="P153" s="1213">
        <v>168</v>
      </c>
      <c r="Q153" s="1213">
        <v>7</v>
      </c>
      <c r="R153" s="1211" t="s">
        <v>442</v>
      </c>
    </row>
    <row r="154" spans="1:18" hidden="1">
      <c r="A154" s="1208" t="s">
        <v>499</v>
      </c>
      <c r="B154" s="1208" t="s">
        <v>477</v>
      </c>
      <c r="C154" s="1208" t="s">
        <v>836</v>
      </c>
      <c r="D154" s="1208" t="s">
        <v>500</v>
      </c>
      <c r="E154" s="1208" t="s">
        <v>501</v>
      </c>
      <c r="F154" s="1208" t="s">
        <v>834</v>
      </c>
      <c r="G154" s="1208" t="s">
        <v>441</v>
      </c>
      <c r="H154" s="1208" t="s">
        <v>481</v>
      </c>
      <c r="I154" s="1209" t="s">
        <v>618</v>
      </c>
      <c r="J154" s="1208" t="s">
        <v>440</v>
      </c>
      <c r="K154" s="1208" t="s">
        <v>835</v>
      </c>
      <c r="L154" s="1208" t="s">
        <v>124</v>
      </c>
      <c r="M154" s="1208" t="s">
        <v>441</v>
      </c>
      <c r="N154" s="1208" t="s">
        <v>618</v>
      </c>
      <c r="O154" s="1210" t="s">
        <v>837</v>
      </c>
      <c r="P154" s="1210">
        <v>98</v>
      </c>
      <c r="Q154" s="1210">
        <v>7</v>
      </c>
      <c r="R154" s="1208" t="s">
        <v>442</v>
      </c>
    </row>
    <row r="155" spans="1:18" hidden="1">
      <c r="A155" s="1211" t="s">
        <v>499</v>
      </c>
      <c r="B155" s="1211" t="s">
        <v>477</v>
      </c>
      <c r="C155" s="1211" t="s">
        <v>838</v>
      </c>
      <c r="D155" s="1211" t="s">
        <v>500</v>
      </c>
      <c r="E155" s="1211" t="s">
        <v>501</v>
      </c>
      <c r="F155" s="1211" t="s">
        <v>505</v>
      </c>
      <c r="G155" s="1211" t="s">
        <v>453</v>
      </c>
      <c r="H155" s="1211" t="s">
        <v>581</v>
      </c>
      <c r="I155" s="1212" t="s">
        <v>618</v>
      </c>
      <c r="J155" s="1211" t="s">
        <v>445</v>
      </c>
      <c r="K155" s="1211" t="s">
        <v>588</v>
      </c>
      <c r="L155" s="1211" t="s">
        <v>453</v>
      </c>
      <c r="M155" s="1211" t="s">
        <v>124</v>
      </c>
      <c r="N155" s="1211" t="s">
        <v>618</v>
      </c>
      <c r="O155" s="1213" t="s">
        <v>586</v>
      </c>
      <c r="P155" s="1213">
        <v>81</v>
      </c>
      <c r="Q155" s="1213">
        <v>4</v>
      </c>
      <c r="R155" s="1211" t="s">
        <v>442</v>
      </c>
    </row>
    <row r="156" spans="1:18" hidden="1">
      <c r="A156" s="1208" t="s">
        <v>499</v>
      </c>
      <c r="B156" s="1208" t="s">
        <v>477</v>
      </c>
      <c r="C156" s="1208" t="s">
        <v>839</v>
      </c>
      <c r="D156" s="1208" t="s">
        <v>500</v>
      </c>
      <c r="E156" s="1208" t="s">
        <v>501</v>
      </c>
      <c r="F156" s="1208" t="s">
        <v>505</v>
      </c>
      <c r="G156" s="1208" t="s">
        <v>453</v>
      </c>
      <c r="H156" s="1208" t="s">
        <v>581</v>
      </c>
      <c r="I156" s="1209" t="s">
        <v>618</v>
      </c>
      <c r="J156" s="1208" t="s">
        <v>440</v>
      </c>
      <c r="K156" s="1208" t="s">
        <v>588</v>
      </c>
      <c r="L156" s="1208" t="s">
        <v>124</v>
      </c>
      <c r="M156" s="1208" t="s">
        <v>453</v>
      </c>
      <c r="N156" s="1208" t="s">
        <v>618</v>
      </c>
      <c r="O156" s="1210" t="s">
        <v>546</v>
      </c>
      <c r="P156" s="1210">
        <v>86</v>
      </c>
      <c r="Q156" s="1210">
        <v>4</v>
      </c>
      <c r="R156" s="1208" t="s">
        <v>442</v>
      </c>
    </row>
    <row r="157" spans="1:18" hidden="1">
      <c r="A157" s="1211" t="s">
        <v>499</v>
      </c>
      <c r="B157" s="1211" t="s">
        <v>477</v>
      </c>
      <c r="C157" s="1211" t="s">
        <v>840</v>
      </c>
      <c r="D157" s="1211" t="s">
        <v>500</v>
      </c>
      <c r="E157" s="1211" t="s">
        <v>501</v>
      </c>
      <c r="F157" s="1211" t="s">
        <v>511</v>
      </c>
      <c r="G157" s="1211" t="s">
        <v>453</v>
      </c>
      <c r="H157" s="1211" t="s">
        <v>503</v>
      </c>
      <c r="I157" s="1212" t="s">
        <v>618</v>
      </c>
      <c r="J157" s="1211" t="s">
        <v>445</v>
      </c>
      <c r="K157" s="1211" t="s">
        <v>545</v>
      </c>
      <c r="L157" s="1211" t="s">
        <v>453</v>
      </c>
      <c r="M157" s="1211" t="s">
        <v>124</v>
      </c>
      <c r="N157" s="1211" t="s">
        <v>618</v>
      </c>
      <c r="O157" s="1213" t="s">
        <v>586</v>
      </c>
      <c r="P157" s="1213">
        <v>157</v>
      </c>
      <c r="Q157" s="1213">
        <v>6</v>
      </c>
      <c r="R157" s="1211" t="s">
        <v>442</v>
      </c>
    </row>
    <row r="158" spans="1:18" hidden="1">
      <c r="A158" s="1208" t="s">
        <v>499</v>
      </c>
      <c r="B158" s="1208" t="s">
        <v>477</v>
      </c>
      <c r="C158" s="1208" t="s">
        <v>841</v>
      </c>
      <c r="D158" s="1208" t="s">
        <v>500</v>
      </c>
      <c r="E158" s="1208" t="s">
        <v>501</v>
      </c>
      <c r="F158" s="1208" t="s">
        <v>511</v>
      </c>
      <c r="G158" s="1208" t="s">
        <v>453</v>
      </c>
      <c r="H158" s="1208" t="s">
        <v>503</v>
      </c>
      <c r="I158" s="1209" t="s">
        <v>618</v>
      </c>
      <c r="J158" s="1208" t="s">
        <v>440</v>
      </c>
      <c r="K158" s="1208" t="s">
        <v>545</v>
      </c>
      <c r="L158" s="1208" t="s">
        <v>124</v>
      </c>
      <c r="M158" s="1208" t="s">
        <v>453</v>
      </c>
      <c r="N158" s="1208" t="s">
        <v>618</v>
      </c>
      <c r="O158" s="1210" t="s">
        <v>483</v>
      </c>
      <c r="P158" s="1210">
        <v>168</v>
      </c>
      <c r="Q158" s="1210">
        <v>6</v>
      </c>
      <c r="R158" s="1208" t="s">
        <v>442</v>
      </c>
    </row>
    <row r="159" spans="1:18" hidden="1">
      <c r="A159" s="1211" t="s">
        <v>499</v>
      </c>
      <c r="B159" s="1211" t="s">
        <v>477</v>
      </c>
      <c r="C159" s="1211" t="s">
        <v>842</v>
      </c>
      <c r="D159" s="1211" t="s">
        <v>500</v>
      </c>
      <c r="E159" s="1211" t="s">
        <v>501</v>
      </c>
      <c r="F159" s="1211" t="s">
        <v>517</v>
      </c>
      <c r="G159" s="1211" t="s">
        <v>462</v>
      </c>
      <c r="H159" s="1211" t="s">
        <v>481</v>
      </c>
      <c r="I159" s="1212" t="s">
        <v>618</v>
      </c>
      <c r="J159" s="1211" t="s">
        <v>445</v>
      </c>
      <c r="K159" s="1211" t="s">
        <v>570</v>
      </c>
      <c r="L159" s="1211" t="s">
        <v>462</v>
      </c>
      <c r="M159" s="1211" t="s">
        <v>124</v>
      </c>
      <c r="N159" s="1211" t="s">
        <v>618</v>
      </c>
      <c r="O159" s="1213" t="s">
        <v>521</v>
      </c>
      <c r="P159" s="1213">
        <v>175</v>
      </c>
      <c r="Q159" s="1213">
        <v>7</v>
      </c>
      <c r="R159" s="1211" t="s">
        <v>442</v>
      </c>
    </row>
    <row r="160" spans="1:18" hidden="1">
      <c r="A160" s="1208" t="s">
        <v>499</v>
      </c>
      <c r="B160" s="1208" t="s">
        <v>477</v>
      </c>
      <c r="C160" s="1208" t="s">
        <v>843</v>
      </c>
      <c r="D160" s="1208" t="s">
        <v>500</v>
      </c>
      <c r="E160" s="1208" t="s">
        <v>501</v>
      </c>
      <c r="F160" s="1208" t="s">
        <v>502</v>
      </c>
      <c r="G160" s="1208" t="s">
        <v>467</v>
      </c>
      <c r="H160" s="1208" t="s">
        <v>503</v>
      </c>
      <c r="I160" s="1209" t="s">
        <v>618</v>
      </c>
      <c r="J160" s="1208" t="s">
        <v>445</v>
      </c>
      <c r="K160" s="1208" t="s">
        <v>744</v>
      </c>
      <c r="L160" s="1208" t="s">
        <v>447</v>
      </c>
      <c r="M160" s="1208" t="s">
        <v>124</v>
      </c>
      <c r="N160" s="1208" t="s">
        <v>618</v>
      </c>
      <c r="O160" s="1210" t="s">
        <v>495</v>
      </c>
      <c r="P160" s="1210">
        <v>61</v>
      </c>
      <c r="Q160" s="1210">
        <v>8</v>
      </c>
      <c r="R160" s="1208" t="s">
        <v>442</v>
      </c>
    </row>
    <row r="161" spans="1:18" hidden="1">
      <c r="A161" s="1211" t="s">
        <v>499</v>
      </c>
      <c r="B161" s="1211" t="s">
        <v>477</v>
      </c>
      <c r="C161" s="1211" t="s">
        <v>844</v>
      </c>
      <c r="D161" s="1211" t="s">
        <v>500</v>
      </c>
      <c r="E161" s="1211" t="s">
        <v>501</v>
      </c>
      <c r="F161" s="1211" t="s">
        <v>517</v>
      </c>
      <c r="G161" s="1211" t="s">
        <v>462</v>
      </c>
      <c r="H161" s="1211" t="s">
        <v>481</v>
      </c>
      <c r="I161" s="1212" t="s">
        <v>618</v>
      </c>
      <c r="J161" s="1211" t="s">
        <v>440</v>
      </c>
      <c r="K161" s="1211" t="s">
        <v>570</v>
      </c>
      <c r="L161" s="1211" t="s">
        <v>124</v>
      </c>
      <c r="M161" s="1211" t="s">
        <v>462</v>
      </c>
      <c r="N161" s="1211" t="s">
        <v>618</v>
      </c>
      <c r="O161" s="1213" t="s">
        <v>573</v>
      </c>
      <c r="P161" s="1213">
        <v>180</v>
      </c>
      <c r="Q161" s="1213">
        <v>7</v>
      </c>
      <c r="R161" s="1211" t="s">
        <v>442</v>
      </c>
    </row>
    <row r="162" spans="1:18" hidden="1">
      <c r="A162" s="1208" t="s">
        <v>499</v>
      </c>
      <c r="B162" s="1208" t="s">
        <v>477</v>
      </c>
      <c r="C162" s="1208" t="s">
        <v>845</v>
      </c>
      <c r="D162" s="1208" t="s">
        <v>500</v>
      </c>
      <c r="E162" s="1208" t="s">
        <v>501</v>
      </c>
      <c r="F162" s="1208" t="s">
        <v>507</v>
      </c>
      <c r="G162" s="1208" t="s">
        <v>466</v>
      </c>
      <c r="H162" s="1208" t="s">
        <v>508</v>
      </c>
      <c r="I162" s="1209" t="s">
        <v>618</v>
      </c>
      <c r="J162" s="1208" t="s">
        <v>445</v>
      </c>
      <c r="K162" s="1208" t="s">
        <v>509</v>
      </c>
      <c r="L162" s="1208" t="s">
        <v>466</v>
      </c>
      <c r="M162" s="1208" t="s">
        <v>124</v>
      </c>
      <c r="N162" s="1208" t="s">
        <v>618</v>
      </c>
      <c r="O162" s="1210" t="s">
        <v>510</v>
      </c>
      <c r="P162" s="1210">
        <v>49</v>
      </c>
      <c r="Q162" s="1210">
        <v>4</v>
      </c>
      <c r="R162" s="1208" t="s">
        <v>442</v>
      </c>
    </row>
    <row r="163" spans="1:18" hidden="1">
      <c r="A163" s="1211" t="s">
        <v>499</v>
      </c>
      <c r="B163" s="1211" t="s">
        <v>477</v>
      </c>
      <c r="C163" s="1211" t="s">
        <v>846</v>
      </c>
      <c r="D163" s="1211" t="s">
        <v>500</v>
      </c>
      <c r="E163" s="1211" t="s">
        <v>501</v>
      </c>
      <c r="F163" s="1211" t="s">
        <v>507</v>
      </c>
      <c r="G163" s="1211" t="s">
        <v>466</v>
      </c>
      <c r="H163" s="1211" t="s">
        <v>508</v>
      </c>
      <c r="I163" s="1212" t="s">
        <v>618</v>
      </c>
      <c r="J163" s="1211" t="s">
        <v>440</v>
      </c>
      <c r="K163" s="1211" t="s">
        <v>509</v>
      </c>
      <c r="L163" s="1211" t="s">
        <v>124</v>
      </c>
      <c r="M163" s="1211" t="s">
        <v>466</v>
      </c>
      <c r="N163" s="1211" t="s">
        <v>618</v>
      </c>
      <c r="O163" s="1213" t="s">
        <v>489</v>
      </c>
      <c r="P163" s="1213">
        <v>58</v>
      </c>
      <c r="Q163" s="1213">
        <v>4</v>
      </c>
      <c r="R163" s="1211" t="s">
        <v>442</v>
      </c>
    </row>
    <row r="164" spans="1:18" hidden="1">
      <c r="A164" s="1208" t="s">
        <v>499</v>
      </c>
      <c r="B164" s="1208" t="s">
        <v>477</v>
      </c>
      <c r="C164" s="1208" t="s">
        <v>847</v>
      </c>
      <c r="D164" s="1208" t="s">
        <v>500</v>
      </c>
      <c r="E164" s="1208" t="s">
        <v>501</v>
      </c>
      <c r="F164" s="1208" t="s">
        <v>502</v>
      </c>
      <c r="G164" s="1208" t="s">
        <v>467</v>
      </c>
      <c r="H164" s="1208" t="s">
        <v>503</v>
      </c>
      <c r="I164" s="1209" t="s">
        <v>848</v>
      </c>
      <c r="J164" s="1208" t="s">
        <v>440</v>
      </c>
      <c r="K164" s="1208" t="s">
        <v>744</v>
      </c>
      <c r="L164" s="1208" t="s">
        <v>124</v>
      </c>
      <c r="M164" s="1208" t="s">
        <v>447</v>
      </c>
      <c r="N164" s="1208" t="s">
        <v>848</v>
      </c>
      <c r="O164" s="1210" t="s">
        <v>504</v>
      </c>
      <c r="P164" s="1210">
        <v>52</v>
      </c>
      <c r="Q164" s="1210">
        <v>8</v>
      </c>
      <c r="R164" s="1208" t="s">
        <v>442</v>
      </c>
    </row>
    <row r="165" spans="1:18" hidden="1">
      <c r="A165" s="1211" t="s">
        <v>499</v>
      </c>
      <c r="B165" s="1211" t="s">
        <v>477</v>
      </c>
      <c r="C165" s="1211" t="s">
        <v>849</v>
      </c>
      <c r="D165" s="1211" t="s">
        <v>500</v>
      </c>
      <c r="E165" s="1211" t="s">
        <v>501</v>
      </c>
      <c r="F165" s="1211" t="s">
        <v>850</v>
      </c>
      <c r="G165" s="1211" t="s">
        <v>851</v>
      </c>
      <c r="H165" s="1211" t="s">
        <v>530</v>
      </c>
      <c r="I165" s="1212" t="s">
        <v>848</v>
      </c>
      <c r="J165" s="1211" t="s">
        <v>445</v>
      </c>
      <c r="K165" s="1211" t="s">
        <v>852</v>
      </c>
      <c r="L165" s="1211" t="s">
        <v>574</v>
      </c>
      <c r="M165" s="1211" t="s">
        <v>124</v>
      </c>
      <c r="N165" s="1211" t="s">
        <v>848</v>
      </c>
      <c r="O165" s="1213" t="s">
        <v>853</v>
      </c>
      <c r="P165" s="1213">
        <v>0</v>
      </c>
      <c r="Q165" s="1213">
        <v>4</v>
      </c>
      <c r="R165" s="1211" t="s">
        <v>442</v>
      </c>
    </row>
    <row r="166" spans="1:18" hidden="1">
      <c r="A166" s="1208" t="s">
        <v>499</v>
      </c>
      <c r="B166" s="1208" t="s">
        <v>477</v>
      </c>
      <c r="C166" s="1208" t="s">
        <v>854</v>
      </c>
      <c r="D166" s="1208" t="s">
        <v>500</v>
      </c>
      <c r="E166" s="1208" t="s">
        <v>501</v>
      </c>
      <c r="F166" s="1208" t="s">
        <v>850</v>
      </c>
      <c r="G166" s="1208" t="s">
        <v>851</v>
      </c>
      <c r="H166" s="1208" t="s">
        <v>530</v>
      </c>
      <c r="I166" s="1209" t="s">
        <v>848</v>
      </c>
      <c r="J166" s="1208" t="s">
        <v>440</v>
      </c>
      <c r="K166" s="1208" t="s">
        <v>852</v>
      </c>
      <c r="L166" s="1208" t="s">
        <v>124</v>
      </c>
      <c r="M166" s="1208" t="s">
        <v>447</v>
      </c>
      <c r="N166" s="1208" t="s">
        <v>848</v>
      </c>
      <c r="O166" s="1210" t="s">
        <v>759</v>
      </c>
      <c r="P166" s="1210">
        <v>0</v>
      </c>
      <c r="Q166" s="1210">
        <v>4</v>
      </c>
      <c r="R166" s="1208" t="s">
        <v>442</v>
      </c>
    </row>
    <row r="167" spans="1:18" hidden="1">
      <c r="A167" s="1211" t="s">
        <v>499</v>
      </c>
      <c r="B167" s="1211" t="s">
        <v>477</v>
      </c>
      <c r="C167" s="1211" t="s">
        <v>855</v>
      </c>
      <c r="D167" s="1211" t="s">
        <v>500</v>
      </c>
      <c r="E167" s="1211" t="s">
        <v>501</v>
      </c>
      <c r="F167" s="1211" t="s">
        <v>505</v>
      </c>
      <c r="G167" s="1211" t="s">
        <v>453</v>
      </c>
      <c r="H167" s="1211" t="s">
        <v>581</v>
      </c>
      <c r="I167" s="1212" t="s">
        <v>848</v>
      </c>
      <c r="J167" s="1211" t="s">
        <v>445</v>
      </c>
      <c r="K167" s="1211" t="s">
        <v>582</v>
      </c>
      <c r="L167" s="1211" t="s">
        <v>453</v>
      </c>
      <c r="M167" s="1211" t="s">
        <v>124</v>
      </c>
      <c r="N167" s="1211" t="s">
        <v>848</v>
      </c>
      <c r="O167" s="1213" t="s">
        <v>583</v>
      </c>
      <c r="P167" s="1213">
        <v>86</v>
      </c>
      <c r="Q167" s="1213">
        <v>4</v>
      </c>
      <c r="R167" s="1211" t="s">
        <v>442</v>
      </c>
    </row>
    <row r="168" spans="1:18" hidden="1">
      <c r="A168" s="1208" t="s">
        <v>499</v>
      </c>
      <c r="B168" s="1208" t="s">
        <v>477</v>
      </c>
      <c r="C168" s="1208" t="s">
        <v>856</v>
      </c>
      <c r="D168" s="1208" t="s">
        <v>500</v>
      </c>
      <c r="E168" s="1208" t="s">
        <v>501</v>
      </c>
      <c r="F168" s="1208" t="s">
        <v>505</v>
      </c>
      <c r="G168" s="1208" t="s">
        <v>453</v>
      </c>
      <c r="H168" s="1208" t="s">
        <v>581</v>
      </c>
      <c r="I168" s="1209" t="s">
        <v>848</v>
      </c>
      <c r="J168" s="1208" t="s">
        <v>440</v>
      </c>
      <c r="K168" s="1208" t="s">
        <v>582</v>
      </c>
      <c r="L168" s="1208" t="s">
        <v>124</v>
      </c>
      <c r="M168" s="1208" t="s">
        <v>453</v>
      </c>
      <c r="N168" s="1208" t="s">
        <v>848</v>
      </c>
      <c r="O168" s="1210" t="s">
        <v>546</v>
      </c>
      <c r="P168" s="1210">
        <v>85</v>
      </c>
      <c r="Q168" s="1210">
        <v>4</v>
      </c>
      <c r="R168" s="1208" t="s">
        <v>442</v>
      </c>
    </row>
    <row r="169" spans="1:18" hidden="1">
      <c r="A169" s="1211" t="s">
        <v>499</v>
      </c>
      <c r="B169" s="1211" t="s">
        <v>477</v>
      </c>
      <c r="C169" s="1211" t="s">
        <v>857</v>
      </c>
      <c r="D169" s="1211" t="s">
        <v>500</v>
      </c>
      <c r="E169" s="1211" t="s">
        <v>501</v>
      </c>
      <c r="F169" s="1211" t="s">
        <v>511</v>
      </c>
      <c r="G169" s="1211" t="s">
        <v>453</v>
      </c>
      <c r="H169" s="1211" t="s">
        <v>503</v>
      </c>
      <c r="I169" s="1212" t="s">
        <v>848</v>
      </c>
      <c r="J169" s="1211" t="s">
        <v>445</v>
      </c>
      <c r="K169" s="1211" t="s">
        <v>548</v>
      </c>
      <c r="L169" s="1211" t="s">
        <v>453</v>
      </c>
      <c r="M169" s="1211" t="s">
        <v>124</v>
      </c>
      <c r="N169" s="1211" t="s">
        <v>848</v>
      </c>
      <c r="O169" s="1213" t="s">
        <v>542</v>
      </c>
      <c r="P169" s="1213">
        <v>92</v>
      </c>
      <c r="Q169" s="1213">
        <v>6</v>
      </c>
      <c r="R169" s="1211" t="s">
        <v>442</v>
      </c>
    </row>
    <row r="170" spans="1:18" hidden="1">
      <c r="A170" s="1208" t="s">
        <v>499</v>
      </c>
      <c r="B170" s="1208" t="s">
        <v>477</v>
      </c>
      <c r="C170" s="1208" t="s">
        <v>858</v>
      </c>
      <c r="D170" s="1208" t="s">
        <v>500</v>
      </c>
      <c r="E170" s="1208" t="s">
        <v>501</v>
      </c>
      <c r="F170" s="1208" t="s">
        <v>522</v>
      </c>
      <c r="G170" s="1208" t="s">
        <v>466</v>
      </c>
      <c r="H170" s="1208" t="s">
        <v>508</v>
      </c>
      <c r="I170" s="1209" t="s">
        <v>848</v>
      </c>
      <c r="J170" s="1208" t="s">
        <v>445</v>
      </c>
      <c r="K170" s="1208" t="s">
        <v>533</v>
      </c>
      <c r="L170" s="1208" t="s">
        <v>466</v>
      </c>
      <c r="M170" s="1208" t="s">
        <v>124</v>
      </c>
      <c r="N170" s="1208" t="s">
        <v>848</v>
      </c>
      <c r="O170" s="1210" t="s">
        <v>510</v>
      </c>
      <c r="P170" s="1210">
        <v>48</v>
      </c>
      <c r="Q170" s="1210">
        <v>4</v>
      </c>
      <c r="R170" s="1208" t="s">
        <v>442</v>
      </c>
    </row>
    <row r="171" spans="1:18" hidden="1">
      <c r="A171" s="1211" t="s">
        <v>499</v>
      </c>
      <c r="B171" s="1211" t="s">
        <v>477</v>
      </c>
      <c r="C171" s="1211" t="s">
        <v>859</v>
      </c>
      <c r="D171" s="1211" t="s">
        <v>500</v>
      </c>
      <c r="E171" s="1211" t="s">
        <v>501</v>
      </c>
      <c r="F171" s="1211" t="s">
        <v>522</v>
      </c>
      <c r="G171" s="1211" t="s">
        <v>466</v>
      </c>
      <c r="H171" s="1211" t="s">
        <v>508</v>
      </c>
      <c r="I171" s="1212" t="s">
        <v>848</v>
      </c>
      <c r="J171" s="1211" t="s">
        <v>440</v>
      </c>
      <c r="K171" s="1211" t="s">
        <v>533</v>
      </c>
      <c r="L171" s="1211" t="s">
        <v>124</v>
      </c>
      <c r="M171" s="1211" t="s">
        <v>466</v>
      </c>
      <c r="N171" s="1211" t="s">
        <v>848</v>
      </c>
      <c r="O171" s="1213" t="s">
        <v>512</v>
      </c>
      <c r="P171" s="1213">
        <v>47</v>
      </c>
      <c r="Q171" s="1213">
        <v>4</v>
      </c>
      <c r="R171" s="1211" t="s">
        <v>442</v>
      </c>
    </row>
    <row r="172" spans="1:18" hidden="1">
      <c r="A172" s="1208" t="s">
        <v>499</v>
      </c>
      <c r="B172" s="1208" t="s">
        <v>477</v>
      </c>
      <c r="C172" s="1208" t="s">
        <v>860</v>
      </c>
      <c r="D172" s="1208" t="s">
        <v>500</v>
      </c>
      <c r="E172" s="1208" t="s">
        <v>501</v>
      </c>
      <c r="F172" s="1208" t="s">
        <v>511</v>
      </c>
      <c r="G172" s="1208" t="s">
        <v>453</v>
      </c>
      <c r="H172" s="1208" t="s">
        <v>503</v>
      </c>
      <c r="I172" s="1209" t="s">
        <v>848</v>
      </c>
      <c r="J172" s="1208" t="s">
        <v>440</v>
      </c>
      <c r="K172" s="1208" t="s">
        <v>548</v>
      </c>
      <c r="L172" s="1208" t="s">
        <v>124</v>
      </c>
      <c r="M172" s="1208" t="s">
        <v>453</v>
      </c>
      <c r="N172" s="1208" t="s">
        <v>848</v>
      </c>
      <c r="O172" s="1210" t="s">
        <v>584</v>
      </c>
      <c r="P172" s="1210">
        <v>140</v>
      </c>
      <c r="Q172" s="1210">
        <v>6</v>
      </c>
      <c r="R172" s="1208" t="s">
        <v>442</v>
      </c>
    </row>
    <row r="173" spans="1:18" hidden="1">
      <c r="A173" s="1211" t="s">
        <v>499</v>
      </c>
      <c r="B173" s="1211" t="s">
        <v>477</v>
      </c>
      <c r="C173" s="1211" t="s">
        <v>861</v>
      </c>
      <c r="D173" s="1211" t="s">
        <v>500</v>
      </c>
      <c r="E173" s="1211" t="s">
        <v>501</v>
      </c>
      <c r="F173" s="1211" t="s">
        <v>862</v>
      </c>
      <c r="G173" s="1211" t="s">
        <v>518</v>
      </c>
      <c r="H173" s="1211" t="s">
        <v>560</v>
      </c>
      <c r="I173" s="1212" t="s">
        <v>863</v>
      </c>
      <c r="J173" s="1211" t="s">
        <v>445</v>
      </c>
      <c r="K173" s="1211" t="s">
        <v>862</v>
      </c>
      <c r="L173" s="1211" t="s">
        <v>453</v>
      </c>
      <c r="M173" s="1211" t="s">
        <v>124</v>
      </c>
      <c r="N173" s="1211" t="s">
        <v>863</v>
      </c>
      <c r="O173" s="1213" t="s">
        <v>541</v>
      </c>
      <c r="P173" s="1213">
        <v>0</v>
      </c>
      <c r="Q173" s="1213">
        <v>4</v>
      </c>
      <c r="R173" s="1211" t="s">
        <v>442</v>
      </c>
    </row>
    <row r="174" spans="1:18" hidden="1">
      <c r="A174" s="1208" t="s">
        <v>499</v>
      </c>
      <c r="B174" s="1208" t="s">
        <v>477</v>
      </c>
      <c r="C174" s="1208" t="s">
        <v>864</v>
      </c>
      <c r="D174" s="1208" t="s">
        <v>500</v>
      </c>
      <c r="E174" s="1208" t="s">
        <v>501</v>
      </c>
      <c r="F174" s="1208" t="s">
        <v>505</v>
      </c>
      <c r="G174" s="1208" t="s">
        <v>453</v>
      </c>
      <c r="H174" s="1208" t="s">
        <v>581</v>
      </c>
      <c r="I174" s="1209" t="s">
        <v>863</v>
      </c>
      <c r="J174" s="1208" t="s">
        <v>445</v>
      </c>
      <c r="K174" s="1208" t="s">
        <v>582</v>
      </c>
      <c r="L174" s="1208" t="s">
        <v>453</v>
      </c>
      <c r="M174" s="1208" t="s">
        <v>124</v>
      </c>
      <c r="N174" s="1208" t="s">
        <v>863</v>
      </c>
      <c r="O174" s="1210" t="s">
        <v>583</v>
      </c>
      <c r="P174" s="1210">
        <v>78</v>
      </c>
      <c r="Q174" s="1210">
        <v>4</v>
      </c>
      <c r="R174" s="1208" t="s">
        <v>442</v>
      </c>
    </row>
    <row r="175" spans="1:18" hidden="1">
      <c r="A175" s="1211" t="s">
        <v>499</v>
      </c>
      <c r="B175" s="1211" t="s">
        <v>477</v>
      </c>
      <c r="C175" s="1211" t="s">
        <v>865</v>
      </c>
      <c r="D175" s="1211" t="s">
        <v>500</v>
      </c>
      <c r="E175" s="1211" t="s">
        <v>501</v>
      </c>
      <c r="F175" s="1211" t="s">
        <v>862</v>
      </c>
      <c r="G175" s="1211" t="s">
        <v>518</v>
      </c>
      <c r="H175" s="1211" t="s">
        <v>560</v>
      </c>
      <c r="I175" s="1212" t="s">
        <v>863</v>
      </c>
      <c r="J175" s="1211" t="s">
        <v>440</v>
      </c>
      <c r="K175" s="1211" t="s">
        <v>862</v>
      </c>
      <c r="L175" s="1211" t="s">
        <v>124</v>
      </c>
      <c r="M175" s="1211" t="s">
        <v>453</v>
      </c>
      <c r="N175" s="1211" t="s">
        <v>863</v>
      </c>
      <c r="O175" s="1213" t="s">
        <v>546</v>
      </c>
      <c r="P175" s="1213">
        <v>4</v>
      </c>
      <c r="Q175" s="1213">
        <v>4</v>
      </c>
      <c r="R175" s="1211" t="s">
        <v>442</v>
      </c>
    </row>
    <row r="176" spans="1:18" hidden="1">
      <c r="A176" s="1208" t="s">
        <v>499</v>
      </c>
      <c r="B176" s="1208" t="s">
        <v>477</v>
      </c>
      <c r="C176" s="1208" t="s">
        <v>866</v>
      </c>
      <c r="D176" s="1208" t="s">
        <v>500</v>
      </c>
      <c r="E176" s="1208" t="s">
        <v>501</v>
      </c>
      <c r="F176" s="1208" t="s">
        <v>511</v>
      </c>
      <c r="G176" s="1208" t="s">
        <v>453</v>
      </c>
      <c r="H176" s="1208" t="s">
        <v>503</v>
      </c>
      <c r="I176" s="1209" t="s">
        <v>863</v>
      </c>
      <c r="J176" s="1208" t="s">
        <v>445</v>
      </c>
      <c r="K176" s="1208" t="s">
        <v>548</v>
      </c>
      <c r="L176" s="1208" t="s">
        <v>453</v>
      </c>
      <c r="M176" s="1208" t="s">
        <v>124</v>
      </c>
      <c r="N176" s="1208" t="s">
        <v>863</v>
      </c>
      <c r="O176" s="1210" t="s">
        <v>586</v>
      </c>
      <c r="P176" s="1210">
        <v>142</v>
      </c>
      <c r="Q176" s="1210">
        <v>6</v>
      </c>
      <c r="R176" s="1208" t="s">
        <v>442</v>
      </c>
    </row>
    <row r="177" spans="1:18" hidden="1">
      <c r="A177" s="1211" t="s">
        <v>499</v>
      </c>
      <c r="B177" s="1211" t="s">
        <v>477</v>
      </c>
      <c r="C177" s="1211" t="s">
        <v>867</v>
      </c>
      <c r="D177" s="1211" t="s">
        <v>500</v>
      </c>
      <c r="E177" s="1211" t="s">
        <v>501</v>
      </c>
      <c r="F177" s="1211" t="s">
        <v>505</v>
      </c>
      <c r="G177" s="1211" t="s">
        <v>453</v>
      </c>
      <c r="H177" s="1211" t="s">
        <v>581</v>
      </c>
      <c r="I177" s="1212" t="s">
        <v>863</v>
      </c>
      <c r="J177" s="1211" t="s">
        <v>440</v>
      </c>
      <c r="K177" s="1211" t="s">
        <v>582</v>
      </c>
      <c r="L177" s="1211" t="s">
        <v>124</v>
      </c>
      <c r="M177" s="1211" t="s">
        <v>453</v>
      </c>
      <c r="N177" s="1211" t="s">
        <v>863</v>
      </c>
      <c r="O177" s="1213" t="s">
        <v>546</v>
      </c>
      <c r="P177" s="1213">
        <v>86</v>
      </c>
      <c r="Q177" s="1213">
        <v>4</v>
      </c>
      <c r="R177" s="1211" t="s">
        <v>442</v>
      </c>
    </row>
    <row r="178" spans="1:18" hidden="1">
      <c r="A178" s="1208" t="s">
        <v>499</v>
      </c>
      <c r="B178" s="1208" t="s">
        <v>477</v>
      </c>
      <c r="C178" s="1208" t="s">
        <v>868</v>
      </c>
      <c r="D178" s="1208" t="s">
        <v>500</v>
      </c>
      <c r="E178" s="1208" t="s">
        <v>501</v>
      </c>
      <c r="F178" s="1208" t="s">
        <v>511</v>
      </c>
      <c r="G178" s="1208" t="s">
        <v>453</v>
      </c>
      <c r="H178" s="1208" t="s">
        <v>503</v>
      </c>
      <c r="I178" s="1209" t="s">
        <v>863</v>
      </c>
      <c r="J178" s="1208" t="s">
        <v>440</v>
      </c>
      <c r="K178" s="1208" t="s">
        <v>548</v>
      </c>
      <c r="L178" s="1208" t="s">
        <v>124</v>
      </c>
      <c r="M178" s="1208" t="s">
        <v>453</v>
      </c>
      <c r="N178" s="1208" t="s">
        <v>863</v>
      </c>
      <c r="O178" s="1210" t="s">
        <v>483</v>
      </c>
      <c r="P178" s="1210">
        <v>180</v>
      </c>
      <c r="Q178" s="1210">
        <v>6</v>
      </c>
      <c r="R178" s="1208" t="s">
        <v>442</v>
      </c>
    </row>
    <row r="179" spans="1:18" hidden="1">
      <c r="A179" s="1211" t="s">
        <v>499</v>
      </c>
      <c r="B179" s="1211" t="s">
        <v>477</v>
      </c>
      <c r="C179" s="1211" t="s">
        <v>869</v>
      </c>
      <c r="D179" s="1211" t="s">
        <v>500</v>
      </c>
      <c r="E179" s="1211" t="s">
        <v>501</v>
      </c>
      <c r="F179" s="1211" t="s">
        <v>520</v>
      </c>
      <c r="G179" s="1211" t="s">
        <v>441</v>
      </c>
      <c r="H179" s="1211" t="s">
        <v>508</v>
      </c>
      <c r="I179" s="1212" t="s">
        <v>863</v>
      </c>
      <c r="J179" s="1211" t="s">
        <v>445</v>
      </c>
      <c r="K179" s="1211" t="s">
        <v>529</v>
      </c>
      <c r="L179" s="1211" t="s">
        <v>441</v>
      </c>
      <c r="M179" s="1211" t="s">
        <v>124</v>
      </c>
      <c r="N179" s="1211" t="s">
        <v>863</v>
      </c>
      <c r="O179" s="1213" t="s">
        <v>521</v>
      </c>
      <c r="P179" s="1213">
        <v>63</v>
      </c>
      <c r="Q179" s="1213">
        <v>4</v>
      </c>
      <c r="R179" s="1211" t="s">
        <v>442</v>
      </c>
    </row>
    <row r="180" spans="1:18" hidden="1">
      <c r="A180" s="1208" t="s">
        <v>499</v>
      </c>
      <c r="B180" s="1208" t="s">
        <v>477</v>
      </c>
      <c r="C180" s="1208" t="s">
        <v>870</v>
      </c>
      <c r="D180" s="1208" t="s">
        <v>500</v>
      </c>
      <c r="E180" s="1208" t="s">
        <v>501</v>
      </c>
      <c r="F180" s="1208" t="s">
        <v>562</v>
      </c>
      <c r="G180" s="1208" t="s">
        <v>453</v>
      </c>
      <c r="H180" s="1208" t="s">
        <v>481</v>
      </c>
      <c r="I180" s="1209" t="s">
        <v>863</v>
      </c>
      <c r="J180" s="1208" t="s">
        <v>445</v>
      </c>
      <c r="K180" s="1208" t="s">
        <v>670</v>
      </c>
      <c r="L180" s="1208" t="s">
        <v>462</v>
      </c>
      <c r="M180" s="1208" t="s">
        <v>124</v>
      </c>
      <c r="N180" s="1208" t="s">
        <v>863</v>
      </c>
      <c r="O180" s="1210" t="s">
        <v>521</v>
      </c>
      <c r="P180" s="1210">
        <v>188</v>
      </c>
      <c r="Q180" s="1210">
        <v>7</v>
      </c>
      <c r="R180" s="1208" t="s">
        <v>442</v>
      </c>
    </row>
    <row r="181" spans="1:18" hidden="1">
      <c r="A181" s="1211" t="s">
        <v>499</v>
      </c>
      <c r="B181" s="1211" t="s">
        <v>477</v>
      </c>
      <c r="C181" s="1211" t="s">
        <v>871</v>
      </c>
      <c r="D181" s="1211" t="s">
        <v>500</v>
      </c>
      <c r="E181" s="1211" t="s">
        <v>501</v>
      </c>
      <c r="F181" s="1211" t="s">
        <v>522</v>
      </c>
      <c r="G181" s="1211" t="s">
        <v>466</v>
      </c>
      <c r="H181" s="1211" t="s">
        <v>508</v>
      </c>
      <c r="I181" s="1212" t="s">
        <v>863</v>
      </c>
      <c r="J181" s="1211" t="s">
        <v>445</v>
      </c>
      <c r="K181" s="1211" t="s">
        <v>533</v>
      </c>
      <c r="L181" s="1211" t="s">
        <v>466</v>
      </c>
      <c r="M181" s="1211" t="s">
        <v>124</v>
      </c>
      <c r="N181" s="1211" t="s">
        <v>863</v>
      </c>
      <c r="O181" s="1213" t="s">
        <v>510</v>
      </c>
      <c r="P181" s="1213">
        <v>50</v>
      </c>
      <c r="Q181" s="1213">
        <v>4</v>
      </c>
      <c r="R181" s="1211" t="s">
        <v>442</v>
      </c>
    </row>
    <row r="182" spans="1:18" hidden="1">
      <c r="A182" s="1208" t="s">
        <v>499</v>
      </c>
      <c r="B182" s="1208" t="s">
        <v>477</v>
      </c>
      <c r="C182" s="1208" t="s">
        <v>872</v>
      </c>
      <c r="D182" s="1208" t="s">
        <v>500</v>
      </c>
      <c r="E182" s="1208" t="s">
        <v>501</v>
      </c>
      <c r="F182" s="1208" t="s">
        <v>520</v>
      </c>
      <c r="G182" s="1208" t="s">
        <v>441</v>
      </c>
      <c r="H182" s="1208" t="s">
        <v>508</v>
      </c>
      <c r="I182" s="1209" t="s">
        <v>863</v>
      </c>
      <c r="J182" s="1208" t="s">
        <v>440</v>
      </c>
      <c r="K182" s="1208" t="s">
        <v>529</v>
      </c>
      <c r="L182" s="1208" t="s">
        <v>124</v>
      </c>
      <c r="M182" s="1208" t="s">
        <v>441</v>
      </c>
      <c r="N182" s="1208" t="s">
        <v>863</v>
      </c>
      <c r="O182" s="1210" t="s">
        <v>495</v>
      </c>
      <c r="P182" s="1210">
        <v>60</v>
      </c>
      <c r="Q182" s="1210">
        <v>4</v>
      </c>
      <c r="R182" s="1208" t="s">
        <v>442</v>
      </c>
    </row>
    <row r="183" spans="1:18" hidden="1">
      <c r="A183" s="1211" t="s">
        <v>499</v>
      </c>
      <c r="B183" s="1211" t="s">
        <v>477</v>
      </c>
      <c r="C183" s="1211" t="s">
        <v>873</v>
      </c>
      <c r="D183" s="1211" t="s">
        <v>500</v>
      </c>
      <c r="E183" s="1211" t="s">
        <v>501</v>
      </c>
      <c r="F183" s="1211" t="s">
        <v>562</v>
      </c>
      <c r="G183" s="1211" t="s">
        <v>453</v>
      </c>
      <c r="H183" s="1211" t="s">
        <v>481</v>
      </c>
      <c r="I183" s="1212" t="s">
        <v>863</v>
      </c>
      <c r="J183" s="1211" t="s">
        <v>440</v>
      </c>
      <c r="K183" s="1211" t="s">
        <v>670</v>
      </c>
      <c r="L183" s="1211" t="s">
        <v>124</v>
      </c>
      <c r="M183" s="1211" t="s">
        <v>462</v>
      </c>
      <c r="N183" s="1211" t="s">
        <v>863</v>
      </c>
      <c r="O183" s="1213" t="s">
        <v>573</v>
      </c>
      <c r="P183" s="1213">
        <v>180</v>
      </c>
      <c r="Q183" s="1213">
        <v>7</v>
      </c>
      <c r="R183" s="1211" t="s">
        <v>442</v>
      </c>
    </row>
    <row r="184" spans="1:18" hidden="1">
      <c r="A184" s="1208" t="s">
        <v>499</v>
      </c>
      <c r="B184" s="1208" t="s">
        <v>477</v>
      </c>
      <c r="C184" s="1208" t="s">
        <v>874</v>
      </c>
      <c r="D184" s="1208" t="s">
        <v>500</v>
      </c>
      <c r="E184" s="1208" t="s">
        <v>501</v>
      </c>
      <c r="F184" s="1208" t="s">
        <v>522</v>
      </c>
      <c r="G184" s="1208" t="s">
        <v>466</v>
      </c>
      <c r="H184" s="1208" t="s">
        <v>508</v>
      </c>
      <c r="I184" s="1209" t="s">
        <v>863</v>
      </c>
      <c r="J184" s="1208" t="s">
        <v>440</v>
      </c>
      <c r="K184" s="1208" t="s">
        <v>533</v>
      </c>
      <c r="L184" s="1208" t="s">
        <v>124</v>
      </c>
      <c r="M184" s="1208" t="s">
        <v>466</v>
      </c>
      <c r="N184" s="1208" t="s">
        <v>863</v>
      </c>
      <c r="O184" s="1210" t="s">
        <v>512</v>
      </c>
      <c r="P184" s="1210">
        <v>55</v>
      </c>
      <c r="Q184" s="1210">
        <v>4</v>
      </c>
      <c r="R184" s="1208" t="s">
        <v>442</v>
      </c>
    </row>
    <row r="185" spans="1:18" hidden="1">
      <c r="A185" s="1211" t="s">
        <v>499</v>
      </c>
      <c r="B185" s="1211" t="s">
        <v>477</v>
      </c>
      <c r="C185" s="1211" t="s">
        <v>875</v>
      </c>
      <c r="D185" s="1211" t="s">
        <v>500</v>
      </c>
      <c r="E185" s="1211" t="s">
        <v>501</v>
      </c>
      <c r="F185" s="1211" t="s">
        <v>480</v>
      </c>
      <c r="G185" s="1211" t="s">
        <v>447</v>
      </c>
      <c r="H185" s="1211" t="s">
        <v>481</v>
      </c>
      <c r="I185" s="1212" t="s">
        <v>863</v>
      </c>
      <c r="J185" s="1211" t="s">
        <v>445</v>
      </c>
      <c r="K185" s="1211" t="s">
        <v>482</v>
      </c>
      <c r="L185" s="1211" t="s">
        <v>513</v>
      </c>
      <c r="M185" s="1211" t="s">
        <v>124</v>
      </c>
      <c r="N185" s="1211" t="s">
        <v>863</v>
      </c>
      <c r="O185" s="1213" t="s">
        <v>537</v>
      </c>
      <c r="P185" s="1213">
        <v>71</v>
      </c>
      <c r="Q185" s="1213">
        <v>6</v>
      </c>
      <c r="R185" s="1211" t="s">
        <v>442</v>
      </c>
    </row>
    <row r="186" spans="1:18" hidden="1">
      <c r="A186" s="1208" t="s">
        <v>499</v>
      </c>
      <c r="B186" s="1208" t="s">
        <v>477</v>
      </c>
      <c r="C186" s="1208" t="s">
        <v>876</v>
      </c>
      <c r="D186" s="1208" t="s">
        <v>500</v>
      </c>
      <c r="E186" s="1208" t="s">
        <v>501</v>
      </c>
      <c r="F186" s="1208" t="s">
        <v>480</v>
      </c>
      <c r="G186" s="1208" t="s">
        <v>447</v>
      </c>
      <c r="H186" s="1208" t="s">
        <v>481</v>
      </c>
      <c r="I186" s="1209" t="s">
        <v>863</v>
      </c>
      <c r="J186" s="1208" t="s">
        <v>440</v>
      </c>
      <c r="K186" s="1208" t="s">
        <v>482</v>
      </c>
      <c r="L186" s="1208" t="s">
        <v>124</v>
      </c>
      <c r="M186" s="1208" t="s">
        <v>447</v>
      </c>
      <c r="N186" s="1208" t="s">
        <v>863</v>
      </c>
      <c r="O186" s="1210" t="s">
        <v>489</v>
      </c>
      <c r="P186" s="1210">
        <v>36</v>
      </c>
      <c r="Q186" s="1210">
        <v>6</v>
      </c>
      <c r="R186" s="1208" t="s">
        <v>442</v>
      </c>
    </row>
    <row r="187" spans="1:18" hidden="1">
      <c r="A187" s="1211" t="s">
        <v>499</v>
      </c>
      <c r="B187" s="1211" t="s">
        <v>477</v>
      </c>
      <c r="C187" s="1211" t="s">
        <v>877</v>
      </c>
      <c r="D187" s="1211" t="s">
        <v>500</v>
      </c>
      <c r="E187" s="1211" t="s">
        <v>501</v>
      </c>
      <c r="F187" s="1211" t="s">
        <v>878</v>
      </c>
      <c r="G187" s="1211" t="s">
        <v>879</v>
      </c>
      <c r="H187" s="1211" t="s">
        <v>880</v>
      </c>
      <c r="I187" s="1212" t="s">
        <v>863</v>
      </c>
      <c r="J187" s="1211" t="s">
        <v>445</v>
      </c>
      <c r="K187" s="1211" t="s">
        <v>881</v>
      </c>
      <c r="L187" s="1211" t="s">
        <v>882</v>
      </c>
      <c r="M187" s="1211" t="s">
        <v>124</v>
      </c>
      <c r="N187" s="1211" t="s">
        <v>863</v>
      </c>
      <c r="O187" s="1213" t="s">
        <v>558</v>
      </c>
      <c r="P187" s="1213">
        <v>5</v>
      </c>
      <c r="Q187" s="1213">
        <v>4</v>
      </c>
      <c r="R187" s="1211" t="s">
        <v>442</v>
      </c>
    </row>
    <row r="188" spans="1:18" hidden="1">
      <c r="A188" s="1208" t="s">
        <v>499</v>
      </c>
      <c r="B188" s="1208" t="s">
        <v>477</v>
      </c>
      <c r="C188" s="1208" t="s">
        <v>883</v>
      </c>
      <c r="D188" s="1208" t="s">
        <v>500</v>
      </c>
      <c r="E188" s="1208" t="s">
        <v>501</v>
      </c>
      <c r="F188" s="1208" t="s">
        <v>878</v>
      </c>
      <c r="G188" s="1208" t="s">
        <v>879</v>
      </c>
      <c r="H188" s="1208" t="s">
        <v>880</v>
      </c>
      <c r="I188" s="1209" t="s">
        <v>884</v>
      </c>
      <c r="J188" s="1208" t="s">
        <v>440</v>
      </c>
      <c r="K188" s="1208" t="s">
        <v>881</v>
      </c>
      <c r="L188" s="1208" t="s">
        <v>124</v>
      </c>
      <c r="M188" s="1208" t="s">
        <v>550</v>
      </c>
      <c r="N188" s="1208" t="s">
        <v>884</v>
      </c>
      <c r="O188" s="1210" t="s">
        <v>541</v>
      </c>
      <c r="P188" s="1210">
        <v>5</v>
      </c>
      <c r="Q188" s="1210">
        <v>4</v>
      </c>
      <c r="R188" s="1208" t="s">
        <v>442</v>
      </c>
    </row>
    <row r="189" spans="1:18" hidden="1">
      <c r="A189" s="1211" t="s">
        <v>499</v>
      </c>
      <c r="B189" s="1211" t="s">
        <v>477</v>
      </c>
      <c r="C189" s="1211" t="s">
        <v>885</v>
      </c>
      <c r="D189" s="1211" t="s">
        <v>500</v>
      </c>
      <c r="E189" s="1211" t="s">
        <v>501</v>
      </c>
      <c r="F189" s="1211" t="s">
        <v>522</v>
      </c>
      <c r="G189" s="1211" t="s">
        <v>466</v>
      </c>
      <c r="H189" s="1211" t="s">
        <v>503</v>
      </c>
      <c r="I189" s="1212" t="s">
        <v>884</v>
      </c>
      <c r="J189" s="1211" t="s">
        <v>445</v>
      </c>
      <c r="K189" s="1211" t="s">
        <v>886</v>
      </c>
      <c r="L189" s="1211" t="s">
        <v>466</v>
      </c>
      <c r="M189" s="1211" t="s">
        <v>124</v>
      </c>
      <c r="N189" s="1211" t="s">
        <v>884</v>
      </c>
      <c r="O189" s="1213" t="s">
        <v>526</v>
      </c>
      <c r="P189" s="1213">
        <v>95</v>
      </c>
      <c r="Q189" s="1213">
        <v>7</v>
      </c>
      <c r="R189" s="1211" t="s">
        <v>442</v>
      </c>
    </row>
    <row r="190" spans="1:18" hidden="1">
      <c r="A190" s="1208" t="s">
        <v>499</v>
      </c>
      <c r="B190" s="1208" t="s">
        <v>477</v>
      </c>
      <c r="C190" s="1208" t="s">
        <v>887</v>
      </c>
      <c r="D190" s="1208" t="s">
        <v>500</v>
      </c>
      <c r="E190" s="1208" t="s">
        <v>501</v>
      </c>
      <c r="F190" s="1208" t="s">
        <v>522</v>
      </c>
      <c r="G190" s="1208" t="s">
        <v>466</v>
      </c>
      <c r="H190" s="1208" t="s">
        <v>503</v>
      </c>
      <c r="I190" s="1209" t="s">
        <v>884</v>
      </c>
      <c r="J190" s="1208" t="s">
        <v>440</v>
      </c>
      <c r="K190" s="1208" t="s">
        <v>886</v>
      </c>
      <c r="L190" s="1208" t="s">
        <v>124</v>
      </c>
      <c r="M190" s="1208" t="s">
        <v>466</v>
      </c>
      <c r="N190" s="1208" t="s">
        <v>884</v>
      </c>
      <c r="O190" s="1210" t="s">
        <v>527</v>
      </c>
      <c r="P190" s="1210">
        <v>95</v>
      </c>
      <c r="Q190" s="1210">
        <v>7</v>
      </c>
      <c r="R190" s="1208" t="s">
        <v>442</v>
      </c>
    </row>
    <row r="191" spans="1:18" hidden="1">
      <c r="A191" s="1211" t="s">
        <v>499</v>
      </c>
      <c r="B191" s="1211" t="s">
        <v>477</v>
      </c>
      <c r="C191" s="1211" t="s">
        <v>888</v>
      </c>
      <c r="D191" s="1211" t="s">
        <v>500</v>
      </c>
      <c r="E191" s="1211" t="s">
        <v>501</v>
      </c>
      <c r="F191" s="1211" t="s">
        <v>511</v>
      </c>
      <c r="G191" s="1211" t="s">
        <v>453</v>
      </c>
      <c r="H191" s="1211" t="s">
        <v>503</v>
      </c>
      <c r="I191" s="1212" t="s">
        <v>884</v>
      </c>
      <c r="J191" s="1211" t="s">
        <v>445</v>
      </c>
      <c r="K191" s="1211" t="s">
        <v>680</v>
      </c>
      <c r="L191" s="1211" t="s">
        <v>453</v>
      </c>
      <c r="M191" s="1211" t="s">
        <v>124</v>
      </c>
      <c r="N191" s="1211" t="s">
        <v>884</v>
      </c>
      <c r="O191" s="1213" t="s">
        <v>586</v>
      </c>
      <c r="P191" s="1213">
        <v>103</v>
      </c>
      <c r="Q191" s="1213">
        <v>6</v>
      </c>
      <c r="R191" s="1211" t="s">
        <v>442</v>
      </c>
    </row>
    <row r="192" spans="1:18" hidden="1">
      <c r="A192" s="1208" t="s">
        <v>499</v>
      </c>
      <c r="B192" s="1208" t="s">
        <v>477</v>
      </c>
      <c r="C192" s="1208" t="s">
        <v>889</v>
      </c>
      <c r="D192" s="1208" t="s">
        <v>500</v>
      </c>
      <c r="E192" s="1208" t="s">
        <v>501</v>
      </c>
      <c r="F192" s="1208" t="s">
        <v>505</v>
      </c>
      <c r="G192" s="1208" t="s">
        <v>453</v>
      </c>
      <c r="H192" s="1208" t="s">
        <v>581</v>
      </c>
      <c r="I192" s="1209" t="s">
        <v>884</v>
      </c>
      <c r="J192" s="1208" t="s">
        <v>445</v>
      </c>
      <c r="K192" s="1208" t="s">
        <v>588</v>
      </c>
      <c r="L192" s="1208" t="s">
        <v>453</v>
      </c>
      <c r="M192" s="1208" t="s">
        <v>124</v>
      </c>
      <c r="N192" s="1208" t="s">
        <v>884</v>
      </c>
      <c r="O192" s="1210" t="s">
        <v>583</v>
      </c>
      <c r="P192" s="1210">
        <v>60</v>
      </c>
      <c r="Q192" s="1210">
        <v>4</v>
      </c>
      <c r="R192" s="1208" t="s">
        <v>442</v>
      </c>
    </row>
    <row r="193" spans="1:18" hidden="1">
      <c r="A193" s="1211" t="s">
        <v>499</v>
      </c>
      <c r="B193" s="1211" t="s">
        <v>477</v>
      </c>
      <c r="C193" s="1211" t="s">
        <v>890</v>
      </c>
      <c r="D193" s="1211" t="s">
        <v>500</v>
      </c>
      <c r="E193" s="1211" t="s">
        <v>501</v>
      </c>
      <c r="F193" s="1211" t="s">
        <v>511</v>
      </c>
      <c r="G193" s="1211" t="s">
        <v>453</v>
      </c>
      <c r="H193" s="1211" t="s">
        <v>503</v>
      </c>
      <c r="I193" s="1212" t="s">
        <v>884</v>
      </c>
      <c r="J193" s="1211" t="s">
        <v>440</v>
      </c>
      <c r="K193" s="1211" t="s">
        <v>680</v>
      </c>
      <c r="L193" s="1211" t="s">
        <v>124</v>
      </c>
      <c r="M193" s="1211" t="s">
        <v>453</v>
      </c>
      <c r="N193" s="1211" t="s">
        <v>884</v>
      </c>
      <c r="O193" s="1213" t="s">
        <v>483</v>
      </c>
      <c r="P193" s="1213">
        <v>165</v>
      </c>
      <c r="Q193" s="1213">
        <v>6</v>
      </c>
      <c r="R193" s="1211" t="s">
        <v>442</v>
      </c>
    </row>
    <row r="194" spans="1:18" hidden="1">
      <c r="A194" s="1208" t="s">
        <v>499</v>
      </c>
      <c r="B194" s="1208" t="s">
        <v>477</v>
      </c>
      <c r="C194" s="1208" t="s">
        <v>891</v>
      </c>
      <c r="D194" s="1208" t="s">
        <v>500</v>
      </c>
      <c r="E194" s="1208" t="s">
        <v>501</v>
      </c>
      <c r="F194" s="1208" t="s">
        <v>505</v>
      </c>
      <c r="G194" s="1208" t="s">
        <v>453</v>
      </c>
      <c r="H194" s="1208" t="s">
        <v>581</v>
      </c>
      <c r="I194" s="1209" t="s">
        <v>884</v>
      </c>
      <c r="J194" s="1208" t="s">
        <v>440</v>
      </c>
      <c r="K194" s="1208" t="s">
        <v>588</v>
      </c>
      <c r="L194" s="1208" t="s">
        <v>124</v>
      </c>
      <c r="M194" s="1208" t="s">
        <v>453</v>
      </c>
      <c r="N194" s="1208" t="s">
        <v>884</v>
      </c>
      <c r="O194" s="1210" t="s">
        <v>546</v>
      </c>
      <c r="P194" s="1210">
        <v>90</v>
      </c>
      <c r="Q194" s="1210">
        <v>4</v>
      </c>
      <c r="R194" s="1208" t="s">
        <v>442</v>
      </c>
    </row>
    <row r="195" spans="1:18" hidden="1">
      <c r="A195" s="1211" t="s">
        <v>499</v>
      </c>
      <c r="B195" s="1211" t="s">
        <v>477</v>
      </c>
      <c r="C195" s="1211" t="s">
        <v>892</v>
      </c>
      <c r="D195" s="1211" t="s">
        <v>500</v>
      </c>
      <c r="E195" s="1211" t="s">
        <v>501</v>
      </c>
      <c r="F195" s="1211" t="s">
        <v>893</v>
      </c>
      <c r="G195" s="1211" t="s">
        <v>462</v>
      </c>
      <c r="H195" s="1211" t="s">
        <v>530</v>
      </c>
      <c r="I195" s="1212" t="s">
        <v>884</v>
      </c>
      <c r="J195" s="1211" t="s">
        <v>445</v>
      </c>
      <c r="K195" s="1211" t="s">
        <v>894</v>
      </c>
      <c r="L195" s="1211" t="s">
        <v>462</v>
      </c>
      <c r="M195" s="1211" t="s">
        <v>124</v>
      </c>
      <c r="N195" s="1211" t="s">
        <v>884</v>
      </c>
      <c r="O195" s="1213" t="s">
        <v>521</v>
      </c>
      <c r="P195" s="1213">
        <v>0</v>
      </c>
      <c r="Q195" s="1213">
        <v>2</v>
      </c>
      <c r="R195" s="1211" t="s">
        <v>442</v>
      </c>
    </row>
    <row r="196" spans="1:18" hidden="1">
      <c r="A196" s="1208" t="s">
        <v>499</v>
      </c>
      <c r="B196" s="1208" t="s">
        <v>477</v>
      </c>
      <c r="C196" s="1208" t="s">
        <v>895</v>
      </c>
      <c r="D196" s="1208" t="s">
        <v>500</v>
      </c>
      <c r="E196" s="1208" t="s">
        <v>501</v>
      </c>
      <c r="F196" s="1208" t="s">
        <v>480</v>
      </c>
      <c r="G196" s="1208" t="s">
        <v>447</v>
      </c>
      <c r="H196" s="1208" t="s">
        <v>481</v>
      </c>
      <c r="I196" s="1209" t="s">
        <v>884</v>
      </c>
      <c r="J196" s="1208" t="s">
        <v>445</v>
      </c>
      <c r="K196" s="1208" t="s">
        <v>482</v>
      </c>
      <c r="L196" s="1208" t="s">
        <v>447</v>
      </c>
      <c r="M196" s="1208" t="s">
        <v>124</v>
      </c>
      <c r="N196" s="1208" t="s">
        <v>884</v>
      </c>
      <c r="O196" s="1210" t="s">
        <v>543</v>
      </c>
      <c r="P196" s="1210">
        <v>39</v>
      </c>
      <c r="Q196" s="1210">
        <v>6</v>
      </c>
      <c r="R196" s="1208" t="s">
        <v>442</v>
      </c>
    </row>
    <row r="197" spans="1:18" hidden="1">
      <c r="A197" s="1211" t="s">
        <v>499</v>
      </c>
      <c r="B197" s="1211" t="s">
        <v>477</v>
      </c>
      <c r="C197" s="1211" t="s">
        <v>896</v>
      </c>
      <c r="D197" s="1211" t="s">
        <v>500</v>
      </c>
      <c r="E197" s="1211" t="s">
        <v>501</v>
      </c>
      <c r="F197" s="1211" t="s">
        <v>480</v>
      </c>
      <c r="G197" s="1211" t="s">
        <v>447</v>
      </c>
      <c r="H197" s="1211" t="s">
        <v>481</v>
      </c>
      <c r="I197" s="1212" t="s">
        <v>884</v>
      </c>
      <c r="J197" s="1211" t="s">
        <v>440</v>
      </c>
      <c r="K197" s="1211" t="s">
        <v>482</v>
      </c>
      <c r="L197" s="1211" t="s">
        <v>124</v>
      </c>
      <c r="M197" s="1211" t="s">
        <v>513</v>
      </c>
      <c r="N197" s="1211" t="s">
        <v>884</v>
      </c>
      <c r="O197" s="1213" t="s">
        <v>897</v>
      </c>
      <c r="P197" s="1213">
        <v>89</v>
      </c>
      <c r="Q197" s="1213">
        <v>6</v>
      </c>
      <c r="R197" s="1211" t="s">
        <v>442</v>
      </c>
    </row>
    <row r="198" spans="1:18" hidden="1">
      <c r="A198" s="1208" t="s">
        <v>499</v>
      </c>
      <c r="B198" s="1208" t="s">
        <v>477</v>
      </c>
      <c r="C198" s="1208" t="s">
        <v>898</v>
      </c>
      <c r="D198" s="1208" t="s">
        <v>500</v>
      </c>
      <c r="E198" s="1208" t="s">
        <v>501</v>
      </c>
      <c r="F198" s="1208" t="s">
        <v>893</v>
      </c>
      <c r="G198" s="1208" t="s">
        <v>462</v>
      </c>
      <c r="H198" s="1208" t="s">
        <v>530</v>
      </c>
      <c r="I198" s="1209" t="s">
        <v>899</v>
      </c>
      <c r="J198" s="1208" t="s">
        <v>440</v>
      </c>
      <c r="K198" s="1208" t="s">
        <v>894</v>
      </c>
      <c r="L198" s="1208" t="s">
        <v>124</v>
      </c>
      <c r="M198" s="1208" t="s">
        <v>467</v>
      </c>
      <c r="N198" s="1208" t="s">
        <v>899</v>
      </c>
      <c r="O198" s="1210" t="s">
        <v>552</v>
      </c>
      <c r="P198" s="1210">
        <v>2</v>
      </c>
      <c r="Q198" s="1210">
        <v>2</v>
      </c>
      <c r="R198" s="1208" t="s">
        <v>442</v>
      </c>
    </row>
    <row r="199" spans="1:18" hidden="1">
      <c r="A199" s="1211" t="s">
        <v>499</v>
      </c>
      <c r="B199" s="1211" t="s">
        <v>477</v>
      </c>
      <c r="C199" s="1211" t="s">
        <v>900</v>
      </c>
      <c r="D199" s="1211" t="s">
        <v>500</v>
      </c>
      <c r="E199" s="1211" t="s">
        <v>501</v>
      </c>
      <c r="F199" s="1211" t="s">
        <v>505</v>
      </c>
      <c r="G199" s="1211" t="s">
        <v>453</v>
      </c>
      <c r="H199" s="1211" t="s">
        <v>581</v>
      </c>
      <c r="I199" s="1212" t="s">
        <v>899</v>
      </c>
      <c r="J199" s="1211" t="s">
        <v>445</v>
      </c>
      <c r="K199" s="1211" t="s">
        <v>582</v>
      </c>
      <c r="L199" s="1211" t="s">
        <v>453</v>
      </c>
      <c r="M199" s="1211" t="s">
        <v>124</v>
      </c>
      <c r="N199" s="1211" t="s">
        <v>899</v>
      </c>
      <c r="O199" s="1213" t="s">
        <v>583</v>
      </c>
      <c r="P199" s="1213">
        <v>70</v>
      </c>
      <c r="Q199" s="1213">
        <v>4</v>
      </c>
      <c r="R199" s="1211" t="s">
        <v>442</v>
      </c>
    </row>
    <row r="200" spans="1:18" hidden="1">
      <c r="A200" s="1208" t="s">
        <v>499</v>
      </c>
      <c r="B200" s="1208" t="s">
        <v>477</v>
      </c>
      <c r="C200" s="1208" t="s">
        <v>901</v>
      </c>
      <c r="D200" s="1208" t="s">
        <v>500</v>
      </c>
      <c r="E200" s="1208" t="s">
        <v>501</v>
      </c>
      <c r="F200" s="1208" t="s">
        <v>505</v>
      </c>
      <c r="G200" s="1208" t="s">
        <v>453</v>
      </c>
      <c r="H200" s="1208" t="s">
        <v>581</v>
      </c>
      <c r="I200" s="1209" t="s">
        <v>899</v>
      </c>
      <c r="J200" s="1208" t="s">
        <v>440</v>
      </c>
      <c r="K200" s="1208" t="s">
        <v>582</v>
      </c>
      <c r="L200" s="1208" t="s">
        <v>124</v>
      </c>
      <c r="M200" s="1208" t="s">
        <v>453</v>
      </c>
      <c r="N200" s="1208" t="s">
        <v>899</v>
      </c>
      <c r="O200" s="1210" t="s">
        <v>546</v>
      </c>
      <c r="P200" s="1210">
        <v>93</v>
      </c>
      <c r="Q200" s="1210">
        <v>4</v>
      </c>
      <c r="R200" s="1208" t="s">
        <v>442</v>
      </c>
    </row>
    <row r="201" spans="1:18" hidden="1">
      <c r="A201" s="1211" t="s">
        <v>499</v>
      </c>
      <c r="B201" s="1211" t="s">
        <v>477</v>
      </c>
      <c r="C201" s="1211" t="s">
        <v>902</v>
      </c>
      <c r="D201" s="1211" t="s">
        <v>500</v>
      </c>
      <c r="E201" s="1211" t="s">
        <v>501</v>
      </c>
      <c r="F201" s="1211" t="s">
        <v>517</v>
      </c>
      <c r="G201" s="1211" t="s">
        <v>518</v>
      </c>
      <c r="H201" s="1211" t="s">
        <v>481</v>
      </c>
      <c r="I201" s="1212" t="s">
        <v>899</v>
      </c>
      <c r="J201" s="1211" t="s">
        <v>445</v>
      </c>
      <c r="K201" s="1211" t="s">
        <v>903</v>
      </c>
      <c r="L201" s="1211" t="s">
        <v>462</v>
      </c>
      <c r="M201" s="1211" t="s">
        <v>124</v>
      </c>
      <c r="N201" s="1211" t="s">
        <v>899</v>
      </c>
      <c r="O201" s="1213" t="s">
        <v>521</v>
      </c>
      <c r="P201" s="1213">
        <v>115</v>
      </c>
      <c r="Q201" s="1213">
        <v>7</v>
      </c>
      <c r="R201" s="1211" t="s">
        <v>442</v>
      </c>
    </row>
    <row r="202" spans="1:18" hidden="1">
      <c r="A202" s="1208" t="s">
        <v>499</v>
      </c>
      <c r="B202" s="1208" t="s">
        <v>477</v>
      </c>
      <c r="C202" s="1208" t="s">
        <v>904</v>
      </c>
      <c r="D202" s="1208" t="s">
        <v>500</v>
      </c>
      <c r="E202" s="1208" t="s">
        <v>501</v>
      </c>
      <c r="F202" s="1208" t="s">
        <v>511</v>
      </c>
      <c r="G202" s="1208" t="s">
        <v>453</v>
      </c>
      <c r="H202" s="1208" t="s">
        <v>503</v>
      </c>
      <c r="I202" s="1209" t="s">
        <v>899</v>
      </c>
      <c r="J202" s="1208" t="s">
        <v>445</v>
      </c>
      <c r="K202" s="1208" t="s">
        <v>531</v>
      </c>
      <c r="L202" s="1208" t="s">
        <v>453</v>
      </c>
      <c r="M202" s="1208" t="s">
        <v>124</v>
      </c>
      <c r="N202" s="1208" t="s">
        <v>899</v>
      </c>
      <c r="O202" s="1210" t="s">
        <v>516</v>
      </c>
      <c r="P202" s="1210">
        <v>133</v>
      </c>
      <c r="Q202" s="1210">
        <v>6</v>
      </c>
      <c r="R202" s="1208" t="s">
        <v>442</v>
      </c>
    </row>
    <row r="203" spans="1:18" hidden="1">
      <c r="A203" s="1211" t="s">
        <v>499</v>
      </c>
      <c r="B203" s="1211" t="s">
        <v>477</v>
      </c>
      <c r="C203" s="1211" t="s">
        <v>905</v>
      </c>
      <c r="D203" s="1211" t="s">
        <v>500</v>
      </c>
      <c r="E203" s="1211" t="s">
        <v>501</v>
      </c>
      <c r="F203" s="1211" t="s">
        <v>511</v>
      </c>
      <c r="G203" s="1211" t="s">
        <v>453</v>
      </c>
      <c r="H203" s="1211" t="s">
        <v>503</v>
      </c>
      <c r="I203" s="1212" t="s">
        <v>899</v>
      </c>
      <c r="J203" s="1211" t="s">
        <v>440</v>
      </c>
      <c r="K203" s="1211" t="s">
        <v>531</v>
      </c>
      <c r="L203" s="1211" t="s">
        <v>124</v>
      </c>
      <c r="M203" s="1211" t="s">
        <v>453</v>
      </c>
      <c r="N203" s="1211" t="s">
        <v>899</v>
      </c>
      <c r="O203" s="1213" t="s">
        <v>547</v>
      </c>
      <c r="P203" s="1213">
        <v>181</v>
      </c>
      <c r="Q203" s="1213">
        <v>6</v>
      </c>
      <c r="R203" s="1211" t="s">
        <v>442</v>
      </c>
    </row>
    <row r="204" spans="1:18" hidden="1">
      <c r="A204" s="1208" t="s">
        <v>499</v>
      </c>
      <c r="B204" s="1208" t="s">
        <v>477</v>
      </c>
      <c r="C204" s="1208" t="s">
        <v>906</v>
      </c>
      <c r="D204" s="1208" t="s">
        <v>500</v>
      </c>
      <c r="E204" s="1208" t="s">
        <v>501</v>
      </c>
      <c r="F204" s="1208" t="s">
        <v>517</v>
      </c>
      <c r="G204" s="1208" t="s">
        <v>518</v>
      </c>
      <c r="H204" s="1208" t="s">
        <v>481</v>
      </c>
      <c r="I204" s="1209" t="s">
        <v>899</v>
      </c>
      <c r="J204" s="1208" t="s">
        <v>440</v>
      </c>
      <c r="K204" s="1208" t="s">
        <v>903</v>
      </c>
      <c r="L204" s="1208" t="s">
        <v>124</v>
      </c>
      <c r="M204" s="1208" t="s">
        <v>462</v>
      </c>
      <c r="N204" s="1208" t="s">
        <v>899</v>
      </c>
      <c r="O204" s="1210" t="s">
        <v>573</v>
      </c>
      <c r="P204" s="1210">
        <v>170</v>
      </c>
      <c r="Q204" s="1210">
        <v>7</v>
      </c>
      <c r="R204" s="1208" t="s">
        <v>442</v>
      </c>
    </row>
    <row r="205" spans="1:18" hidden="1">
      <c r="A205" s="1211" t="s">
        <v>499</v>
      </c>
      <c r="B205" s="1211" t="s">
        <v>477</v>
      </c>
      <c r="C205" s="1211" t="s">
        <v>907</v>
      </c>
      <c r="D205" s="1211" t="s">
        <v>500</v>
      </c>
      <c r="E205" s="1211" t="s">
        <v>501</v>
      </c>
      <c r="F205" s="1211" t="s">
        <v>522</v>
      </c>
      <c r="G205" s="1211" t="s">
        <v>466</v>
      </c>
      <c r="H205" s="1211" t="s">
        <v>508</v>
      </c>
      <c r="I205" s="1212" t="s">
        <v>899</v>
      </c>
      <c r="J205" s="1211" t="s">
        <v>445</v>
      </c>
      <c r="K205" s="1211" t="s">
        <v>533</v>
      </c>
      <c r="L205" s="1211" t="s">
        <v>466</v>
      </c>
      <c r="M205" s="1211" t="s">
        <v>124</v>
      </c>
      <c r="N205" s="1211" t="s">
        <v>899</v>
      </c>
      <c r="O205" s="1213" t="s">
        <v>510</v>
      </c>
      <c r="P205" s="1213">
        <v>38</v>
      </c>
      <c r="Q205" s="1213">
        <v>4</v>
      </c>
      <c r="R205" s="1211" t="s">
        <v>442</v>
      </c>
    </row>
    <row r="206" spans="1:18" hidden="1">
      <c r="A206" s="1208" t="s">
        <v>499</v>
      </c>
      <c r="B206" s="1208" t="s">
        <v>477</v>
      </c>
      <c r="C206" s="1208" t="s">
        <v>908</v>
      </c>
      <c r="D206" s="1208" t="s">
        <v>500</v>
      </c>
      <c r="E206" s="1208" t="s">
        <v>501</v>
      </c>
      <c r="F206" s="1208" t="s">
        <v>522</v>
      </c>
      <c r="G206" s="1208" t="s">
        <v>466</v>
      </c>
      <c r="H206" s="1208" t="s">
        <v>508</v>
      </c>
      <c r="I206" s="1209" t="s">
        <v>899</v>
      </c>
      <c r="J206" s="1208" t="s">
        <v>440</v>
      </c>
      <c r="K206" s="1208" t="s">
        <v>533</v>
      </c>
      <c r="L206" s="1208" t="s">
        <v>124</v>
      </c>
      <c r="M206" s="1208" t="s">
        <v>466</v>
      </c>
      <c r="N206" s="1208" t="s">
        <v>899</v>
      </c>
      <c r="O206" s="1210" t="s">
        <v>512</v>
      </c>
      <c r="P206" s="1210">
        <v>39</v>
      </c>
      <c r="Q206" s="1210">
        <v>4</v>
      </c>
      <c r="R206" s="1208" t="s">
        <v>442</v>
      </c>
    </row>
    <row r="207" spans="1:18" hidden="1">
      <c r="A207" s="1211" t="s">
        <v>499</v>
      </c>
      <c r="B207" s="1211" t="s">
        <v>477</v>
      </c>
      <c r="C207" s="1211" t="s">
        <v>909</v>
      </c>
      <c r="D207" s="1211" t="s">
        <v>500</v>
      </c>
      <c r="E207" s="1211" t="s">
        <v>501</v>
      </c>
      <c r="F207" s="1211" t="s">
        <v>480</v>
      </c>
      <c r="G207" s="1211" t="s">
        <v>447</v>
      </c>
      <c r="H207" s="1211" t="s">
        <v>481</v>
      </c>
      <c r="I207" s="1212" t="s">
        <v>622</v>
      </c>
      <c r="J207" s="1211" t="s">
        <v>445</v>
      </c>
      <c r="K207" s="1211" t="s">
        <v>482</v>
      </c>
      <c r="L207" s="1211" t="s">
        <v>513</v>
      </c>
      <c r="M207" s="1211" t="s">
        <v>124</v>
      </c>
      <c r="N207" s="1211" t="s">
        <v>622</v>
      </c>
      <c r="O207" s="1213" t="s">
        <v>525</v>
      </c>
      <c r="P207" s="1213">
        <v>121</v>
      </c>
      <c r="Q207" s="1213">
        <v>6</v>
      </c>
      <c r="R207" s="1211" t="s">
        <v>442</v>
      </c>
    </row>
    <row r="208" spans="1:18" hidden="1">
      <c r="A208" s="1208" t="s">
        <v>499</v>
      </c>
      <c r="B208" s="1208" t="s">
        <v>477</v>
      </c>
      <c r="C208" s="1208" t="s">
        <v>910</v>
      </c>
      <c r="D208" s="1208" t="s">
        <v>500</v>
      </c>
      <c r="E208" s="1208" t="s">
        <v>501</v>
      </c>
      <c r="F208" s="1208" t="s">
        <v>480</v>
      </c>
      <c r="G208" s="1208" t="s">
        <v>447</v>
      </c>
      <c r="H208" s="1208" t="s">
        <v>481</v>
      </c>
      <c r="I208" s="1209" t="s">
        <v>622</v>
      </c>
      <c r="J208" s="1208" t="s">
        <v>440</v>
      </c>
      <c r="K208" s="1208" t="s">
        <v>482</v>
      </c>
      <c r="L208" s="1208" t="s">
        <v>124</v>
      </c>
      <c r="M208" s="1208" t="s">
        <v>513</v>
      </c>
      <c r="N208" s="1208" t="s">
        <v>622</v>
      </c>
      <c r="O208" s="1210" t="s">
        <v>528</v>
      </c>
      <c r="P208" s="1210">
        <v>117</v>
      </c>
      <c r="Q208" s="1210">
        <v>6</v>
      </c>
      <c r="R208" s="1208" t="s">
        <v>442</v>
      </c>
    </row>
    <row r="209" spans="1:18" hidden="1">
      <c r="A209" s="1211" t="s">
        <v>499</v>
      </c>
      <c r="B209" s="1211" t="s">
        <v>477</v>
      </c>
      <c r="C209" s="1211" t="s">
        <v>911</v>
      </c>
      <c r="D209" s="1211" t="s">
        <v>500</v>
      </c>
      <c r="E209" s="1211" t="s">
        <v>501</v>
      </c>
      <c r="F209" s="1211" t="s">
        <v>511</v>
      </c>
      <c r="G209" s="1211" t="s">
        <v>453</v>
      </c>
      <c r="H209" s="1211" t="s">
        <v>503</v>
      </c>
      <c r="I209" s="1212" t="s">
        <v>622</v>
      </c>
      <c r="J209" s="1211" t="s">
        <v>445</v>
      </c>
      <c r="K209" s="1211" t="s">
        <v>912</v>
      </c>
      <c r="L209" s="1211" t="s">
        <v>453</v>
      </c>
      <c r="M209" s="1211" t="s">
        <v>124</v>
      </c>
      <c r="N209" s="1211" t="s">
        <v>622</v>
      </c>
      <c r="O209" s="1213" t="s">
        <v>586</v>
      </c>
      <c r="P209" s="1213">
        <v>112</v>
      </c>
      <c r="Q209" s="1213">
        <v>6</v>
      </c>
      <c r="R209" s="1211" t="s">
        <v>442</v>
      </c>
    </row>
    <row r="210" spans="1:18" hidden="1">
      <c r="A210" s="1208" t="s">
        <v>499</v>
      </c>
      <c r="B210" s="1208" t="s">
        <v>477</v>
      </c>
      <c r="C210" s="1208" t="s">
        <v>913</v>
      </c>
      <c r="D210" s="1208" t="s">
        <v>500</v>
      </c>
      <c r="E210" s="1208" t="s">
        <v>501</v>
      </c>
      <c r="F210" s="1208" t="s">
        <v>505</v>
      </c>
      <c r="G210" s="1208" t="s">
        <v>453</v>
      </c>
      <c r="H210" s="1208" t="s">
        <v>581</v>
      </c>
      <c r="I210" s="1209" t="s">
        <v>622</v>
      </c>
      <c r="J210" s="1208" t="s">
        <v>445</v>
      </c>
      <c r="K210" s="1208" t="s">
        <v>582</v>
      </c>
      <c r="L210" s="1208" t="s">
        <v>453</v>
      </c>
      <c r="M210" s="1208" t="s">
        <v>124</v>
      </c>
      <c r="N210" s="1208" t="s">
        <v>622</v>
      </c>
      <c r="O210" s="1210" t="s">
        <v>583</v>
      </c>
      <c r="P210" s="1210">
        <v>27</v>
      </c>
      <c r="Q210" s="1210">
        <v>4</v>
      </c>
      <c r="R210" s="1208" t="s">
        <v>442</v>
      </c>
    </row>
    <row r="211" spans="1:18" hidden="1">
      <c r="A211" s="1211" t="s">
        <v>499</v>
      </c>
      <c r="B211" s="1211" t="s">
        <v>477</v>
      </c>
      <c r="C211" s="1211" t="s">
        <v>914</v>
      </c>
      <c r="D211" s="1211" t="s">
        <v>500</v>
      </c>
      <c r="E211" s="1211" t="s">
        <v>501</v>
      </c>
      <c r="F211" s="1211" t="s">
        <v>505</v>
      </c>
      <c r="G211" s="1211" t="s">
        <v>453</v>
      </c>
      <c r="H211" s="1211" t="s">
        <v>581</v>
      </c>
      <c r="I211" s="1212" t="s">
        <v>622</v>
      </c>
      <c r="J211" s="1211" t="s">
        <v>440</v>
      </c>
      <c r="K211" s="1211" t="s">
        <v>582</v>
      </c>
      <c r="L211" s="1211" t="s">
        <v>124</v>
      </c>
      <c r="M211" s="1211" t="s">
        <v>453</v>
      </c>
      <c r="N211" s="1211" t="s">
        <v>622</v>
      </c>
      <c r="O211" s="1213" t="s">
        <v>546</v>
      </c>
      <c r="P211" s="1213">
        <v>93</v>
      </c>
      <c r="Q211" s="1213">
        <v>4</v>
      </c>
      <c r="R211" s="1211" t="s">
        <v>442</v>
      </c>
    </row>
    <row r="212" spans="1:18" hidden="1">
      <c r="A212" s="1208" t="s">
        <v>499</v>
      </c>
      <c r="B212" s="1208" t="s">
        <v>477</v>
      </c>
      <c r="C212" s="1208" t="s">
        <v>915</v>
      </c>
      <c r="D212" s="1208" t="s">
        <v>500</v>
      </c>
      <c r="E212" s="1208" t="s">
        <v>501</v>
      </c>
      <c r="F212" s="1208" t="s">
        <v>511</v>
      </c>
      <c r="G212" s="1208" t="s">
        <v>453</v>
      </c>
      <c r="H212" s="1208" t="s">
        <v>503</v>
      </c>
      <c r="I212" s="1209" t="s">
        <v>622</v>
      </c>
      <c r="J212" s="1208" t="s">
        <v>440</v>
      </c>
      <c r="K212" s="1208" t="s">
        <v>912</v>
      </c>
      <c r="L212" s="1208" t="s">
        <v>124</v>
      </c>
      <c r="M212" s="1208" t="s">
        <v>453</v>
      </c>
      <c r="N212" s="1208" t="s">
        <v>622</v>
      </c>
      <c r="O212" s="1210" t="s">
        <v>483</v>
      </c>
      <c r="P212" s="1210">
        <v>174</v>
      </c>
      <c r="Q212" s="1210">
        <v>6</v>
      </c>
      <c r="R212" s="1208" t="s">
        <v>442</v>
      </c>
    </row>
    <row r="213" spans="1:18" hidden="1">
      <c r="A213" s="1211" t="s">
        <v>499</v>
      </c>
      <c r="B213" s="1211" t="s">
        <v>477</v>
      </c>
      <c r="C213" s="1211" t="s">
        <v>916</v>
      </c>
      <c r="D213" s="1211" t="s">
        <v>500</v>
      </c>
      <c r="E213" s="1211" t="s">
        <v>501</v>
      </c>
      <c r="F213" s="1211" t="s">
        <v>520</v>
      </c>
      <c r="G213" s="1211" t="s">
        <v>441</v>
      </c>
      <c r="H213" s="1211" t="s">
        <v>508</v>
      </c>
      <c r="I213" s="1212" t="s">
        <v>622</v>
      </c>
      <c r="J213" s="1211" t="s">
        <v>445</v>
      </c>
      <c r="K213" s="1211" t="s">
        <v>539</v>
      </c>
      <c r="L213" s="1211" t="s">
        <v>441</v>
      </c>
      <c r="M213" s="1211" t="s">
        <v>124</v>
      </c>
      <c r="N213" s="1211" t="s">
        <v>622</v>
      </c>
      <c r="O213" s="1213" t="s">
        <v>521</v>
      </c>
      <c r="P213" s="1213">
        <v>54</v>
      </c>
      <c r="Q213" s="1213">
        <v>4</v>
      </c>
      <c r="R213" s="1211" t="s">
        <v>442</v>
      </c>
    </row>
    <row r="214" spans="1:18" hidden="1">
      <c r="A214" s="1208" t="s">
        <v>499</v>
      </c>
      <c r="B214" s="1208" t="s">
        <v>477</v>
      </c>
      <c r="C214" s="1208" t="s">
        <v>917</v>
      </c>
      <c r="D214" s="1208" t="s">
        <v>500</v>
      </c>
      <c r="E214" s="1208" t="s">
        <v>501</v>
      </c>
      <c r="F214" s="1208" t="s">
        <v>517</v>
      </c>
      <c r="G214" s="1208" t="s">
        <v>518</v>
      </c>
      <c r="H214" s="1208" t="s">
        <v>481</v>
      </c>
      <c r="I214" s="1209" t="s">
        <v>622</v>
      </c>
      <c r="J214" s="1208" t="s">
        <v>445</v>
      </c>
      <c r="K214" s="1208" t="s">
        <v>903</v>
      </c>
      <c r="L214" s="1208" t="s">
        <v>462</v>
      </c>
      <c r="M214" s="1208" t="s">
        <v>124</v>
      </c>
      <c r="N214" s="1208" t="s">
        <v>622</v>
      </c>
      <c r="O214" s="1210" t="s">
        <v>521</v>
      </c>
      <c r="P214" s="1210">
        <v>113</v>
      </c>
      <c r="Q214" s="1210">
        <v>7</v>
      </c>
      <c r="R214" s="1208" t="s">
        <v>442</v>
      </c>
    </row>
    <row r="215" spans="1:18" hidden="1">
      <c r="A215" s="1211" t="s">
        <v>499</v>
      </c>
      <c r="B215" s="1211" t="s">
        <v>477</v>
      </c>
      <c r="C215" s="1211" t="s">
        <v>918</v>
      </c>
      <c r="D215" s="1211" t="s">
        <v>500</v>
      </c>
      <c r="E215" s="1211" t="s">
        <v>501</v>
      </c>
      <c r="F215" s="1211" t="s">
        <v>520</v>
      </c>
      <c r="G215" s="1211" t="s">
        <v>441</v>
      </c>
      <c r="H215" s="1211" t="s">
        <v>508</v>
      </c>
      <c r="I215" s="1212" t="s">
        <v>622</v>
      </c>
      <c r="J215" s="1211" t="s">
        <v>440</v>
      </c>
      <c r="K215" s="1211" t="s">
        <v>539</v>
      </c>
      <c r="L215" s="1211" t="s">
        <v>124</v>
      </c>
      <c r="M215" s="1211" t="s">
        <v>441</v>
      </c>
      <c r="N215" s="1211" t="s">
        <v>622</v>
      </c>
      <c r="O215" s="1213" t="s">
        <v>495</v>
      </c>
      <c r="P215" s="1213">
        <v>64</v>
      </c>
      <c r="Q215" s="1213">
        <v>4</v>
      </c>
      <c r="R215" s="1211" t="s">
        <v>442</v>
      </c>
    </row>
    <row r="216" spans="1:18" hidden="1">
      <c r="A216" s="1208" t="s">
        <v>499</v>
      </c>
      <c r="B216" s="1208" t="s">
        <v>477</v>
      </c>
      <c r="C216" s="1208" t="s">
        <v>919</v>
      </c>
      <c r="D216" s="1208" t="s">
        <v>500</v>
      </c>
      <c r="E216" s="1208" t="s">
        <v>501</v>
      </c>
      <c r="F216" s="1208" t="s">
        <v>517</v>
      </c>
      <c r="G216" s="1208" t="s">
        <v>518</v>
      </c>
      <c r="H216" s="1208" t="s">
        <v>481</v>
      </c>
      <c r="I216" s="1209" t="s">
        <v>622</v>
      </c>
      <c r="J216" s="1208" t="s">
        <v>440</v>
      </c>
      <c r="K216" s="1208" t="s">
        <v>903</v>
      </c>
      <c r="L216" s="1208" t="s">
        <v>124</v>
      </c>
      <c r="M216" s="1208" t="s">
        <v>462</v>
      </c>
      <c r="N216" s="1208" t="s">
        <v>622</v>
      </c>
      <c r="O216" s="1210" t="s">
        <v>573</v>
      </c>
      <c r="P216" s="1210">
        <v>167</v>
      </c>
      <c r="Q216" s="1210">
        <v>7</v>
      </c>
      <c r="R216" s="1208" t="s">
        <v>442</v>
      </c>
    </row>
    <row r="217" spans="1:18" hidden="1">
      <c r="A217" s="1211" t="s">
        <v>499</v>
      </c>
      <c r="B217" s="1211" t="s">
        <v>477</v>
      </c>
      <c r="C217" s="1211" t="s">
        <v>920</v>
      </c>
      <c r="D217" s="1211" t="s">
        <v>500</v>
      </c>
      <c r="E217" s="1211" t="s">
        <v>501</v>
      </c>
      <c r="F217" s="1211" t="s">
        <v>522</v>
      </c>
      <c r="G217" s="1211" t="s">
        <v>466</v>
      </c>
      <c r="H217" s="1211" t="s">
        <v>508</v>
      </c>
      <c r="I217" s="1212" t="s">
        <v>622</v>
      </c>
      <c r="J217" s="1211" t="s">
        <v>445</v>
      </c>
      <c r="K217" s="1211" t="s">
        <v>523</v>
      </c>
      <c r="L217" s="1211" t="s">
        <v>466</v>
      </c>
      <c r="M217" s="1211" t="s">
        <v>124</v>
      </c>
      <c r="N217" s="1211" t="s">
        <v>622</v>
      </c>
      <c r="O217" s="1213" t="s">
        <v>519</v>
      </c>
      <c r="P217" s="1213">
        <v>27</v>
      </c>
      <c r="Q217" s="1213">
        <v>4</v>
      </c>
      <c r="R217" s="1211" t="s">
        <v>442</v>
      </c>
    </row>
    <row r="218" spans="1:18" hidden="1">
      <c r="A218" s="1208" t="s">
        <v>499</v>
      </c>
      <c r="B218" s="1208" t="s">
        <v>477</v>
      </c>
      <c r="C218" s="1208" t="s">
        <v>921</v>
      </c>
      <c r="D218" s="1208" t="s">
        <v>500</v>
      </c>
      <c r="E218" s="1208" t="s">
        <v>501</v>
      </c>
      <c r="F218" s="1208" t="s">
        <v>522</v>
      </c>
      <c r="G218" s="1208" t="s">
        <v>466</v>
      </c>
      <c r="H218" s="1208" t="s">
        <v>508</v>
      </c>
      <c r="I218" s="1209" t="s">
        <v>622</v>
      </c>
      <c r="J218" s="1208" t="s">
        <v>440</v>
      </c>
      <c r="K218" s="1208" t="s">
        <v>523</v>
      </c>
      <c r="L218" s="1208" t="s">
        <v>124</v>
      </c>
      <c r="M218" s="1208" t="s">
        <v>466</v>
      </c>
      <c r="N218" s="1208" t="s">
        <v>622</v>
      </c>
      <c r="O218" s="1210" t="s">
        <v>512</v>
      </c>
      <c r="P218" s="1210">
        <v>31</v>
      </c>
      <c r="Q218" s="1210">
        <v>4</v>
      </c>
      <c r="R218" s="1208" t="s">
        <v>442</v>
      </c>
    </row>
    <row r="219" spans="1:18" hidden="1">
      <c r="A219" s="1211" t="s">
        <v>499</v>
      </c>
      <c r="B219" s="1211" t="s">
        <v>477</v>
      </c>
      <c r="C219" s="1211" t="s">
        <v>922</v>
      </c>
      <c r="D219" s="1211" t="s">
        <v>500</v>
      </c>
      <c r="E219" s="1211" t="s">
        <v>501</v>
      </c>
      <c r="F219" s="1211" t="s">
        <v>923</v>
      </c>
      <c r="G219" s="1211" t="s">
        <v>706</v>
      </c>
      <c r="H219" s="1211" t="s">
        <v>530</v>
      </c>
      <c r="I219" s="1212" t="s">
        <v>622</v>
      </c>
      <c r="J219" s="1211" t="s">
        <v>445</v>
      </c>
      <c r="K219" s="1211" t="s">
        <v>924</v>
      </c>
      <c r="L219" s="1211" t="s">
        <v>706</v>
      </c>
      <c r="M219" s="1211" t="s">
        <v>124</v>
      </c>
      <c r="N219" s="1211" t="s">
        <v>622</v>
      </c>
      <c r="O219" s="1213" t="s">
        <v>489</v>
      </c>
      <c r="P219" s="1213">
        <v>4</v>
      </c>
      <c r="Q219" s="1213">
        <v>1</v>
      </c>
      <c r="R219" s="1211" t="s">
        <v>442</v>
      </c>
    </row>
    <row r="220" spans="1:18" hidden="1">
      <c r="A220" s="1208" t="s">
        <v>499</v>
      </c>
      <c r="B220" s="1208" t="s">
        <v>477</v>
      </c>
      <c r="C220" s="1208" t="s">
        <v>925</v>
      </c>
      <c r="D220" s="1208" t="s">
        <v>500</v>
      </c>
      <c r="E220" s="1208" t="s">
        <v>501</v>
      </c>
      <c r="F220" s="1208" t="s">
        <v>522</v>
      </c>
      <c r="G220" s="1208" t="s">
        <v>466</v>
      </c>
      <c r="H220" s="1208" t="s">
        <v>503</v>
      </c>
      <c r="I220" s="1209" t="s">
        <v>926</v>
      </c>
      <c r="J220" s="1208" t="s">
        <v>445</v>
      </c>
      <c r="K220" s="1208" t="s">
        <v>534</v>
      </c>
      <c r="L220" s="1208" t="s">
        <v>466</v>
      </c>
      <c r="M220" s="1208" t="s">
        <v>124</v>
      </c>
      <c r="N220" s="1208" t="s">
        <v>926</v>
      </c>
      <c r="O220" s="1210" t="s">
        <v>577</v>
      </c>
      <c r="P220" s="1210">
        <v>136</v>
      </c>
      <c r="Q220" s="1210">
        <v>7</v>
      </c>
      <c r="R220" s="1208" t="s">
        <v>442</v>
      </c>
    </row>
    <row r="221" spans="1:18" hidden="1">
      <c r="A221" s="1211" t="s">
        <v>499</v>
      </c>
      <c r="B221" s="1211" t="s">
        <v>477</v>
      </c>
      <c r="C221" s="1211" t="s">
        <v>927</v>
      </c>
      <c r="D221" s="1211" t="s">
        <v>500</v>
      </c>
      <c r="E221" s="1211" t="s">
        <v>501</v>
      </c>
      <c r="F221" s="1211" t="s">
        <v>522</v>
      </c>
      <c r="G221" s="1211" t="s">
        <v>466</v>
      </c>
      <c r="H221" s="1211" t="s">
        <v>503</v>
      </c>
      <c r="I221" s="1212" t="s">
        <v>926</v>
      </c>
      <c r="J221" s="1211" t="s">
        <v>440</v>
      </c>
      <c r="K221" s="1211" t="s">
        <v>534</v>
      </c>
      <c r="L221" s="1211" t="s">
        <v>124</v>
      </c>
      <c r="M221" s="1211" t="s">
        <v>466</v>
      </c>
      <c r="N221" s="1211" t="s">
        <v>926</v>
      </c>
      <c r="O221" s="1213" t="s">
        <v>527</v>
      </c>
      <c r="P221" s="1213">
        <v>109</v>
      </c>
      <c r="Q221" s="1213">
        <v>7</v>
      </c>
      <c r="R221" s="1211" t="s">
        <v>442</v>
      </c>
    </row>
    <row r="222" spans="1:18" hidden="1">
      <c r="A222" s="1208" t="s">
        <v>499</v>
      </c>
      <c r="B222" s="1208" t="s">
        <v>477</v>
      </c>
      <c r="C222" s="1208" t="s">
        <v>928</v>
      </c>
      <c r="D222" s="1208" t="s">
        <v>500</v>
      </c>
      <c r="E222" s="1208" t="s">
        <v>501</v>
      </c>
      <c r="F222" s="1208" t="s">
        <v>505</v>
      </c>
      <c r="G222" s="1208" t="s">
        <v>453</v>
      </c>
      <c r="H222" s="1208" t="s">
        <v>581</v>
      </c>
      <c r="I222" s="1209" t="s">
        <v>926</v>
      </c>
      <c r="J222" s="1208" t="s">
        <v>445</v>
      </c>
      <c r="K222" s="1208" t="s">
        <v>694</v>
      </c>
      <c r="L222" s="1208" t="s">
        <v>453</v>
      </c>
      <c r="M222" s="1208" t="s">
        <v>124</v>
      </c>
      <c r="N222" s="1208" t="s">
        <v>926</v>
      </c>
      <c r="O222" s="1210" t="s">
        <v>586</v>
      </c>
      <c r="P222" s="1210">
        <v>70</v>
      </c>
      <c r="Q222" s="1210">
        <v>4</v>
      </c>
      <c r="R222" s="1208" t="s">
        <v>442</v>
      </c>
    </row>
    <row r="223" spans="1:18" hidden="1">
      <c r="A223" s="1211" t="s">
        <v>499</v>
      </c>
      <c r="B223" s="1211" t="s">
        <v>477</v>
      </c>
      <c r="C223" s="1211" t="s">
        <v>929</v>
      </c>
      <c r="D223" s="1211" t="s">
        <v>500</v>
      </c>
      <c r="E223" s="1211" t="s">
        <v>501</v>
      </c>
      <c r="F223" s="1211" t="s">
        <v>505</v>
      </c>
      <c r="G223" s="1211" t="s">
        <v>453</v>
      </c>
      <c r="H223" s="1211" t="s">
        <v>581</v>
      </c>
      <c r="I223" s="1212" t="s">
        <v>926</v>
      </c>
      <c r="J223" s="1211" t="s">
        <v>440</v>
      </c>
      <c r="K223" s="1211" t="s">
        <v>694</v>
      </c>
      <c r="L223" s="1211" t="s">
        <v>124</v>
      </c>
      <c r="M223" s="1211" t="s">
        <v>453</v>
      </c>
      <c r="N223" s="1211" t="s">
        <v>926</v>
      </c>
      <c r="O223" s="1213" t="s">
        <v>546</v>
      </c>
      <c r="P223" s="1213">
        <v>85</v>
      </c>
      <c r="Q223" s="1213">
        <v>4</v>
      </c>
      <c r="R223" s="1211" t="s">
        <v>442</v>
      </c>
    </row>
    <row r="224" spans="1:18" hidden="1">
      <c r="A224" s="1208" t="s">
        <v>499</v>
      </c>
      <c r="B224" s="1208" t="s">
        <v>477</v>
      </c>
      <c r="C224" s="1208" t="s">
        <v>930</v>
      </c>
      <c r="D224" s="1208" t="s">
        <v>500</v>
      </c>
      <c r="E224" s="1208" t="s">
        <v>501</v>
      </c>
      <c r="F224" s="1208" t="s">
        <v>511</v>
      </c>
      <c r="G224" s="1208" t="s">
        <v>453</v>
      </c>
      <c r="H224" s="1208" t="s">
        <v>503</v>
      </c>
      <c r="I224" s="1209" t="s">
        <v>926</v>
      </c>
      <c r="J224" s="1208" t="s">
        <v>445</v>
      </c>
      <c r="K224" s="1208" t="s">
        <v>912</v>
      </c>
      <c r="L224" s="1208" t="s">
        <v>453</v>
      </c>
      <c r="M224" s="1208" t="s">
        <v>124</v>
      </c>
      <c r="N224" s="1208" t="s">
        <v>926</v>
      </c>
      <c r="O224" s="1210" t="s">
        <v>586</v>
      </c>
      <c r="P224" s="1210">
        <v>95</v>
      </c>
      <c r="Q224" s="1210">
        <v>6</v>
      </c>
      <c r="R224" s="1208" t="s">
        <v>442</v>
      </c>
    </row>
    <row r="225" spans="1:18" hidden="1">
      <c r="A225" s="1211" t="s">
        <v>499</v>
      </c>
      <c r="B225" s="1211" t="s">
        <v>477</v>
      </c>
      <c r="C225" s="1211" t="s">
        <v>931</v>
      </c>
      <c r="D225" s="1211" t="s">
        <v>500</v>
      </c>
      <c r="E225" s="1211" t="s">
        <v>501</v>
      </c>
      <c r="F225" s="1211" t="s">
        <v>511</v>
      </c>
      <c r="G225" s="1211" t="s">
        <v>453</v>
      </c>
      <c r="H225" s="1211" t="s">
        <v>503</v>
      </c>
      <c r="I225" s="1212" t="s">
        <v>926</v>
      </c>
      <c r="J225" s="1211" t="s">
        <v>440</v>
      </c>
      <c r="K225" s="1211" t="s">
        <v>912</v>
      </c>
      <c r="L225" s="1211" t="s">
        <v>124</v>
      </c>
      <c r="M225" s="1211" t="s">
        <v>453</v>
      </c>
      <c r="N225" s="1211" t="s">
        <v>926</v>
      </c>
      <c r="O225" s="1213" t="s">
        <v>483</v>
      </c>
      <c r="P225" s="1213">
        <v>175</v>
      </c>
      <c r="Q225" s="1213">
        <v>6</v>
      </c>
      <c r="R225" s="1211" t="s">
        <v>442</v>
      </c>
    </row>
    <row r="226" spans="1:18" hidden="1">
      <c r="A226" s="1208" t="s">
        <v>499</v>
      </c>
      <c r="B226" s="1208" t="s">
        <v>477</v>
      </c>
      <c r="C226" s="1208" t="s">
        <v>932</v>
      </c>
      <c r="D226" s="1208" t="s">
        <v>500</v>
      </c>
      <c r="E226" s="1208" t="s">
        <v>501</v>
      </c>
      <c r="F226" s="1208" t="s">
        <v>746</v>
      </c>
      <c r="G226" s="1208" t="s">
        <v>747</v>
      </c>
      <c r="H226" s="1208" t="s">
        <v>508</v>
      </c>
      <c r="I226" s="1209" t="s">
        <v>926</v>
      </c>
      <c r="J226" s="1208" t="s">
        <v>445</v>
      </c>
      <c r="K226" s="1208" t="s">
        <v>933</v>
      </c>
      <c r="L226" s="1208" t="s">
        <v>752</v>
      </c>
      <c r="M226" s="1208" t="s">
        <v>124</v>
      </c>
      <c r="N226" s="1208" t="s">
        <v>926</v>
      </c>
      <c r="O226" s="1210" t="s">
        <v>934</v>
      </c>
      <c r="P226" s="1210">
        <v>0</v>
      </c>
      <c r="Q226" s="1210">
        <v>4</v>
      </c>
      <c r="R226" s="1208" t="s">
        <v>442</v>
      </c>
    </row>
    <row r="227" spans="1:18" hidden="1">
      <c r="A227" s="1211" t="s">
        <v>499</v>
      </c>
      <c r="B227" s="1211" t="s">
        <v>477</v>
      </c>
      <c r="C227" s="1211" t="s">
        <v>935</v>
      </c>
      <c r="D227" s="1211" t="s">
        <v>500</v>
      </c>
      <c r="E227" s="1211" t="s">
        <v>501</v>
      </c>
      <c r="F227" s="1211" t="s">
        <v>746</v>
      </c>
      <c r="G227" s="1211" t="s">
        <v>747</v>
      </c>
      <c r="H227" s="1211" t="s">
        <v>508</v>
      </c>
      <c r="I227" s="1212" t="s">
        <v>627</v>
      </c>
      <c r="J227" s="1211" t="s">
        <v>440</v>
      </c>
      <c r="K227" s="1211" t="s">
        <v>933</v>
      </c>
      <c r="L227" s="1211" t="s">
        <v>124</v>
      </c>
      <c r="M227" s="1211" t="s">
        <v>458</v>
      </c>
      <c r="N227" s="1211" t="s">
        <v>627</v>
      </c>
      <c r="O227" s="1213" t="s">
        <v>595</v>
      </c>
      <c r="P227" s="1213">
        <v>0</v>
      </c>
      <c r="Q227" s="1213">
        <v>4</v>
      </c>
      <c r="R227" s="1211" t="s">
        <v>442</v>
      </c>
    </row>
    <row r="228" spans="1:18" hidden="1">
      <c r="A228" s="1208" t="s">
        <v>499</v>
      </c>
      <c r="B228" s="1208" t="s">
        <v>477</v>
      </c>
      <c r="C228" s="1208" t="s">
        <v>936</v>
      </c>
      <c r="D228" s="1208" t="s">
        <v>500</v>
      </c>
      <c r="E228" s="1208" t="s">
        <v>501</v>
      </c>
      <c r="F228" s="1208" t="s">
        <v>834</v>
      </c>
      <c r="G228" s="1208" t="s">
        <v>441</v>
      </c>
      <c r="H228" s="1208" t="s">
        <v>481</v>
      </c>
      <c r="I228" s="1209" t="s">
        <v>627</v>
      </c>
      <c r="J228" s="1208" t="s">
        <v>445</v>
      </c>
      <c r="K228" s="1208" t="s">
        <v>835</v>
      </c>
      <c r="L228" s="1208" t="s">
        <v>441</v>
      </c>
      <c r="M228" s="1208" t="s">
        <v>124</v>
      </c>
      <c r="N228" s="1208" t="s">
        <v>627</v>
      </c>
      <c r="O228" s="1210" t="s">
        <v>504</v>
      </c>
      <c r="P228" s="1210">
        <v>43</v>
      </c>
      <c r="Q228" s="1210">
        <v>7</v>
      </c>
      <c r="R228" s="1208" t="s">
        <v>442</v>
      </c>
    </row>
    <row r="229" spans="1:18" hidden="1">
      <c r="A229" s="1211" t="s">
        <v>499</v>
      </c>
      <c r="B229" s="1211" t="s">
        <v>477</v>
      </c>
      <c r="C229" s="1211" t="s">
        <v>937</v>
      </c>
      <c r="D229" s="1211" t="s">
        <v>500</v>
      </c>
      <c r="E229" s="1211" t="s">
        <v>501</v>
      </c>
      <c r="F229" s="1211" t="s">
        <v>834</v>
      </c>
      <c r="G229" s="1211" t="s">
        <v>441</v>
      </c>
      <c r="H229" s="1211" t="s">
        <v>481</v>
      </c>
      <c r="I229" s="1212" t="s">
        <v>627</v>
      </c>
      <c r="J229" s="1211" t="s">
        <v>440</v>
      </c>
      <c r="K229" s="1211" t="s">
        <v>835</v>
      </c>
      <c r="L229" s="1211" t="s">
        <v>124</v>
      </c>
      <c r="M229" s="1211" t="s">
        <v>441</v>
      </c>
      <c r="N229" s="1211" t="s">
        <v>627</v>
      </c>
      <c r="O229" s="1213" t="s">
        <v>837</v>
      </c>
      <c r="P229" s="1213">
        <v>163</v>
      </c>
      <c r="Q229" s="1213">
        <v>7</v>
      </c>
      <c r="R229" s="1211" t="s">
        <v>442</v>
      </c>
    </row>
    <row r="230" spans="1:18" hidden="1">
      <c r="A230" s="1208" t="s">
        <v>499</v>
      </c>
      <c r="B230" s="1208" t="s">
        <v>477</v>
      </c>
      <c r="C230" s="1208" t="s">
        <v>938</v>
      </c>
      <c r="D230" s="1208" t="s">
        <v>500</v>
      </c>
      <c r="E230" s="1208" t="s">
        <v>501</v>
      </c>
      <c r="F230" s="1208" t="s">
        <v>511</v>
      </c>
      <c r="G230" s="1208" t="s">
        <v>453</v>
      </c>
      <c r="H230" s="1208" t="s">
        <v>503</v>
      </c>
      <c r="I230" s="1209" t="s">
        <v>627</v>
      </c>
      <c r="J230" s="1208" t="s">
        <v>445</v>
      </c>
      <c r="K230" s="1208" t="s">
        <v>939</v>
      </c>
      <c r="L230" s="1208" t="s">
        <v>453</v>
      </c>
      <c r="M230" s="1208" t="s">
        <v>124</v>
      </c>
      <c r="N230" s="1208" t="s">
        <v>627</v>
      </c>
      <c r="O230" s="1210" t="s">
        <v>586</v>
      </c>
      <c r="P230" s="1210">
        <v>121</v>
      </c>
      <c r="Q230" s="1210">
        <v>6</v>
      </c>
      <c r="R230" s="1208" t="s">
        <v>442</v>
      </c>
    </row>
    <row r="231" spans="1:18" hidden="1">
      <c r="A231" s="1211" t="s">
        <v>499</v>
      </c>
      <c r="B231" s="1211" t="s">
        <v>477</v>
      </c>
      <c r="C231" s="1211" t="s">
        <v>940</v>
      </c>
      <c r="D231" s="1211" t="s">
        <v>500</v>
      </c>
      <c r="E231" s="1211" t="s">
        <v>501</v>
      </c>
      <c r="F231" s="1211" t="s">
        <v>511</v>
      </c>
      <c r="G231" s="1211" t="s">
        <v>453</v>
      </c>
      <c r="H231" s="1211" t="s">
        <v>503</v>
      </c>
      <c r="I231" s="1212" t="s">
        <v>627</v>
      </c>
      <c r="J231" s="1211" t="s">
        <v>440</v>
      </c>
      <c r="K231" s="1211" t="s">
        <v>939</v>
      </c>
      <c r="L231" s="1211" t="s">
        <v>124</v>
      </c>
      <c r="M231" s="1211" t="s">
        <v>453</v>
      </c>
      <c r="N231" s="1211" t="s">
        <v>627</v>
      </c>
      <c r="O231" s="1213" t="s">
        <v>537</v>
      </c>
      <c r="P231" s="1213">
        <v>142</v>
      </c>
      <c r="Q231" s="1213">
        <v>6</v>
      </c>
      <c r="R231" s="1211" t="s">
        <v>442</v>
      </c>
    </row>
    <row r="232" spans="1:18" hidden="1">
      <c r="A232" s="1208" t="s">
        <v>499</v>
      </c>
      <c r="B232" s="1208" t="s">
        <v>477</v>
      </c>
      <c r="C232" s="1208" t="s">
        <v>941</v>
      </c>
      <c r="D232" s="1208" t="s">
        <v>500</v>
      </c>
      <c r="E232" s="1208" t="s">
        <v>501</v>
      </c>
      <c r="F232" s="1208" t="s">
        <v>517</v>
      </c>
      <c r="G232" s="1208" t="s">
        <v>518</v>
      </c>
      <c r="H232" s="1208" t="s">
        <v>481</v>
      </c>
      <c r="I232" s="1209" t="s">
        <v>627</v>
      </c>
      <c r="J232" s="1208" t="s">
        <v>445</v>
      </c>
      <c r="K232" s="1208" t="s">
        <v>942</v>
      </c>
      <c r="L232" s="1208" t="s">
        <v>462</v>
      </c>
      <c r="M232" s="1208" t="s">
        <v>124</v>
      </c>
      <c r="N232" s="1208" t="s">
        <v>627</v>
      </c>
      <c r="O232" s="1210" t="s">
        <v>541</v>
      </c>
      <c r="P232" s="1210">
        <v>117</v>
      </c>
      <c r="Q232" s="1210">
        <v>7</v>
      </c>
      <c r="R232" s="1208" t="s">
        <v>442</v>
      </c>
    </row>
    <row r="233" spans="1:18" hidden="1">
      <c r="A233" s="1211" t="s">
        <v>499</v>
      </c>
      <c r="B233" s="1211" t="s">
        <v>477</v>
      </c>
      <c r="C233" s="1211" t="s">
        <v>943</v>
      </c>
      <c r="D233" s="1211" t="s">
        <v>500</v>
      </c>
      <c r="E233" s="1211" t="s">
        <v>501</v>
      </c>
      <c r="F233" s="1211" t="s">
        <v>517</v>
      </c>
      <c r="G233" s="1211" t="s">
        <v>518</v>
      </c>
      <c r="H233" s="1211" t="s">
        <v>481</v>
      </c>
      <c r="I233" s="1212" t="s">
        <v>627</v>
      </c>
      <c r="J233" s="1211" t="s">
        <v>440</v>
      </c>
      <c r="K233" s="1211" t="s">
        <v>942</v>
      </c>
      <c r="L233" s="1211" t="s">
        <v>124</v>
      </c>
      <c r="M233" s="1211" t="s">
        <v>462</v>
      </c>
      <c r="N233" s="1211" t="s">
        <v>627</v>
      </c>
      <c r="O233" s="1213" t="s">
        <v>573</v>
      </c>
      <c r="P233" s="1213">
        <v>176</v>
      </c>
      <c r="Q233" s="1213">
        <v>7</v>
      </c>
      <c r="R233" s="1211" t="s">
        <v>442</v>
      </c>
    </row>
    <row r="234" spans="1:18" hidden="1">
      <c r="A234" s="1208" t="s">
        <v>499</v>
      </c>
      <c r="B234" s="1208" t="s">
        <v>477</v>
      </c>
      <c r="C234" s="1208" t="s">
        <v>944</v>
      </c>
      <c r="D234" s="1208" t="s">
        <v>500</v>
      </c>
      <c r="E234" s="1208" t="s">
        <v>501</v>
      </c>
      <c r="F234" s="1208" t="s">
        <v>522</v>
      </c>
      <c r="G234" s="1208" t="s">
        <v>466</v>
      </c>
      <c r="H234" s="1208" t="s">
        <v>508</v>
      </c>
      <c r="I234" s="1209" t="s">
        <v>627</v>
      </c>
      <c r="J234" s="1208" t="s">
        <v>445</v>
      </c>
      <c r="K234" s="1208" t="s">
        <v>523</v>
      </c>
      <c r="L234" s="1208" t="s">
        <v>466</v>
      </c>
      <c r="M234" s="1208" t="s">
        <v>124</v>
      </c>
      <c r="N234" s="1208" t="s">
        <v>627</v>
      </c>
      <c r="O234" s="1210" t="s">
        <v>510</v>
      </c>
      <c r="P234" s="1210">
        <v>55</v>
      </c>
      <c r="Q234" s="1210">
        <v>4</v>
      </c>
      <c r="R234" s="1208" t="s">
        <v>442</v>
      </c>
    </row>
    <row r="235" spans="1:18" hidden="1">
      <c r="A235" s="1211" t="s">
        <v>499</v>
      </c>
      <c r="B235" s="1211" t="s">
        <v>477</v>
      </c>
      <c r="C235" s="1211" t="s">
        <v>945</v>
      </c>
      <c r="D235" s="1211" t="s">
        <v>500</v>
      </c>
      <c r="E235" s="1211" t="s">
        <v>501</v>
      </c>
      <c r="F235" s="1211" t="s">
        <v>502</v>
      </c>
      <c r="G235" s="1211" t="s">
        <v>467</v>
      </c>
      <c r="H235" s="1211" t="s">
        <v>503</v>
      </c>
      <c r="I235" s="1212" t="s">
        <v>627</v>
      </c>
      <c r="J235" s="1211" t="s">
        <v>445</v>
      </c>
      <c r="K235" s="1211" t="s">
        <v>744</v>
      </c>
      <c r="L235" s="1211" t="s">
        <v>447</v>
      </c>
      <c r="M235" s="1211" t="s">
        <v>124</v>
      </c>
      <c r="N235" s="1211" t="s">
        <v>627</v>
      </c>
      <c r="O235" s="1213" t="s">
        <v>495</v>
      </c>
      <c r="P235" s="1213">
        <v>65</v>
      </c>
      <c r="Q235" s="1213">
        <v>8</v>
      </c>
      <c r="R235" s="1211" t="s">
        <v>442</v>
      </c>
    </row>
    <row r="236" spans="1:18" hidden="1">
      <c r="A236" s="1208" t="s">
        <v>499</v>
      </c>
      <c r="B236" s="1208" t="s">
        <v>477</v>
      </c>
      <c r="C236" s="1208" t="s">
        <v>946</v>
      </c>
      <c r="D236" s="1208" t="s">
        <v>500</v>
      </c>
      <c r="E236" s="1208" t="s">
        <v>501</v>
      </c>
      <c r="F236" s="1208" t="s">
        <v>522</v>
      </c>
      <c r="G236" s="1208" t="s">
        <v>466</v>
      </c>
      <c r="H236" s="1208" t="s">
        <v>508</v>
      </c>
      <c r="I236" s="1209" t="s">
        <v>627</v>
      </c>
      <c r="J236" s="1208" t="s">
        <v>440</v>
      </c>
      <c r="K236" s="1208" t="s">
        <v>523</v>
      </c>
      <c r="L236" s="1208" t="s">
        <v>124</v>
      </c>
      <c r="M236" s="1208" t="s">
        <v>466</v>
      </c>
      <c r="N236" s="1208" t="s">
        <v>627</v>
      </c>
      <c r="O236" s="1210" t="s">
        <v>512</v>
      </c>
      <c r="P236" s="1210">
        <v>60</v>
      </c>
      <c r="Q236" s="1210">
        <v>4</v>
      </c>
      <c r="R236" s="1208" t="s">
        <v>442</v>
      </c>
    </row>
    <row r="237" spans="1:18" hidden="1">
      <c r="A237" s="1211" t="s">
        <v>499</v>
      </c>
      <c r="B237" s="1211" t="s">
        <v>477</v>
      </c>
      <c r="C237" s="1211" t="s">
        <v>947</v>
      </c>
      <c r="D237" s="1211" t="s">
        <v>500</v>
      </c>
      <c r="E237" s="1211" t="s">
        <v>501</v>
      </c>
      <c r="F237" s="1211" t="s">
        <v>505</v>
      </c>
      <c r="G237" s="1211" t="s">
        <v>453</v>
      </c>
      <c r="H237" s="1211" t="s">
        <v>581</v>
      </c>
      <c r="I237" s="1212" t="s">
        <v>627</v>
      </c>
      <c r="J237" s="1211" t="s">
        <v>445</v>
      </c>
      <c r="K237" s="1211" t="s">
        <v>694</v>
      </c>
      <c r="L237" s="1211" t="s">
        <v>453</v>
      </c>
      <c r="M237" s="1211" t="s">
        <v>124</v>
      </c>
      <c r="N237" s="1211" t="s">
        <v>627</v>
      </c>
      <c r="O237" s="1213" t="s">
        <v>583</v>
      </c>
      <c r="P237" s="1213">
        <v>67</v>
      </c>
      <c r="Q237" s="1213">
        <v>4</v>
      </c>
      <c r="R237" s="1211" t="s">
        <v>442</v>
      </c>
    </row>
    <row r="238" spans="1:18" hidden="1">
      <c r="A238" s="1208" t="s">
        <v>499</v>
      </c>
      <c r="B238" s="1208" t="s">
        <v>477</v>
      </c>
      <c r="C238" s="1208" t="s">
        <v>948</v>
      </c>
      <c r="D238" s="1208" t="s">
        <v>500</v>
      </c>
      <c r="E238" s="1208" t="s">
        <v>501</v>
      </c>
      <c r="F238" s="1208" t="s">
        <v>505</v>
      </c>
      <c r="G238" s="1208" t="s">
        <v>453</v>
      </c>
      <c r="H238" s="1208" t="s">
        <v>581</v>
      </c>
      <c r="I238" s="1209" t="s">
        <v>627</v>
      </c>
      <c r="J238" s="1208" t="s">
        <v>440</v>
      </c>
      <c r="K238" s="1208" t="s">
        <v>694</v>
      </c>
      <c r="L238" s="1208" t="s">
        <v>124</v>
      </c>
      <c r="M238" s="1208" t="s">
        <v>453</v>
      </c>
      <c r="N238" s="1208" t="s">
        <v>627</v>
      </c>
      <c r="O238" s="1210" t="s">
        <v>558</v>
      </c>
      <c r="P238" s="1210">
        <v>94</v>
      </c>
      <c r="Q238" s="1210">
        <v>4</v>
      </c>
      <c r="R238" s="1208" t="s">
        <v>442</v>
      </c>
    </row>
    <row r="239" spans="1:18" hidden="1">
      <c r="A239" s="1211" t="s">
        <v>499</v>
      </c>
      <c r="B239" s="1211" t="s">
        <v>477</v>
      </c>
      <c r="C239" s="1211" t="s">
        <v>949</v>
      </c>
      <c r="D239" s="1211" t="s">
        <v>500</v>
      </c>
      <c r="E239" s="1211" t="s">
        <v>501</v>
      </c>
      <c r="F239" s="1211" t="s">
        <v>502</v>
      </c>
      <c r="G239" s="1211" t="s">
        <v>467</v>
      </c>
      <c r="H239" s="1211" t="s">
        <v>503</v>
      </c>
      <c r="I239" s="1212" t="s">
        <v>950</v>
      </c>
      <c r="J239" s="1211" t="s">
        <v>440</v>
      </c>
      <c r="K239" s="1211" t="s">
        <v>744</v>
      </c>
      <c r="L239" s="1211" t="s">
        <v>124</v>
      </c>
      <c r="M239" s="1211" t="s">
        <v>447</v>
      </c>
      <c r="N239" s="1211" t="s">
        <v>950</v>
      </c>
      <c r="O239" s="1213" t="s">
        <v>504</v>
      </c>
      <c r="P239" s="1213">
        <v>84</v>
      </c>
      <c r="Q239" s="1213">
        <v>8</v>
      </c>
      <c r="R239" s="1211" t="s">
        <v>442</v>
      </c>
    </row>
    <row r="240" spans="1:18" hidden="1">
      <c r="A240" s="1208" t="s">
        <v>499</v>
      </c>
      <c r="B240" s="1208" t="s">
        <v>477</v>
      </c>
      <c r="C240" s="1208" t="s">
        <v>951</v>
      </c>
      <c r="D240" s="1208" t="s">
        <v>500</v>
      </c>
      <c r="E240" s="1208" t="s">
        <v>501</v>
      </c>
      <c r="F240" s="1208" t="s">
        <v>507</v>
      </c>
      <c r="G240" s="1208" t="s">
        <v>466</v>
      </c>
      <c r="H240" s="1208" t="s">
        <v>508</v>
      </c>
      <c r="I240" s="1209" t="s">
        <v>950</v>
      </c>
      <c r="J240" s="1208" t="s">
        <v>445</v>
      </c>
      <c r="K240" s="1208" t="s">
        <v>509</v>
      </c>
      <c r="L240" s="1208" t="s">
        <v>466</v>
      </c>
      <c r="M240" s="1208" t="s">
        <v>124</v>
      </c>
      <c r="N240" s="1208" t="s">
        <v>950</v>
      </c>
      <c r="O240" s="1210" t="s">
        <v>510</v>
      </c>
      <c r="P240" s="1210">
        <v>52</v>
      </c>
      <c r="Q240" s="1210">
        <v>5</v>
      </c>
      <c r="R240" s="1208" t="s">
        <v>442</v>
      </c>
    </row>
    <row r="241" spans="1:18" hidden="1">
      <c r="A241" s="1211" t="s">
        <v>499</v>
      </c>
      <c r="B241" s="1211" t="s">
        <v>477</v>
      </c>
      <c r="C241" s="1211" t="s">
        <v>952</v>
      </c>
      <c r="D241" s="1211" t="s">
        <v>500</v>
      </c>
      <c r="E241" s="1211" t="s">
        <v>501</v>
      </c>
      <c r="F241" s="1211" t="s">
        <v>507</v>
      </c>
      <c r="G241" s="1211" t="s">
        <v>466</v>
      </c>
      <c r="H241" s="1211" t="s">
        <v>508</v>
      </c>
      <c r="I241" s="1212" t="s">
        <v>950</v>
      </c>
      <c r="J241" s="1211" t="s">
        <v>440</v>
      </c>
      <c r="K241" s="1211" t="s">
        <v>509</v>
      </c>
      <c r="L241" s="1211" t="s">
        <v>124</v>
      </c>
      <c r="M241" s="1211" t="s">
        <v>466</v>
      </c>
      <c r="N241" s="1211" t="s">
        <v>950</v>
      </c>
      <c r="O241" s="1213" t="s">
        <v>512</v>
      </c>
      <c r="P241" s="1213">
        <v>52</v>
      </c>
      <c r="Q241" s="1213">
        <v>5</v>
      </c>
      <c r="R241" s="1211" t="s">
        <v>442</v>
      </c>
    </row>
    <row r="242" spans="1:18" hidden="1">
      <c r="A242" s="1208" t="s">
        <v>499</v>
      </c>
      <c r="B242" s="1208" t="s">
        <v>477</v>
      </c>
      <c r="C242" s="1208" t="s">
        <v>953</v>
      </c>
      <c r="D242" s="1208" t="s">
        <v>500</v>
      </c>
      <c r="E242" s="1208" t="s">
        <v>501</v>
      </c>
      <c r="F242" s="1208" t="s">
        <v>511</v>
      </c>
      <c r="G242" s="1208" t="s">
        <v>453</v>
      </c>
      <c r="H242" s="1208" t="s">
        <v>503</v>
      </c>
      <c r="I242" s="1209" t="s">
        <v>950</v>
      </c>
      <c r="J242" s="1208" t="s">
        <v>445</v>
      </c>
      <c r="K242" s="1208" t="s">
        <v>548</v>
      </c>
      <c r="L242" s="1208" t="s">
        <v>453</v>
      </c>
      <c r="M242" s="1208" t="s">
        <v>124</v>
      </c>
      <c r="N242" s="1208" t="s">
        <v>950</v>
      </c>
      <c r="O242" s="1210" t="s">
        <v>954</v>
      </c>
      <c r="P242" s="1210">
        <v>109</v>
      </c>
      <c r="Q242" s="1210">
        <v>6</v>
      </c>
      <c r="R242" s="1208" t="s">
        <v>442</v>
      </c>
    </row>
    <row r="243" spans="1:18" hidden="1">
      <c r="A243" s="1211" t="s">
        <v>499</v>
      </c>
      <c r="B243" s="1211" t="s">
        <v>477</v>
      </c>
      <c r="C243" s="1211" t="s">
        <v>955</v>
      </c>
      <c r="D243" s="1211" t="s">
        <v>500</v>
      </c>
      <c r="E243" s="1211" t="s">
        <v>501</v>
      </c>
      <c r="F243" s="1211" t="s">
        <v>511</v>
      </c>
      <c r="G243" s="1211" t="s">
        <v>453</v>
      </c>
      <c r="H243" s="1211" t="s">
        <v>503</v>
      </c>
      <c r="I243" s="1212" t="s">
        <v>950</v>
      </c>
      <c r="J243" s="1211" t="s">
        <v>440</v>
      </c>
      <c r="K243" s="1211" t="s">
        <v>548</v>
      </c>
      <c r="L243" s="1211" t="s">
        <v>124</v>
      </c>
      <c r="M243" s="1211" t="s">
        <v>453</v>
      </c>
      <c r="N243" s="1211" t="s">
        <v>950</v>
      </c>
      <c r="O243" s="1213" t="s">
        <v>542</v>
      </c>
      <c r="P243" s="1213">
        <v>111</v>
      </c>
      <c r="Q243" s="1213">
        <v>6</v>
      </c>
      <c r="R243" s="1211" t="s">
        <v>442</v>
      </c>
    </row>
    <row r="244" spans="1:18" hidden="1">
      <c r="A244" s="1208" t="s">
        <v>499</v>
      </c>
      <c r="B244" s="1208" t="s">
        <v>477</v>
      </c>
      <c r="C244" s="1208" t="s">
        <v>956</v>
      </c>
      <c r="D244" s="1208" t="s">
        <v>500</v>
      </c>
      <c r="E244" s="1208" t="s">
        <v>501</v>
      </c>
      <c r="F244" s="1208" t="s">
        <v>957</v>
      </c>
      <c r="G244" s="1208" t="s">
        <v>453</v>
      </c>
      <c r="H244" s="1208" t="s">
        <v>581</v>
      </c>
      <c r="I244" s="1209" t="s">
        <v>950</v>
      </c>
      <c r="J244" s="1208" t="s">
        <v>445</v>
      </c>
      <c r="K244" s="1208" t="s">
        <v>958</v>
      </c>
      <c r="L244" s="1208" t="s">
        <v>453</v>
      </c>
      <c r="M244" s="1208" t="s">
        <v>124</v>
      </c>
      <c r="N244" s="1208" t="s">
        <v>950</v>
      </c>
      <c r="O244" s="1210" t="s">
        <v>575</v>
      </c>
      <c r="P244" s="1210">
        <v>69</v>
      </c>
      <c r="Q244" s="1210">
        <v>4</v>
      </c>
      <c r="R244" s="1208" t="s">
        <v>442</v>
      </c>
    </row>
    <row r="245" spans="1:18" hidden="1">
      <c r="A245" s="1211" t="s">
        <v>499</v>
      </c>
      <c r="B245" s="1211" t="s">
        <v>477</v>
      </c>
      <c r="C245" s="1211" t="s">
        <v>959</v>
      </c>
      <c r="D245" s="1211" t="s">
        <v>500</v>
      </c>
      <c r="E245" s="1211" t="s">
        <v>501</v>
      </c>
      <c r="F245" s="1211" t="s">
        <v>957</v>
      </c>
      <c r="G245" s="1211" t="s">
        <v>453</v>
      </c>
      <c r="H245" s="1211" t="s">
        <v>581</v>
      </c>
      <c r="I245" s="1212" t="s">
        <v>950</v>
      </c>
      <c r="J245" s="1211" t="s">
        <v>440</v>
      </c>
      <c r="K245" s="1211" t="s">
        <v>958</v>
      </c>
      <c r="L245" s="1211" t="s">
        <v>124</v>
      </c>
      <c r="M245" s="1211" t="s">
        <v>453</v>
      </c>
      <c r="N245" s="1211" t="s">
        <v>950</v>
      </c>
      <c r="O245" s="1213" t="s">
        <v>781</v>
      </c>
      <c r="P245" s="1213">
        <v>89</v>
      </c>
      <c r="Q245" s="1213">
        <v>4</v>
      </c>
      <c r="R245" s="1211" t="s">
        <v>442</v>
      </c>
    </row>
    <row r="246" spans="1:18" hidden="1">
      <c r="A246" s="1208" t="s">
        <v>499</v>
      </c>
      <c r="B246" s="1208" t="s">
        <v>477</v>
      </c>
      <c r="C246" s="1208" t="s">
        <v>960</v>
      </c>
      <c r="D246" s="1208" t="s">
        <v>500</v>
      </c>
      <c r="E246" s="1208" t="s">
        <v>501</v>
      </c>
      <c r="F246" s="1208" t="s">
        <v>480</v>
      </c>
      <c r="G246" s="1208" t="s">
        <v>447</v>
      </c>
      <c r="H246" s="1208" t="s">
        <v>481</v>
      </c>
      <c r="I246" s="1209" t="s">
        <v>961</v>
      </c>
      <c r="J246" s="1208" t="s">
        <v>445</v>
      </c>
      <c r="K246" s="1208" t="s">
        <v>482</v>
      </c>
      <c r="L246" s="1208" t="s">
        <v>513</v>
      </c>
      <c r="M246" s="1208" t="s">
        <v>124</v>
      </c>
      <c r="N246" s="1208" t="s">
        <v>961</v>
      </c>
      <c r="O246" s="1210" t="s">
        <v>585</v>
      </c>
      <c r="P246" s="1210">
        <v>127</v>
      </c>
      <c r="Q246" s="1210">
        <v>6</v>
      </c>
      <c r="R246" s="1208" t="s">
        <v>442</v>
      </c>
    </row>
    <row r="247" spans="1:18" hidden="1">
      <c r="A247" s="1211" t="s">
        <v>499</v>
      </c>
      <c r="B247" s="1211" t="s">
        <v>477</v>
      </c>
      <c r="C247" s="1211" t="s">
        <v>962</v>
      </c>
      <c r="D247" s="1211" t="s">
        <v>500</v>
      </c>
      <c r="E247" s="1211" t="s">
        <v>501</v>
      </c>
      <c r="F247" s="1211" t="s">
        <v>480</v>
      </c>
      <c r="G247" s="1211" t="s">
        <v>447</v>
      </c>
      <c r="H247" s="1211" t="s">
        <v>481</v>
      </c>
      <c r="I247" s="1212" t="s">
        <v>961</v>
      </c>
      <c r="J247" s="1211" t="s">
        <v>440</v>
      </c>
      <c r="K247" s="1211" t="s">
        <v>482</v>
      </c>
      <c r="L247" s="1211" t="s">
        <v>124</v>
      </c>
      <c r="M247" s="1211" t="s">
        <v>513</v>
      </c>
      <c r="N247" s="1211" t="s">
        <v>961</v>
      </c>
      <c r="O247" s="1213" t="s">
        <v>569</v>
      </c>
      <c r="P247" s="1213">
        <v>75</v>
      </c>
      <c r="Q247" s="1213">
        <v>6</v>
      </c>
      <c r="R247" s="1211" t="s">
        <v>442</v>
      </c>
    </row>
    <row r="248" spans="1:18" hidden="1">
      <c r="A248" s="1208" t="s">
        <v>499</v>
      </c>
      <c r="B248" s="1208" t="s">
        <v>477</v>
      </c>
      <c r="C248" s="1208" t="s">
        <v>963</v>
      </c>
      <c r="D248" s="1208" t="s">
        <v>500</v>
      </c>
      <c r="E248" s="1208" t="s">
        <v>501</v>
      </c>
      <c r="F248" s="1208" t="s">
        <v>505</v>
      </c>
      <c r="G248" s="1208" t="s">
        <v>453</v>
      </c>
      <c r="H248" s="1208" t="s">
        <v>581</v>
      </c>
      <c r="I248" s="1209" t="s">
        <v>961</v>
      </c>
      <c r="J248" s="1208" t="s">
        <v>445</v>
      </c>
      <c r="K248" s="1208" t="s">
        <v>694</v>
      </c>
      <c r="L248" s="1208" t="s">
        <v>453</v>
      </c>
      <c r="M248" s="1208" t="s">
        <v>124</v>
      </c>
      <c r="N248" s="1208" t="s">
        <v>961</v>
      </c>
      <c r="O248" s="1210" t="s">
        <v>583</v>
      </c>
      <c r="P248" s="1210">
        <v>77</v>
      </c>
      <c r="Q248" s="1210">
        <v>4</v>
      </c>
      <c r="R248" s="1208" t="s">
        <v>442</v>
      </c>
    </row>
    <row r="249" spans="1:18" hidden="1">
      <c r="A249" s="1211" t="s">
        <v>499</v>
      </c>
      <c r="B249" s="1211" t="s">
        <v>477</v>
      </c>
      <c r="C249" s="1211" t="s">
        <v>964</v>
      </c>
      <c r="D249" s="1211" t="s">
        <v>500</v>
      </c>
      <c r="E249" s="1211" t="s">
        <v>501</v>
      </c>
      <c r="F249" s="1211" t="s">
        <v>511</v>
      </c>
      <c r="G249" s="1211" t="s">
        <v>453</v>
      </c>
      <c r="H249" s="1211" t="s">
        <v>503</v>
      </c>
      <c r="I249" s="1212" t="s">
        <v>961</v>
      </c>
      <c r="J249" s="1211" t="s">
        <v>445</v>
      </c>
      <c r="K249" s="1211" t="s">
        <v>658</v>
      </c>
      <c r="L249" s="1211" t="s">
        <v>453</v>
      </c>
      <c r="M249" s="1211" t="s">
        <v>124</v>
      </c>
      <c r="N249" s="1211" t="s">
        <v>961</v>
      </c>
      <c r="O249" s="1213" t="s">
        <v>586</v>
      </c>
      <c r="P249" s="1213">
        <v>111</v>
      </c>
      <c r="Q249" s="1213">
        <v>6</v>
      </c>
      <c r="R249" s="1211" t="s">
        <v>442</v>
      </c>
    </row>
    <row r="250" spans="1:18" hidden="1">
      <c r="A250" s="1208" t="s">
        <v>499</v>
      </c>
      <c r="B250" s="1208" t="s">
        <v>477</v>
      </c>
      <c r="C250" s="1208" t="s">
        <v>965</v>
      </c>
      <c r="D250" s="1208" t="s">
        <v>500</v>
      </c>
      <c r="E250" s="1208" t="s">
        <v>501</v>
      </c>
      <c r="F250" s="1208" t="s">
        <v>505</v>
      </c>
      <c r="G250" s="1208" t="s">
        <v>453</v>
      </c>
      <c r="H250" s="1208" t="s">
        <v>581</v>
      </c>
      <c r="I250" s="1209" t="s">
        <v>961</v>
      </c>
      <c r="J250" s="1208" t="s">
        <v>440</v>
      </c>
      <c r="K250" s="1208" t="s">
        <v>694</v>
      </c>
      <c r="L250" s="1208" t="s">
        <v>124</v>
      </c>
      <c r="M250" s="1208" t="s">
        <v>453</v>
      </c>
      <c r="N250" s="1208" t="s">
        <v>961</v>
      </c>
      <c r="O250" s="1210" t="s">
        <v>483</v>
      </c>
      <c r="P250" s="1210">
        <v>86</v>
      </c>
      <c r="Q250" s="1210">
        <v>4</v>
      </c>
      <c r="R250" s="1208" t="s">
        <v>442</v>
      </c>
    </row>
    <row r="251" spans="1:18" hidden="1">
      <c r="A251" s="1211" t="s">
        <v>499</v>
      </c>
      <c r="B251" s="1211" t="s">
        <v>477</v>
      </c>
      <c r="C251" s="1211" t="s">
        <v>966</v>
      </c>
      <c r="D251" s="1211" t="s">
        <v>500</v>
      </c>
      <c r="E251" s="1211" t="s">
        <v>501</v>
      </c>
      <c r="F251" s="1211" t="s">
        <v>511</v>
      </c>
      <c r="G251" s="1211" t="s">
        <v>453</v>
      </c>
      <c r="H251" s="1211" t="s">
        <v>503</v>
      </c>
      <c r="I251" s="1212" t="s">
        <v>961</v>
      </c>
      <c r="J251" s="1211" t="s">
        <v>440</v>
      </c>
      <c r="K251" s="1211" t="s">
        <v>658</v>
      </c>
      <c r="L251" s="1211" t="s">
        <v>124</v>
      </c>
      <c r="M251" s="1211" t="s">
        <v>453</v>
      </c>
      <c r="N251" s="1211" t="s">
        <v>961</v>
      </c>
      <c r="O251" s="1213" t="s">
        <v>483</v>
      </c>
      <c r="P251" s="1213">
        <v>169</v>
      </c>
      <c r="Q251" s="1213">
        <v>6</v>
      </c>
      <c r="R251" s="1211" t="s">
        <v>442</v>
      </c>
    </row>
    <row r="252" spans="1:18" hidden="1">
      <c r="A252" s="1208" t="s">
        <v>499</v>
      </c>
      <c r="B252" s="1208" t="s">
        <v>477</v>
      </c>
      <c r="C252" s="1208" t="s">
        <v>967</v>
      </c>
      <c r="D252" s="1208" t="s">
        <v>500</v>
      </c>
      <c r="E252" s="1208" t="s">
        <v>501</v>
      </c>
      <c r="F252" s="1208" t="s">
        <v>520</v>
      </c>
      <c r="G252" s="1208" t="s">
        <v>441</v>
      </c>
      <c r="H252" s="1208" t="s">
        <v>508</v>
      </c>
      <c r="I252" s="1209" t="s">
        <v>961</v>
      </c>
      <c r="J252" s="1208" t="s">
        <v>445</v>
      </c>
      <c r="K252" s="1208" t="s">
        <v>539</v>
      </c>
      <c r="L252" s="1208" t="s">
        <v>441</v>
      </c>
      <c r="M252" s="1208" t="s">
        <v>124</v>
      </c>
      <c r="N252" s="1208" t="s">
        <v>961</v>
      </c>
      <c r="O252" s="1210" t="s">
        <v>521</v>
      </c>
      <c r="P252" s="1210">
        <v>43</v>
      </c>
      <c r="Q252" s="1210">
        <v>4</v>
      </c>
      <c r="R252" s="1208" t="s">
        <v>442</v>
      </c>
    </row>
    <row r="253" spans="1:18" hidden="1">
      <c r="A253" s="1211" t="s">
        <v>499</v>
      </c>
      <c r="B253" s="1211" t="s">
        <v>477</v>
      </c>
      <c r="C253" s="1211" t="s">
        <v>968</v>
      </c>
      <c r="D253" s="1211" t="s">
        <v>500</v>
      </c>
      <c r="E253" s="1211" t="s">
        <v>501</v>
      </c>
      <c r="F253" s="1211" t="s">
        <v>520</v>
      </c>
      <c r="G253" s="1211" t="s">
        <v>441</v>
      </c>
      <c r="H253" s="1211" t="s">
        <v>508</v>
      </c>
      <c r="I253" s="1212" t="s">
        <v>961</v>
      </c>
      <c r="J253" s="1211" t="s">
        <v>440</v>
      </c>
      <c r="K253" s="1211" t="s">
        <v>539</v>
      </c>
      <c r="L253" s="1211" t="s">
        <v>124</v>
      </c>
      <c r="M253" s="1211" t="s">
        <v>441</v>
      </c>
      <c r="N253" s="1211" t="s">
        <v>961</v>
      </c>
      <c r="O253" s="1213" t="s">
        <v>489</v>
      </c>
      <c r="P253" s="1213">
        <v>61</v>
      </c>
      <c r="Q253" s="1213">
        <v>4</v>
      </c>
      <c r="R253" s="1211" t="s">
        <v>442</v>
      </c>
    </row>
    <row r="254" spans="1:18" hidden="1">
      <c r="A254" s="1208" t="s">
        <v>499</v>
      </c>
      <c r="B254" s="1208" t="s">
        <v>477</v>
      </c>
      <c r="C254" s="1208" t="s">
        <v>969</v>
      </c>
      <c r="D254" s="1208" t="s">
        <v>500</v>
      </c>
      <c r="E254" s="1208" t="s">
        <v>501</v>
      </c>
      <c r="F254" s="1208" t="s">
        <v>522</v>
      </c>
      <c r="G254" s="1208" t="s">
        <v>466</v>
      </c>
      <c r="H254" s="1208" t="s">
        <v>508</v>
      </c>
      <c r="I254" s="1209" t="s">
        <v>961</v>
      </c>
      <c r="J254" s="1208" t="s">
        <v>445</v>
      </c>
      <c r="K254" s="1208" t="s">
        <v>523</v>
      </c>
      <c r="L254" s="1208" t="s">
        <v>466</v>
      </c>
      <c r="M254" s="1208" t="s">
        <v>124</v>
      </c>
      <c r="N254" s="1208" t="s">
        <v>961</v>
      </c>
      <c r="O254" s="1210" t="s">
        <v>510</v>
      </c>
      <c r="P254" s="1210">
        <v>28</v>
      </c>
      <c r="Q254" s="1210">
        <v>4</v>
      </c>
      <c r="R254" s="1208" t="s">
        <v>442</v>
      </c>
    </row>
    <row r="255" spans="1:18" hidden="1">
      <c r="A255" s="1211" t="s">
        <v>499</v>
      </c>
      <c r="B255" s="1211" t="s">
        <v>477</v>
      </c>
      <c r="C255" s="1211" t="s">
        <v>970</v>
      </c>
      <c r="D255" s="1211" t="s">
        <v>500</v>
      </c>
      <c r="E255" s="1211" t="s">
        <v>501</v>
      </c>
      <c r="F255" s="1211" t="s">
        <v>517</v>
      </c>
      <c r="G255" s="1211" t="s">
        <v>518</v>
      </c>
      <c r="H255" s="1211" t="s">
        <v>481</v>
      </c>
      <c r="I255" s="1212" t="s">
        <v>961</v>
      </c>
      <c r="J255" s="1211" t="s">
        <v>445</v>
      </c>
      <c r="K255" s="1211" t="s">
        <v>971</v>
      </c>
      <c r="L255" s="1211" t="s">
        <v>462</v>
      </c>
      <c r="M255" s="1211" t="s">
        <v>124</v>
      </c>
      <c r="N255" s="1211" t="s">
        <v>961</v>
      </c>
      <c r="O255" s="1213" t="s">
        <v>521</v>
      </c>
      <c r="P255" s="1213">
        <v>140</v>
      </c>
      <c r="Q255" s="1213">
        <v>7</v>
      </c>
      <c r="R255" s="1211" t="s">
        <v>442</v>
      </c>
    </row>
    <row r="256" spans="1:18" hidden="1">
      <c r="A256" s="1208" t="s">
        <v>499</v>
      </c>
      <c r="B256" s="1208" t="s">
        <v>477</v>
      </c>
      <c r="C256" s="1208" t="s">
        <v>972</v>
      </c>
      <c r="D256" s="1208" t="s">
        <v>500</v>
      </c>
      <c r="E256" s="1208" t="s">
        <v>501</v>
      </c>
      <c r="F256" s="1208" t="s">
        <v>522</v>
      </c>
      <c r="G256" s="1208" t="s">
        <v>466</v>
      </c>
      <c r="H256" s="1208" t="s">
        <v>508</v>
      </c>
      <c r="I256" s="1209" t="s">
        <v>961</v>
      </c>
      <c r="J256" s="1208" t="s">
        <v>440</v>
      </c>
      <c r="K256" s="1208" t="s">
        <v>523</v>
      </c>
      <c r="L256" s="1208" t="s">
        <v>124</v>
      </c>
      <c r="M256" s="1208" t="s">
        <v>466</v>
      </c>
      <c r="N256" s="1208" t="s">
        <v>961</v>
      </c>
      <c r="O256" s="1210" t="s">
        <v>512</v>
      </c>
      <c r="P256" s="1210">
        <v>55</v>
      </c>
      <c r="Q256" s="1210">
        <v>4</v>
      </c>
      <c r="R256" s="1208" t="s">
        <v>442</v>
      </c>
    </row>
    <row r="257" spans="1:18" hidden="1">
      <c r="A257" s="1211" t="s">
        <v>499</v>
      </c>
      <c r="B257" s="1211" t="s">
        <v>477</v>
      </c>
      <c r="C257" s="1211" t="s">
        <v>973</v>
      </c>
      <c r="D257" s="1211" t="s">
        <v>500</v>
      </c>
      <c r="E257" s="1211" t="s">
        <v>501</v>
      </c>
      <c r="F257" s="1211" t="s">
        <v>517</v>
      </c>
      <c r="G257" s="1211" t="s">
        <v>518</v>
      </c>
      <c r="H257" s="1211" t="s">
        <v>481</v>
      </c>
      <c r="I257" s="1212" t="s">
        <v>961</v>
      </c>
      <c r="J257" s="1211" t="s">
        <v>440</v>
      </c>
      <c r="K257" s="1211" t="s">
        <v>971</v>
      </c>
      <c r="L257" s="1211" t="s">
        <v>124</v>
      </c>
      <c r="M257" s="1211" t="s">
        <v>462</v>
      </c>
      <c r="N257" s="1211" t="s">
        <v>961</v>
      </c>
      <c r="O257" s="1213" t="s">
        <v>571</v>
      </c>
      <c r="P257" s="1213">
        <v>176</v>
      </c>
      <c r="Q257" s="1213">
        <v>7</v>
      </c>
      <c r="R257" s="1211" t="s">
        <v>442</v>
      </c>
    </row>
    <row r="258" spans="1:18" hidden="1">
      <c r="A258" s="1208" t="s">
        <v>499</v>
      </c>
      <c r="B258" s="1208" t="s">
        <v>477</v>
      </c>
      <c r="C258" s="1208" t="s">
        <v>974</v>
      </c>
      <c r="D258" s="1208" t="s">
        <v>500</v>
      </c>
      <c r="E258" s="1208" t="s">
        <v>501</v>
      </c>
      <c r="F258" s="1208" t="s">
        <v>522</v>
      </c>
      <c r="G258" s="1208" t="s">
        <v>466</v>
      </c>
      <c r="H258" s="1208" t="s">
        <v>503</v>
      </c>
      <c r="I258" s="1209" t="s">
        <v>975</v>
      </c>
      <c r="J258" s="1208" t="s">
        <v>445</v>
      </c>
      <c r="K258" s="1208" t="s">
        <v>534</v>
      </c>
      <c r="L258" s="1208" t="s">
        <v>466</v>
      </c>
      <c r="M258" s="1208" t="s">
        <v>124</v>
      </c>
      <c r="N258" s="1208" t="s">
        <v>975</v>
      </c>
      <c r="O258" s="1210" t="s">
        <v>526</v>
      </c>
      <c r="P258" s="1210">
        <v>128</v>
      </c>
      <c r="Q258" s="1210">
        <v>7</v>
      </c>
      <c r="R258" s="1208" t="s">
        <v>442</v>
      </c>
    </row>
    <row r="259" spans="1:18" hidden="1">
      <c r="A259" s="1211" t="s">
        <v>499</v>
      </c>
      <c r="B259" s="1211" t="s">
        <v>477</v>
      </c>
      <c r="C259" s="1211" t="s">
        <v>976</v>
      </c>
      <c r="D259" s="1211" t="s">
        <v>500</v>
      </c>
      <c r="E259" s="1211" t="s">
        <v>501</v>
      </c>
      <c r="F259" s="1211" t="s">
        <v>511</v>
      </c>
      <c r="G259" s="1211" t="s">
        <v>453</v>
      </c>
      <c r="H259" s="1211" t="s">
        <v>503</v>
      </c>
      <c r="I259" s="1212" t="s">
        <v>975</v>
      </c>
      <c r="J259" s="1211" t="s">
        <v>445</v>
      </c>
      <c r="K259" s="1211" t="s">
        <v>977</v>
      </c>
      <c r="L259" s="1211" t="s">
        <v>453</v>
      </c>
      <c r="M259" s="1211" t="s">
        <v>124</v>
      </c>
      <c r="N259" s="1211" t="s">
        <v>975</v>
      </c>
      <c r="O259" s="1213" t="s">
        <v>586</v>
      </c>
      <c r="P259" s="1213">
        <v>96</v>
      </c>
      <c r="Q259" s="1213">
        <v>6</v>
      </c>
      <c r="R259" s="1211" t="s">
        <v>442</v>
      </c>
    </row>
    <row r="260" spans="1:18" hidden="1">
      <c r="A260" s="1208" t="s">
        <v>499</v>
      </c>
      <c r="B260" s="1208" t="s">
        <v>477</v>
      </c>
      <c r="C260" s="1208" t="s">
        <v>978</v>
      </c>
      <c r="D260" s="1208" t="s">
        <v>500</v>
      </c>
      <c r="E260" s="1208" t="s">
        <v>501</v>
      </c>
      <c r="F260" s="1208" t="s">
        <v>522</v>
      </c>
      <c r="G260" s="1208" t="s">
        <v>466</v>
      </c>
      <c r="H260" s="1208" t="s">
        <v>503</v>
      </c>
      <c r="I260" s="1209" t="s">
        <v>975</v>
      </c>
      <c r="J260" s="1208" t="s">
        <v>440</v>
      </c>
      <c r="K260" s="1208" t="s">
        <v>534</v>
      </c>
      <c r="L260" s="1208" t="s">
        <v>124</v>
      </c>
      <c r="M260" s="1208" t="s">
        <v>466</v>
      </c>
      <c r="N260" s="1208" t="s">
        <v>975</v>
      </c>
      <c r="O260" s="1210" t="s">
        <v>516</v>
      </c>
      <c r="P260" s="1210">
        <v>107</v>
      </c>
      <c r="Q260" s="1210">
        <v>7</v>
      </c>
      <c r="R260" s="1208" t="s">
        <v>442</v>
      </c>
    </row>
    <row r="261" spans="1:18" hidden="1">
      <c r="A261" s="1211" t="s">
        <v>499</v>
      </c>
      <c r="B261" s="1211" t="s">
        <v>477</v>
      </c>
      <c r="C261" s="1211" t="s">
        <v>979</v>
      </c>
      <c r="D261" s="1211" t="s">
        <v>500</v>
      </c>
      <c r="E261" s="1211" t="s">
        <v>501</v>
      </c>
      <c r="F261" s="1211" t="s">
        <v>511</v>
      </c>
      <c r="G261" s="1211" t="s">
        <v>453</v>
      </c>
      <c r="H261" s="1211" t="s">
        <v>503</v>
      </c>
      <c r="I261" s="1212" t="s">
        <v>975</v>
      </c>
      <c r="J261" s="1211" t="s">
        <v>440</v>
      </c>
      <c r="K261" s="1211" t="s">
        <v>977</v>
      </c>
      <c r="L261" s="1211" t="s">
        <v>124</v>
      </c>
      <c r="M261" s="1211" t="s">
        <v>453</v>
      </c>
      <c r="N261" s="1211" t="s">
        <v>975</v>
      </c>
      <c r="O261" s="1213" t="s">
        <v>483</v>
      </c>
      <c r="P261" s="1213">
        <v>179</v>
      </c>
      <c r="Q261" s="1213">
        <v>6</v>
      </c>
      <c r="R261" s="1211" t="s">
        <v>442</v>
      </c>
    </row>
    <row r="262" spans="1:18" hidden="1">
      <c r="A262" s="1208" t="s">
        <v>499</v>
      </c>
      <c r="B262" s="1208" t="s">
        <v>477</v>
      </c>
      <c r="C262" s="1208" t="s">
        <v>980</v>
      </c>
      <c r="D262" s="1208" t="s">
        <v>500</v>
      </c>
      <c r="E262" s="1208" t="s">
        <v>501</v>
      </c>
      <c r="F262" s="1208" t="s">
        <v>957</v>
      </c>
      <c r="G262" s="1208" t="s">
        <v>453</v>
      </c>
      <c r="H262" s="1208" t="s">
        <v>581</v>
      </c>
      <c r="I262" s="1209" t="s">
        <v>981</v>
      </c>
      <c r="J262" s="1208" t="s">
        <v>445</v>
      </c>
      <c r="K262" s="1208" t="s">
        <v>958</v>
      </c>
      <c r="L262" s="1208" t="s">
        <v>453</v>
      </c>
      <c r="M262" s="1208" t="s">
        <v>124</v>
      </c>
      <c r="N262" s="1208" t="s">
        <v>981</v>
      </c>
      <c r="O262" s="1210" t="s">
        <v>583</v>
      </c>
      <c r="P262" s="1210">
        <v>90</v>
      </c>
      <c r="Q262" s="1210">
        <v>4</v>
      </c>
      <c r="R262" s="1208" t="s">
        <v>442</v>
      </c>
    </row>
    <row r="263" spans="1:18" hidden="1">
      <c r="A263" s="1211" t="s">
        <v>499</v>
      </c>
      <c r="B263" s="1211" t="s">
        <v>477</v>
      </c>
      <c r="C263" s="1211" t="s">
        <v>982</v>
      </c>
      <c r="D263" s="1211" t="s">
        <v>500</v>
      </c>
      <c r="E263" s="1211" t="s">
        <v>501</v>
      </c>
      <c r="F263" s="1211" t="s">
        <v>957</v>
      </c>
      <c r="G263" s="1211" t="s">
        <v>453</v>
      </c>
      <c r="H263" s="1211" t="s">
        <v>581</v>
      </c>
      <c r="I263" s="1212" t="s">
        <v>981</v>
      </c>
      <c r="J263" s="1211" t="s">
        <v>440</v>
      </c>
      <c r="K263" s="1211" t="s">
        <v>958</v>
      </c>
      <c r="L263" s="1211" t="s">
        <v>124</v>
      </c>
      <c r="M263" s="1211" t="s">
        <v>453</v>
      </c>
      <c r="N263" s="1211" t="s">
        <v>981</v>
      </c>
      <c r="O263" s="1213" t="s">
        <v>546</v>
      </c>
      <c r="P263" s="1213">
        <v>91</v>
      </c>
      <c r="Q263" s="1213">
        <v>4</v>
      </c>
      <c r="R263" s="1211" t="s">
        <v>442</v>
      </c>
    </row>
    <row r="264" spans="1:18" hidden="1">
      <c r="A264" s="1208" t="s">
        <v>499</v>
      </c>
      <c r="B264" s="1208" t="s">
        <v>477</v>
      </c>
      <c r="C264" s="1208" t="s">
        <v>983</v>
      </c>
      <c r="D264" s="1208" t="s">
        <v>500</v>
      </c>
      <c r="E264" s="1208" t="s">
        <v>501</v>
      </c>
      <c r="F264" s="1208" t="s">
        <v>511</v>
      </c>
      <c r="G264" s="1208" t="s">
        <v>453</v>
      </c>
      <c r="H264" s="1208" t="s">
        <v>503</v>
      </c>
      <c r="I264" s="1209" t="s">
        <v>981</v>
      </c>
      <c r="J264" s="1208" t="s">
        <v>445</v>
      </c>
      <c r="K264" s="1208" t="s">
        <v>563</v>
      </c>
      <c r="L264" s="1208" t="s">
        <v>453</v>
      </c>
      <c r="M264" s="1208" t="s">
        <v>124</v>
      </c>
      <c r="N264" s="1208" t="s">
        <v>981</v>
      </c>
      <c r="O264" s="1210" t="s">
        <v>516</v>
      </c>
      <c r="P264" s="1210">
        <v>125</v>
      </c>
      <c r="Q264" s="1210">
        <v>6</v>
      </c>
      <c r="R264" s="1208" t="s">
        <v>442</v>
      </c>
    </row>
    <row r="265" spans="1:18" hidden="1">
      <c r="A265" s="1211" t="s">
        <v>499</v>
      </c>
      <c r="B265" s="1211" t="s">
        <v>477</v>
      </c>
      <c r="C265" s="1211" t="s">
        <v>984</v>
      </c>
      <c r="D265" s="1211" t="s">
        <v>500</v>
      </c>
      <c r="E265" s="1211" t="s">
        <v>501</v>
      </c>
      <c r="F265" s="1211" t="s">
        <v>511</v>
      </c>
      <c r="G265" s="1211" t="s">
        <v>453</v>
      </c>
      <c r="H265" s="1211" t="s">
        <v>503</v>
      </c>
      <c r="I265" s="1212" t="s">
        <v>981</v>
      </c>
      <c r="J265" s="1211" t="s">
        <v>440</v>
      </c>
      <c r="K265" s="1211" t="s">
        <v>563</v>
      </c>
      <c r="L265" s="1211" t="s">
        <v>124</v>
      </c>
      <c r="M265" s="1211" t="s">
        <v>453</v>
      </c>
      <c r="N265" s="1211" t="s">
        <v>981</v>
      </c>
      <c r="O265" s="1213" t="s">
        <v>547</v>
      </c>
      <c r="P265" s="1213">
        <v>132</v>
      </c>
      <c r="Q265" s="1213">
        <v>6</v>
      </c>
      <c r="R265" s="1211" t="s">
        <v>442</v>
      </c>
    </row>
    <row r="266" spans="1:18" hidden="1">
      <c r="A266" s="1208" t="s">
        <v>499</v>
      </c>
      <c r="B266" s="1208" t="s">
        <v>477</v>
      </c>
      <c r="C266" s="1208" t="s">
        <v>985</v>
      </c>
      <c r="D266" s="1208" t="s">
        <v>500</v>
      </c>
      <c r="E266" s="1208" t="s">
        <v>501</v>
      </c>
      <c r="F266" s="1208" t="s">
        <v>517</v>
      </c>
      <c r="G266" s="1208" t="s">
        <v>462</v>
      </c>
      <c r="H266" s="1208" t="s">
        <v>481</v>
      </c>
      <c r="I266" s="1209" t="s">
        <v>981</v>
      </c>
      <c r="J266" s="1208" t="s">
        <v>445</v>
      </c>
      <c r="K266" s="1208" t="s">
        <v>986</v>
      </c>
      <c r="L266" s="1208" t="s">
        <v>462</v>
      </c>
      <c r="M266" s="1208" t="s">
        <v>124</v>
      </c>
      <c r="N266" s="1208" t="s">
        <v>981</v>
      </c>
      <c r="O266" s="1210" t="s">
        <v>521</v>
      </c>
      <c r="P266" s="1210">
        <v>74</v>
      </c>
      <c r="Q266" s="1210">
        <v>7</v>
      </c>
      <c r="R266" s="1208" t="s">
        <v>442</v>
      </c>
    </row>
    <row r="267" spans="1:18" hidden="1">
      <c r="A267" s="1211" t="s">
        <v>499</v>
      </c>
      <c r="B267" s="1211" t="s">
        <v>477</v>
      </c>
      <c r="C267" s="1211" t="s">
        <v>987</v>
      </c>
      <c r="D267" s="1211" t="s">
        <v>500</v>
      </c>
      <c r="E267" s="1211" t="s">
        <v>501</v>
      </c>
      <c r="F267" s="1211" t="s">
        <v>517</v>
      </c>
      <c r="G267" s="1211" t="s">
        <v>462</v>
      </c>
      <c r="H267" s="1211" t="s">
        <v>481</v>
      </c>
      <c r="I267" s="1212" t="s">
        <v>981</v>
      </c>
      <c r="J267" s="1211" t="s">
        <v>440</v>
      </c>
      <c r="K267" s="1211" t="s">
        <v>986</v>
      </c>
      <c r="L267" s="1211" t="s">
        <v>124</v>
      </c>
      <c r="M267" s="1211" t="s">
        <v>462</v>
      </c>
      <c r="N267" s="1211" t="s">
        <v>981</v>
      </c>
      <c r="O267" s="1213" t="s">
        <v>573</v>
      </c>
      <c r="P267" s="1213">
        <v>122</v>
      </c>
      <c r="Q267" s="1213">
        <v>7</v>
      </c>
      <c r="R267" s="1211" t="s">
        <v>442</v>
      </c>
    </row>
    <row r="268" spans="1:18" hidden="1">
      <c r="A268" s="1208" t="s">
        <v>499</v>
      </c>
      <c r="B268" s="1208" t="s">
        <v>477</v>
      </c>
      <c r="C268" s="1208" t="s">
        <v>988</v>
      </c>
      <c r="D268" s="1208" t="s">
        <v>500</v>
      </c>
      <c r="E268" s="1208" t="s">
        <v>501</v>
      </c>
      <c r="F268" s="1208" t="s">
        <v>522</v>
      </c>
      <c r="G268" s="1208" t="s">
        <v>466</v>
      </c>
      <c r="H268" s="1208" t="s">
        <v>508</v>
      </c>
      <c r="I268" s="1209" t="s">
        <v>981</v>
      </c>
      <c r="J268" s="1208" t="s">
        <v>445</v>
      </c>
      <c r="K268" s="1208" t="s">
        <v>523</v>
      </c>
      <c r="L268" s="1208" t="s">
        <v>466</v>
      </c>
      <c r="M268" s="1208" t="s">
        <v>124</v>
      </c>
      <c r="N268" s="1208" t="s">
        <v>981</v>
      </c>
      <c r="O268" s="1210" t="s">
        <v>510</v>
      </c>
      <c r="P268" s="1210">
        <v>52</v>
      </c>
      <c r="Q268" s="1210">
        <v>4</v>
      </c>
      <c r="R268" s="1208" t="s">
        <v>442</v>
      </c>
    </row>
    <row r="269" spans="1:18" hidden="1">
      <c r="A269" s="1211" t="s">
        <v>499</v>
      </c>
      <c r="B269" s="1211" t="s">
        <v>477</v>
      </c>
      <c r="C269" s="1211" t="s">
        <v>989</v>
      </c>
      <c r="D269" s="1211" t="s">
        <v>500</v>
      </c>
      <c r="E269" s="1211" t="s">
        <v>501</v>
      </c>
      <c r="F269" s="1211" t="s">
        <v>522</v>
      </c>
      <c r="G269" s="1211" t="s">
        <v>466</v>
      </c>
      <c r="H269" s="1211" t="s">
        <v>508</v>
      </c>
      <c r="I269" s="1212" t="s">
        <v>981</v>
      </c>
      <c r="J269" s="1211" t="s">
        <v>440</v>
      </c>
      <c r="K269" s="1211" t="s">
        <v>523</v>
      </c>
      <c r="L269" s="1211" t="s">
        <v>124</v>
      </c>
      <c r="M269" s="1211" t="s">
        <v>466</v>
      </c>
      <c r="N269" s="1211" t="s">
        <v>981</v>
      </c>
      <c r="O269" s="1213" t="s">
        <v>512</v>
      </c>
      <c r="P269" s="1213">
        <v>32</v>
      </c>
      <c r="Q269" s="1213">
        <v>4</v>
      </c>
      <c r="R269" s="1211" t="s">
        <v>442</v>
      </c>
    </row>
    <row r="270" spans="1:18" hidden="1">
      <c r="A270" s="1208" t="s">
        <v>499</v>
      </c>
      <c r="B270" s="1208" t="s">
        <v>477</v>
      </c>
      <c r="C270" s="1208" t="s">
        <v>990</v>
      </c>
      <c r="D270" s="1208" t="s">
        <v>500</v>
      </c>
      <c r="E270" s="1208" t="s">
        <v>501</v>
      </c>
      <c r="F270" s="1208" t="s">
        <v>480</v>
      </c>
      <c r="G270" s="1208" t="s">
        <v>447</v>
      </c>
      <c r="H270" s="1208" t="s">
        <v>481</v>
      </c>
      <c r="I270" s="1209" t="s">
        <v>630</v>
      </c>
      <c r="J270" s="1208" t="s">
        <v>445</v>
      </c>
      <c r="K270" s="1208" t="s">
        <v>482</v>
      </c>
      <c r="L270" s="1208" t="s">
        <v>513</v>
      </c>
      <c r="M270" s="1208" t="s">
        <v>124</v>
      </c>
      <c r="N270" s="1208" t="s">
        <v>630</v>
      </c>
      <c r="O270" s="1210" t="s">
        <v>525</v>
      </c>
      <c r="P270" s="1210">
        <v>135</v>
      </c>
      <c r="Q270" s="1210">
        <v>6</v>
      </c>
      <c r="R270" s="1208" t="s">
        <v>442</v>
      </c>
    </row>
    <row r="271" spans="1:18" hidden="1">
      <c r="A271" s="1211" t="s">
        <v>499</v>
      </c>
      <c r="B271" s="1211" t="s">
        <v>477</v>
      </c>
      <c r="C271" s="1211" t="s">
        <v>991</v>
      </c>
      <c r="D271" s="1211" t="s">
        <v>500</v>
      </c>
      <c r="E271" s="1211" t="s">
        <v>501</v>
      </c>
      <c r="F271" s="1211" t="s">
        <v>480</v>
      </c>
      <c r="G271" s="1211" t="s">
        <v>447</v>
      </c>
      <c r="H271" s="1211" t="s">
        <v>481</v>
      </c>
      <c r="I271" s="1212" t="s">
        <v>630</v>
      </c>
      <c r="J271" s="1211" t="s">
        <v>440</v>
      </c>
      <c r="K271" s="1211" t="s">
        <v>482</v>
      </c>
      <c r="L271" s="1211" t="s">
        <v>124</v>
      </c>
      <c r="M271" s="1211" t="s">
        <v>513</v>
      </c>
      <c r="N271" s="1211" t="s">
        <v>630</v>
      </c>
      <c r="O271" s="1213" t="s">
        <v>528</v>
      </c>
      <c r="P271" s="1213">
        <v>78</v>
      </c>
      <c r="Q271" s="1213">
        <v>6</v>
      </c>
      <c r="R271" s="1211" t="s">
        <v>442</v>
      </c>
    </row>
    <row r="272" spans="1:18" hidden="1">
      <c r="A272" s="1208" t="s">
        <v>499</v>
      </c>
      <c r="B272" s="1208" t="s">
        <v>477</v>
      </c>
      <c r="C272" s="1208" t="s">
        <v>992</v>
      </c>
      <c r="D272" s="1208" t="s">
        <v>500</v>
      </c>
      <c r="E272" s="1208" t="s">
        <v>501</v>
      </c>
      <c r="F272" s="1208" t="s">
        <v>511</v>
      </c>
      <c r="G272" s="1208" t="s">
        <v>453</v>
      </c>
      <c r="H272" s="1208" t="s">
        <v>503</v>
      </c>
      <c r="I272" s="1209" t="s">
        <v>630</v>
      </c>
      <c r="J272" s="1208" t="s">
        <v>445</v>
      </c>
      <c r="K272" s="1208" t="s">
        <v>993</v>
      </c>
      <c r="L272" s="1208" t="s">
        <v>453</v>
      </c>
      <c r="M272" s="1208" t="s">
        <v>124</v>
      </c>
      <c r="N272" s="1208" t="s">
        <v>630</v>
      </c>
      <c r="O272" s="1210" t="s">
        <v>586</v>
      </c>
      <c r="P272" s="1210">
        <v>87</v>
      </c>
      <c r="Q272" s="1210">
        <v>6</v>
      </c>
      <c r="R272" s="1208" t="s">
        <v>442</v>
      </c>
    </row>
    <row r="273" spans="1:18" hidden="1">
      <c r="A273" s="1211" t="s">
        <v>499</v>
      </c>
      <c r="B273" s="1211" t="s">
        <v>477</v>
      </c>
      <c r="C273" s="1211" t="s">
        <v>994</v>
      </c>
      <c r="D273" s="1211" t="s">
        <v>500</v>
      </c>
      <c r="E273" s="1211" t="s">
        <v>501</v>
      </c>
      <c r="F273" s="1211" t="s">
        <v>511</v>
      </c>
      <c r="G273" s="1211" t="s">
        <v>453</v>
      </c>
      <c r="H273" s="1211" t="s">
        <v>503</v>
      </c>
      <c r="I273" s="1212" t="s">
        <v>630</v>
      </c>
      <c r="J273" s="1211" t="s">
        <v>440</v>
      </c>
      <c r="K273" s="1211" t="s">
        <v>993</v>
      </c>
      <c r="L273" s="1211" t="s">
        <v>124</v>
      </c>
      <c r="M273" s="1211" t="s">
        <v>453</v>
      </c>
      <c r="N273" s="1211" t="s">
        <v>630</v>
      </c>
      <c r="O273" s="1213" t="s">
        <v>483</v>
      </c>
      <c r="P273" s="1213">
        <v>86</v>
      </c>
      <c r="Q273" s="1213">
        <v>6</v>
      </c>
      <c r="R273" s="1211" t="s">
        <v>442</v>
      </c>
    </row>
    <row r="274" spans="1:18" hidden="1">
      <c r="A274" s="1208" t="s">
        <v>499</v>
      </c>
      <c r="B274" s="1208" t="s">
        <v>477</v>
      </c>
      <c r="C274" s="1208" t="s">
        <v>995</v>
      </c>
      <c r="D274" s="1208" t="s">
        <v>500</v>
      </c>
      <c r="E274" s="1208" t="s">
        <v>501</v>
      </c>
      <c r="F274" s="1208" t="s">
        <v>505</v>
      </c>
      <c r="G274" s="1208" t="s">
        <v>453</v>
      </c>
      <c r="H274" s="1208" t="s">
        <v>581</v>
      </c>
      <c r="I274" s="1209" t="s">
        <v>630</v>
      </c>
      <c r="J274" s="1208" t="s">
        <v>445</v>
      </c>
      <c r="K274" s="1208" t="s">
        <v>694</v>
      </c>
      <c r="L274" s="1208" t="s">
        <v>453</v>
      </c>
      <c r="M274" s="1208" t="s">
        <v>124</v>
      </c>
      <c r="N274" s="1208" t="s">
        <v>630</v>
      </c>
      <c r="O274" s="1210" t="s">
        <v>583</v>
      </c>
      <c r="P274" s="1210">
        <v>73</v>
      </c>
      <c r="Q274" s="1210">
        <v>4</v>
      </c>
      <c r="R274" s="1208" t="s">
        <v>442</v>
      </c>
    </row>
    <row r="275" spans="1:18" hidden="1">
      <c r="A275" s="1211" t="s">
        <v>499</v>
      </c>
      <c r="B275" s="1211" t="s">
        <v>477</v>
      </c>
      <c r="C275" s="1211" t="s">
        <v>996</v>
      </c>
      <c r="D275" s="1211" t="s">
        <v>500</v>
      </c>
      <c r="E275" s="1211" t="s">
        <v>501</v>
      </c>
      <c r="F275" s="1211" t="s">
        <v>505</v>
      </c>
      <c r="G275" s="1211" t="s">
        <v>453</v>
      </c>
      <c r="H275" s="1211" t="s">
        <v>581</v>
      </c>
      <c r="I275" s="1212" t="s">
        <v>630</v>
      </c>
      <c r="J275" s="1211" t="s">
        <v>440</v>
      </c>
      <c r="K275" s="1211" t="s">
        <v>694</v>
      </c>
      <c r="L275" s="1211" t="s">
        <v>124</v>
      </c>
      <c r="M275" s="1211" t="s">
        <v>453</v>
      </c>
      <c r="N275" s="1211" t="s">
        <v>630</v>
      </c>
      <c r="O275" s="1213" t="s">
        <v>546</v>
      </c>
      <c r="P275" s="1213">
        <v>43</v>
      </c>
      <c r="Q275" s="1213">
        <v>4</v>
      </c>
      <c r="R275" s="1211" t="s">
        <v>442</v>
      </c>
    </row>
    <row r="276" spans="1:18" hidden="1">
      <c r="A276" s="1208" t="s">
        <v>499</v>
      </c>
      <c r="B276" s="1208" t="s">
        <v>477</v>
      </c>
      <c r="C276" s="1208" t="s">
        <v>997</v>
      </c>
      <c r="D276" s="1208" t="s">
        <v>500</v>
      </c>
      <c r="E276" s="1208" t="s">
        <v>501</v>
      </c>
      <c r="F276" s="1208" t="s">
        <v>520</v>
      </c>
      <c r="G276" s="1208" t="s">
        <v>441</v>
      </c>
      <c r="H276" s="1208" t="s">
        <v>508</v>
      </c>
      <c r="I276" s="1209" t="s">
        <v>630</v>
      </c>
      <c r="J276" s="1208" t="s">
        <v>445</v>
      </c>
      <c r="K276" s="1208" t="s">
        <v>539</v>
      </c>
      <c r="L276" s="1208" t="s">
        <v>441</v>
      </c>
      <c r="M276" s="1208" t="s">
        <v>124</v>
      </c>
      <c r="N276" s="1208" t="s">
        <v>630</v>
      </c>
      <c r="O276" s="1210" t="s">
        <v>521</v>
      </c>
      <c r="P276" s="1210">
        <v>34</v>
      </c>
      <c r="Q276" s="1210">
        <v>4</v>
      </c>
      <c r="R276" s="1208" t="s">
        <v>442</v>
      </c>
    </row>
    <row r="277" spans="1:18" hidden="1">
      <c r="A277" s="1211" t="s">
        <v>499</v>
      </c>
      <c r="B277" s="1211" t="s">
        <v>477</v>
      </c>
      <c r="C277" s="1211" t="s">
        <v>998</v>
      </c>
      <c r="D277" s="1211" t="s">
        <v>500</v>
      </c>
      <c r="E277" s="1211" t="s">
        <v>501</v>
      </c>
      <c r="F277" s="1211" t="s">
        <v>517</v>
      </c>
      <c r="G277" s="1211" t="s">
        <v>462</v>
      </c>
      <c r="H277" s="1211" t="s">
        <v>481</v>
      </c>
      <c r="I277" s="1212" t="s">
        <v>630</v>
      </c>
      <c r="J277" s="1211" t="s">
        <v>445</v>
      </c>
      <c r="K277" s="1211" t="s">
        <v>986</v>
      </c>
      <c r="L277" s="1211" t="s">
        <v>462</v>
      </c>
      <c r="M277" s="1211" t="s">
        <v>124</v>
      </c>
      <c r="N277" s="1211" t="s">
        <v>630</v>
      </c>
      <c r="O277" s="1213" t="s">
        <v>521</v>
      </c>
      <c r="P277" s="1213">
        <v>165</v>
      </c>
      <c r="Q277" s="1213">
        <v>6</v>
      </c>
      <c r="R277" s="1211" t="s">
        <v>442</v>
      </c>
    </row>
    <row r="278" spans="1:18" hidden="1">
      <c r="A278" s="1208" t="s">
        <v>499</v>
      </c>
      <c r="B278" s="1208" t="s">
        <v>477</v>
      </c>
      <c r="C278" s="1208" t="s">
        <v>999</v>
      </c>
      <c r="D278" s="1208" t="s">
        <v>500</v>
      </c>
      <c r="E278" s="1208" t="s">
        <v>501</v>
      </c>
      <c r="F278" s="1208" t="s">
        <v>517</v>
      </c>
      <c r="G278" s="1208" t="s">
        <v>462</v>
      </c>
      <c r="H278" s="1208" t="s">
        <v>481</v>
      </c>
      <c r="I278" s="1209" t="s">
        <v>630</v>
      </c>
      <c r="J278" s="1208" t="s">
        <v>440</v>
      </c>
      <c r="K278" s="1208" t="s">
        <v>986</v>
      </c>
      <c r="L278" s="1208" t="s">
        <v>124</v>
      </c>
      <c r="M278" s="1208" t="s">
        <v>462</v>
      </c>
      <c r="N278" s="1208" t="s">
        <v>630</v>
      </c>
      <c r="O278" s="1210" t="s">
        <v>573</v>
      </c>
      <c r="P278" s="1210">
        <v>86</v>
      </c>
      <c r="Q278" s="1210">
        <v>6</v>
      </c>
      <c r="R278" s="1208" t="s">
        <v>442</v>
      </c>
    </row>
    <row r="279" spans="1:18" hidden="1">
      <c r="A279" s="1211" t="s">
        <v>499</v>
      </c>
      <c r="B279" s="1211" t="s">
        <v>477</v>
      </c>
      <c r="C279" s="1211" t="s">
        <v>1000</v>
      </c>
      <c r="D279" s="1211" t="s">
        <v>500</v>
      </c>
      <c r="E279" s="1211" t="s">
        <v>501</v>
      </c>
      <c r="F279" s="1211" t="s">
        <v>520</v>
      </c>
      <c r="G279" s="1211" t="s">
        <v>441</v>
      </c>
      <c r="H279" s="1211" t="s">
        <v>508</v>
      </c>
      <c r="I279" s="1212" t="s">
        <v>630</v>
      </c>
      <c r="J279" s="1211" t="s">
        <v>440</v>
      </c>
      <c r="K279" s="1211" t="s">
        <v>539</v>
      </c>
      <c r="L279" s="1211" t="s">
        <v>124</v>
      </c>
      <c r="M279" s="1211" t="s">
        <v>441</v>
      </c>
      <c r="N279" s="1211" t="s">
        <v>630</v>
      </c>
      <c r="O279" s="1213" t="s">
        <v>495</v>
      </c>
      <c r="P279" s="1213">
        <v>64</v>
      </c>
      <c r="Q279" s="1213">
        <v>4</v>
      </c>
      <c r="R279" s="1211" t="s">
        <v>442</v>
      </c>
    </row>
    <row r="280" spans="1:18" hidden="1">
      <c r="A280" s="1208" t="s">
        <v>499</v>
      </c>
      <c r="B280" s="1208" t="s">
        <v>477</v>
      </c>
      <c r="C280" s="1208" t="s">
        <v>1001</v>
      </c>
      <c r="D280" s="1208" t="s">
        <v>500</v>
      </c>
      <c r="E280" s="1208" t="s">
        <v>501</v>
      </c>
      <c r="F280" s="1208" t="s">
        <v>522</v>
      </c>
      <c r="G280" s="1208" t="s">
        <v>466</v>
      </c>
      <c r="H280" s="1208" t="s">
        <v>508</v>
      </c>
      <c r="I280" s="1209" t="s">
        <v>630</v>
      </c>
      <c r="J280" s="1208" t="s">
        <v>445</v>
      </c>
      <c r="K280" s="1208" t="s">
        <v>523</v>
      </c>
      <c r="L280" s="1208" t="s">
        <v>466</v>
      </c>
      <c r="M280" s="1208" t="s">
        <v>124</v>
      </c>
      <c r="N280" s="1208" t="s">
        <v>630</v>
      </c>
      <c r="O280" s="1210" t="s">
        <v>510</v>
      </c>
      <c r="P280" s="1210">
        <v>37</v>
      </c>
      <c r="Q280" s="1210">
        <v>5</v>
      </c>
      <c r="R280" s="1208" t="s">
        <v>442</v>
      </c>
    </row>
    <row r="281" spans="1:18" hidden="1">
      <c r="A281" s="1211" t="s">
        <v>499</v>
      </c>
      <c r="B281" s="1211" t="s">
        <v>477</v>
      </c>
      <c r="C281" s="1211" t="s">
        <v>1002</v>
      </c>
      <c r="D281" s="1211" t="s">
        <v>500</v>
      </c>
      <c r="E281" s="1211" t="s">
        <v>501</v>
      </c>
      <c r="F281" s="1211" t="s">
        <v>522</v>
      </c>
      <c r="G281" s="1211" t="s">
        <v>466</v>
      </c>
      <c r="H281" s="1211" t="s">
        <v>508</v>
      </c>
      <c r="I281" s="1212" t="s">
        <v>630</v>
      </c>
      <c r="J281" s="1211" t="s">
        <v>440</v>
      </c>
      <c r="K281" s="1211" t="s">
        <v>523</v>
      </c>
      <c r="L281" s="1211" t="s">
        <v>124</v>
      </c>
      <c r="M281" s="1211" t="s">
        <v>466</v>
      </c>
      <c r="N281" s="1211" t="s">
        <v>630</v>
      </c>
      <c r="O281" s="1213" t="s">
        <v>512</v>
      </c>
      <c r="P281" s="1213">
        <v>41</v>
      </c>
      <c r="Q281" s="1213">
        <v>5</v>
      </c>
      <c r="R281" s="1211" t="s">
        <v>442</v>
      </c>
    </row>
    <row r="282" spans="1:18" hidden="1">
      <c r="A282" s="1208" t="s">
        <v>499</v>
      </c>
      <c r="B282" s="1208" t="s">
        <v>477</v>
      </c>
      <c r="C282" s="1208" t="s">
        <v>1003</v>
      </c>
      <c r="D282" s="1208" t="s">
        <v>500</v>
      </c>
      <c r="E282" s="1208" t="s">
        <v>501</v>
      </c>
      <c r="F282" s="1208" t="s">
        <v>850</v>
      </c>
      <c r="G282" s="1208" t="s">
        <v>851</v>
      </c>
      <c r="H282" s="1208" t="s">
        <v>530</v>
      </c>
      <c r="I282" s="1209" t="s">
        <v>1004</v>
      </c>
      <c r="J282" s="1208" t="s">
        <v>445</v>
      </c>
      <c r="K282" s="1208" t="s">
        <v>852</v>
      </c>
      <c r="L282" s="1208" t="s">
        <v>447</v>
      </c>
      <c r="M282" s="1208" t="s">
        <v>124</v>
      </c>
      <c r="N282" s="1208" t="s">
        <v>1004</v>
      </c>
      <c r="O282" s="1210" t="s">
        <v>580</v>
      </c>
      <c r="P282" s="1210">
        <v>0</v>
      </c>
      <c r="Q282" s="1210">
        <v>4</v>
      </c>
      <c r="R282" s="1208" t="s">
        <v>442</v>
      </c>
    </row>
    <row r="283" spans="1:18" hidden="1">
      <c r="A283" s="1211" t="s">
        <v>499</v>
      </c>
      <c r="B283" s="1211" t="s">
        <v>477</v>
      </c>
      <c r="C283" s="1211" t="s">
        <v>1005</v>
      </c>
      <c r="D283" s="1211" t="s">
        <v>500</v>
      </c>
      <c r="E283" s="1211" t="s">
        <v>501</v>
      </c>
      <c r="F283" s="1211" t="s">
        <v>850</v>
      </c>
      <c r="G283" s="1211" t="s">
        <v>851</v>
      </c>
      <c r="H283" s="1211" t="s">
        <v>530</v>
      </c>
      <c r="I283" s="1212" t="s">
        <v>1004</v>
      </c>
      <c r="J283" s="1211" t="s">
        <v>440</v>
      </c>
      <c r="K283" s="1211" t="s">
        <v>852</v>
      </c>
      <c r="L283" s="1211" t="s">
        <v>124</v>
      </c>
      <c r="M283" s="1211" t="s">
        <v>550</v>
      </c>
      <c r="N283" s="1211" t="s">
        <v>1004</v>
      </c>
      <c r="O283" s="1213" t="s">
        <v>1006</v>
      </c>
      <c r="P283" s="1213">
        <v>0</v>
      </c>
      <c r="Q283" s="1213">
        <v>4</v>
      </c>
      <c r="R283" s="1211" t="s">
        <v>442</v>
      </c>
    </row>
    <row r="284" spans="1:18" hidden="1">
      <c r="A284" s="1208" t="s">
        <v>499</v>
      </c>
      <c r="B284" s="1208" t="s">
        <v>477</v>
      </c>
      <c r="C284" s="1208" t="s">
        <v>1007</v>
      </c>
      <c r="D284" s="1208" t="s">
        <v>500</v>
      </c>
      <c r="E284" s="1208" t="s">
        <v>501</v>
      </c>
      <c r="F284" s="1208" t="s">
        <v>522</v>
      </c>
      <c r="G284" s="1208" t="s">
        <v>466</v>
      </c>
      <c r="H284" s="1208" t="s">
        <v>503</v>
      </c>
      <c r="I284" s="1209" t="s">
        <v>1004</v>
      </c>
      <c r="J284" s="1208" t="s">
        <v>445</v>
      </c>
      <c r="K284" s="1208" t="s">
        <v>532</v>
      </c>
      <c r="L284" s="1208" t="s">
        <v>466</v>
      </c>
      <c r="M284" s="1208" t="s">
        <v>124</v>
      </c>
      <c r="N284" s="1208" t="s">
        <v>1004</v>
      </c>
      <c r="O284" s="1210" t="s">
        <v>515</v>
      </c>
      <c r="P284" s="1210">
        <v>153</v>
      </c>
      <c r="Q284" s="1210">
        <v>8</v>
      </c>
      <c r="R284" s="1208" t="s">
        <v>442</v>
      </c>
    </row>
    <row r="285" spans="1:18" hidden="1">
      <c r="A285" s="1211" t="s">
        <v>499</v>
      </c>
      <c r="B285" s="1211" t="s">
        <v>477</v>
      </c>
      <c r="C285" s="1211" t="s">
        <v>1008</v>
      </c>
      <c r="D285" s="1211" t="s">
        <v>500</v>
      </c>
      <c r="E285" s="1211" t="s">
        <v>501</v>
      </c>
      <c r="F285" s="1211" t="s">
        <v>522</v>
      </c>
      <c r="G285" s="1211" t="s">
        <v>466</v>
      </c>
      <c r="H285" s="1211" t="s">
        <v>503</v>
      </c>
      <c r="I285" s="1212" t="s">
        <v>1004</v>
      </c>
      <c r="J285" s="1211" t="s">
        <v>440</v>
      </c>
      <c r="K285" s="1211" t="s">
        <v>532</v>
      </c>
      <c r="L285" s="1211" t="s">
        <v>124</v>
      </c>
      <c r="M285" s="1211" t="s">
        <v>466</v>
      </c>
      <c r="N285" s="1211" t="s">
        <v>1004</v>
      </c>
      <c r="O285" s="1213" t="s">
        <v>516</v>
      </c>
      <c r="P285" s="1213">
        <v>87</v>
      </c>
      <c r="Q285" s="1213">
        <v>8</v>
      </c>
      <c r="R285" s="1211" t="s">
        <v>442</v>
      </c>
    </row>
    <row r="286" spans="1:18" hidden="1">
      <c r="A286" s="1208" t="s">
        <v>499</v>
      </c>
      <c r="B286" s="1208" t="s">
        <v>477</v>
      </c>
      <c r="C286" s="1208" t="s">
        <v>1009</v>
      </c>
      <c r="D286" s="1208" t="s">
        <v>500</v>
      </c>
      <c r="E286" s="1208" t="s">
        <v>501</v>
      </c>
      <c r="F286" s="1208" t="s">
        <v>511</v>
      </c>
      <c r="G286" s="1208" t="s">
        <v>453</v>
      </c>
      <c r="H286" s="1208" t="s">
        <v>503</v>
      </c>
      <c r="I286" s="1209" t="s">
        <v>1004</v>
      </c>
      <c r="J286" s="1208" t="s">
        <v>445</v>
      </c>
      <c r="K286" s="1208" t="s">
        <v>576</v>
      </c>
      <c r="L286" s="1208" t="s">
        <v>453</v>
      </c>
      <c r="M286" s="1208" t="s">
        <v>124</v>
      </c>
      <c r="N286" s="1208" t="s">
        <v>1004</v>
      </c>
      <c r="O286" s="1210" t="s">
        <v>586</v>
      </c>
      <c r="P286" s="1210">
        <v>145</v>
      </c>
      <c r="Q286" s="1210">
        <v>6</v>
      </c>
      <c r="R286" s="1208" t="s">
        <v>442</v>
      </c>
    </row>
    <row r="287" spans="1:18" hidden="1">
      <c r="A287" s="1211" t="s">
        <v>499</v>
      </c>
      <c r="B287" s="1211" t="s">
        <v>477</v>
      </c>
      <c r="C287" s="1211" t="s">
        <v>1010</v>
      </c>
      <c r="D287" s="1211" t="s">
        <v>500</v>
      </c>
      <c r="E287" s="1211" t="s">
        <v>501</v>
      </c>
      <c r="F287" s="1211" t="s">
        <v>505</v>
      </c>
      <c r="G287" s="1211" t="s">
        <v>453</v>
      </c>
      <c r="H287" s="1211" t="s">
        <v>581</v>
      </c>
      <c r="I287" s="1212" t="s">
        <v>1004</v>
      </c>
      <c r="J287" s="1211" t="s">
        <v>445</v>
      </c>
      <c r="K287" s="1211" t="s">
        <v>796</v>
      </c>
      <c r="L287" s="1211" t="s">
        <v>453</v>
      </c>
      <c r="M287" s="1211" t="s">
        <v>124</v>
      </c>
      <c r="N287" s="1211" t="s">
        <v>1004</v>
      </c>
      <c r="O287" s="1213" t="s">
        <v>583</v>
      </c>
      <c r="P287" s="1213">
        <v>80</v>
      </c>
      <c r="Q287" s="1213">
        <v>4</v>
      </c>
      <c r="R287" s="1211" t="s">
        <v>442</v>
      </c>
    </row>
    <row r="288" spans="1:18" hidden="1">
      <c r="A288" s="1208" t="s">
        <v>499</v>
      </c>
      <c r="B288" s="1208" t="s">
        <v>477</v>
      </c>
      <c r="C288" s="1208" t="s">
        <v>1011</v>
      </c>
      <c r="D288" s="1208" t="s">
        <v>500</v>
      </c>
      <c r="E288" s="1208" t="s">
        <v>501</v>
      </c>
      <c r="F288" s="1208" t="s">
        <v>505</v>
      </c>
      <c r="G288" s="1208" t="s">
        <v>453</v>
      </c>
      <c r="H288" s="1208" t="s">
        <v>581</v>
      </c>
      <c r="I288" s="1209" t="s">
        <v>1004</v>
      </c>
      <c r="J288" s="1208" t="s">
        <v>440</v>
      </c>
      <c r="K288" s="1208" t="s">
        <v>796</v>
      </c>
      <c r="L288" s="1208" t="s">
        <v>124</v>
      </c>
      <c r="M288" s="1208" t="s">
        <v>453</v>
      </c>
      <c r="N288" s="1208" t="s">
        <v>1004</v>
      </c>
      <c r="O288" s="1210" t="s">
        <v>546</v>
      </c>
      <c r="P288" s="1210">
        <v>83</v>
      </c>
      <c r="Q288" s="1210">
        <v>4</v>
      </c>
      <c r="R288" s="1208" t="s">
        <v>442</v>
      </c>
    </row>
    <row r="289" spans="1:18" hidden="1">
      <c r="A289" s="1211" t="s">
        <v>499</v>
      </c>
      <c r="B289" s="1211" t="s">
        <v>477</v>
      </c>
      <c r="C289" s="1211" t="s">
        <v>1012</v>
      </c>
      <c r="D289" s="1211" t="s">
        <v>500</v>
      </c>
      <c r="E289" s="1211" t="s">
        <v>501</v>
      </c>
      <c r="F289" s="1211" t="s">
        <v>511</v>
      </c>
      <c r="G289" s="1211" t="s">
        <v>453</v>
      </c>
      <c r="H289" s="1211" t="s">
        <v>503</v>
      </c>
      <c r="I289" s="1212" t="s">
        <v>1004</v>
      </c>
      <c r="J289" s="1211" t="s">
        <v>440</v>
      </c>
      <c r="K289" s="1211" t="s">
        <v>576</v>
      </c>
      <c r="L289" s="1211" t="s">
        <v>124</v>
      </c>
      <c r="M289" s="1211" t="s">
        <v>453</v>
      </c>
      <c r="N289" s="1211" t="s">
        <v>1004</v>
      </c>
      <c r="O289" s="1213" t="s">
        <v>483</v>
      </c>
      <c r="P289" s="1213">
        <v>99</v>
      </c>
      <c r="Q289" s="1213">
        <v>6</v>
      </c>
      <c r="R289" s="1211" t="s">
        <v>442</v>
      </c>
    </row>
    <row r="290" spans="1:18" hidden="1">
      <c r="A290" s="1208" t="s">
        <v>499</v>
      </c>
      <c r="B290" s="1208" t="s">
        <v>477</v>
      </c>
      <c r="C290" s="1208" t="s">
        <v>1013</v>
      </c>
      <c r="D290" s="1208" t="s">
        <v>500</v>
      </c>
      <c r="E290" s="1208" t="s">
        <v>501</v>
      </c>
      <c r="F290" s="1208" t="s">
        <v>502</v>
      </c>
      <c r="G290" s="1208" t="s">
        <v>467</v>
      </c>
      <c r="H290" s="1208" t="s">
        <v>503</v>
      </c>
      <c r="I290" s="1209" t="s">
        <v>633</v>
      </c>
      <c r="J290" s="1208" t="s">
        <v>445</v>
      </c>
      <c r="K290" s="1208" t="s">
        <v>744</v>
      </c>
      <c r="L290" s="1208" t="s">
        <v>447</v>
      </c>
      <c r="M290" s="1208" t="s">
        <v>124</v>
      </c>
      <c r="N290" s="1208" t="s">
        <v>633</v>
      </c>
      <c r="O290" s="1210" t="s">
        <v>495</v>
      </c>
      <c r="P290" s="1210">
        <v>100</v>
      </c>
      <c r="Q290" s="1210">
        <v>8</v>
      </c>
      <c r="R290" s="1208" t="s">
        <v>442</v>
      </c>
    </row>
    <row r="291" spans="1:18" hidden="1">
      <c r="A291" s="1211" t="s">
        <v>499</v>
      </c>
      <c r="B291" s="1211" t="s">
        <v>477</v>
      </c>
      <c r="C291" s="1211" t="s">
        <v>1014</v>
      </c>
      <c r="D291" s="1211" t="s">
        <v>500</v>
      </c>
      <c r="E291" s="1211" t="s">
        <v>501</v>
      </c>
      <c r="F291" s="1211" t="s">
        <v>522</v>
      </c>
      <c r="G291" s="1211" t="s">
        <v>466</v>
      </c>
      <c r="H291" s="1211" t="s">
        <v>508</v>
      </c>
      <c r="I291" s="1212" t="s">
        <v>633</v>
      </c>
      <c r="J291" s="1211" t="s">
        <v>445</v>
      </c>
      <c r="K291" s="1211" t="s">
        <v>533</v>
      </c>
      <c r="L291" s="1211" t="s">
        <v>466</v>
      </c>
      <c r="M291" s="1211" t="s">
        <v>124</v>
      </c>
      <c r="N291" s="1211" t="s">
        <v>633</v>
      </c>
      <c r="O291" s="1213" t="s">
        <v>510</v>
      </c>
      <c r="P291" s="1213">
        <v>55</v>
      </c>
      <c r="Q291" s="1213">
        <v>4</v>
      </c>
      <c r="R291" s="1211" t="s">
        <v>442</v>
      </c>
    </row>
    <row r="292" spans="1:18" hidden="1">
      <c r="A292" s="1208" t="s">
        <v>499</v>
      </c>
      <c r="B292" s="1208" t="s">
        <v>477</v>
      </c>
      <c r="C292" s="1208" t="s">
        <v>1015</v>
      </c>
      <c r="D292" s="1208" t="s">
        <v>500</v>
      </c>
      <c r="E292" s="1208" t="s">
        <v>501</v>
      </c>
      <c r="F292" s="1208" t="s">
        <v>522</v>
      </c>
      <c r="G292" s="1208" t="s">
        <v>466</v>
      </c>
      <c r="H292" s="1208" t="s">
        <v>508</v>
      </c>
      <c r="I292" s="1209" t="s">
        <v>633</v>
      </c>
      <c r="J292" s="1208" t="s">
        <v>440</v>
      </c>
      <c r="K292" s="1208" t="s">
        <v>533</v>
      </c>
      <c r="L292" s="1208" t="s">
        <v>124</v>
      </c>
      <c r="M292" s="1208" t="s">
        <v>466</v>
      </c>
      <c r="N292" s="1208" t="s">
        <v>633</v>
      </c>
      <c r="O292" s="1210" t="s">
        <v>512</v>
      </c>
      <c r="P292" s="1210">
        <v>57</v>
      </c>
      <c r="Q292" s="1210">
        <v>4</v>
      </c>
      <c r="R292" s="1208" t="s">
        <v>442</v>
      </c>
    </row>
    <row r="293" spans="1:18" hidden="1">
      <c r="A293" s="1211" t="s">
        <v>499</v>
      </c>
      <c r="B293" s="1211" t="s">
        <v>477</v>
      </c>
      <c r="C293" s="1211" t="s">
        <v>1016</v>
      </c>
      <c r="D293" s="1211" t="s">
        <v>500</v>
      </c>
      <c r="E293" s="1211" t="s">
        <v>501</v>
      </c>
      <c r="F293" s="1211" t="s">
        <v>511</v>
      </c>
      <c r="G293" s="1211" t="s">
        <v>453</v>
      </c>
      <c r="H293" s="1211" t="s">
        <v>503</v>
      </c>
      <c r="I293" s="1212" t="s">
        <v>633</v>
      </c>
      <c r="J293" s="1211" t="s">
        <v>445</v>
      </c>
      <c r="K293" s="1211" t="s">
        <v>1017</v>
      </c>
      <c r="L293" s="1211" t="s">
        <v>453</v>
      </c>
      <c r="M293" s="1211" t="s">
        <v>124</v>
      </c>
      <c r="N293" s="1211" t="s">
        <v>633</v>
      </c>
      <c r="O293" s="1213" t="s">
        <v>496</v>
      </c>
      <c r="P293" s="1213">
        <v>132</v>
      </c>
      <c r="Q293" s="1213">
        <v>6</v>
      </c>
      <c r="R293" s="1211" t="s">
        <v>442</v>
      </c>
    </row>
    <row r="294" spans="1:18" hidden="1">
      <c r="A294" s="1208" t="s">
        <v>499</v>
      </c>
      <c r="B294" s="1208" t="s">
        <v>477</v>
      </c>
      <c r="C294" s="1208" t="s">
        <v>1018</v>
      </c>
      <c r="D294" s="1208" t="s">
        <v>500</v>
      </c>
      <c r="E294" s="1208" t="s">
        <v>501</v>
      </c>
      <c r="F294" s="1208" t="s">
        <v>511</v>
      </c>
      <c r="G294" s="1208" t="s">
        <v>453</v>
      </c>
      <c r="H294" s="1208" t="s">
        <v>503</v>
      </c>
      <c r="I294" s="1209" t="s">
        <v>633</v>
      </c>
      <c r="J294" s="1208" t="s">
        <v>440</v>
      </c>
      <c r="K294" s="1208" t="s">
        <v>1017</v>
      </c>
      <c r="L294" s="1208" t="s">
        <v>124</v>
      </c>
      <c r="M294" s="1208" t="s">
        <v>453</v>
      </c>
      <c r="N294" s="1208" t="s">
        <v>633</v>
      </c>
      <c r="O294" s="1210" t="s">
        <v>543</v>
      </c>
      <c r="P294" s="1210">
        <v>68</v>
      </c>
      <c r="Q294" s="1210">
        <v>6</v>
      </c>
      <c r="R294" s="1208" t="s">
        <v>442</v>
      </c>
    </row>
    <row r="295" spans="1:18" hidden="1">
      <c r="A295" s="1211" t="s">
        <v>499</v>
      </c>
      <c r="B295" s="1211" t="s">
        <v>477</v>
      </c>
      <c r="C295" s="1211" t="s">
        <v>1019</v>
      </c>
      <c r="D295" s="1211" t="s">
        <v>500</v>
      </c>
      <c r="E295" s="1211" t="s">
        <v>501</v>
      </c>
      <c r="F295" s="1211" t="s">
        <v>502</v>
      </c>
      <c r="G295" s="1211" t="s">
        <v>467</v>
      </c>
      <c r="H295" s="1211" t="s">
        <v>503</v>
      </c>
      <c r="I295" s="1212" t="s">
        <v>638</v>
      </c>
      <c r="J295" s="1211" t="s">
        <v>440</v>
      </c>
      <c r="K295" s="1211" t="s">
        <v>744</v>
      </c>
      <c r="L295" s="1211" t="s">
        <v>124</v>
      </c>
      <c r="M295" s="1211" t="s">
        <v>447</v>
      </c>
      <c r="N295" s="1211" t="s">
        <v>638</v>
      </c>
      <c r="O295" s="1213" t="s">
        <v>504</v>
      </c>
      <c r="P295" s="1213">
        <v>97</v>
      </c>
      <c r="Q295" s="1213">
        <v>8</v>
      </c>
      <c r="R295" s="1211" t="s">
        <v>442</v>
      </c>
    </row>
    <row r="296" spans="1:18" hidden="1">
      <c r="A296" s="1208" t="s">
        <v>499</v>
      </c>
      <c r="B296" s="1208" t="s">
        <v>477</v>
      </c>
      <c r="C296" s="1208" t="s">
        <v>1020</v>
      </c>
      <c r="D296" s="1208" t="s">
        <v>500</v>
      </c>
      <c r="E296" s="1208" t="s">
        <v>501</v>
      </c>
      <c r="F296" s="1208" t="s">
        <v>505</v>
      </c>
      <c r="G296" s="1208" t="s">
        <v>453</v>
      </c>
      <c r="H296" s="1208" t="s">
        <v>581</v>
      </c>
      <c r="I296" s="1209" t="s">
        <v>638</v>
      </c>
      <c r="J296" s="1208" t="s">
        <v>445</v>
      </c>
      <c r="K296" s="1208" t="s">
        <v>796</v>
      </c>
      <c r="L296" s="1208" t="s">
        <v>453</v>
      </c>
      <c r="M296" s="1208" t="s">
        <v>124</v>
      </c>
      <c r="N296" s="1208" t="s">
        <v>638</v>
      </c>
      <c r="O296" s="1210" t="s">
        <v>583</v>
      </c>
      <c r="P296" s="1210">
        <v>92</v>
      </c>
      <c r="Q296" s="1210">
        <v>4</v>
      </c>
      <c r="R296" s="1208" t="s">
        <v>442</v>
      </c>
    </row>
    <row r="297" spans="1:18" hidden="1">
      <c r="A297" s="1211" t="s">
        <v>499</v>
      </c>
      <c r="B297" s="1211" t="s">
        <v>477</v>
      </c>
      <c r="C297" s="1211" t="s">
        <v>1021</v>
      </c>
      <c r="D297" s="1211" t="s">
        <v>500</v>
      </c>
      <c r="E297" s="1211" t="s">
        <v>501</v>
      </c>
      <c r="F297" s="1211" t="s">
        <v>505</v>
      </c>
      <c r="G297" s="1211" t="s">
        <v>453</v>
      </c>
      <c r="H297" s="1211" t="s">
        <v>581</v>
      </c>
      <c r="I297" s="1212" t="s">
        <v>638</v>
      </c>
      <c r="J297" s="1211" t="s">
        <v>440</v>
      </c>
      <c r="K297" s="1211" t="s">
        <v>796</v>
      </c>
      <c r="L297" s="1211" t="s">
        <v>124</v>
      </c>
      <c r="M297" s="1211" t="s">
        <v>453</v>
      </c>
      <c r="N297" s="1211" t="s">
        <v>638</v>
      </c>
      <c r="O297" s="1213" t="s">
        <v>546</v>
      </c>
      <c r="P297" s="1213">
        <v>99</v>
      </c>
      <c r="Q297" s="1213">
        <v>4</v>
      </c>
      <c r="R297" s="1211" t="s">
        <v>442</v>
      </c>
    </row>
    <row r="298" spans="1:18" hidden="1">
      <c r="A298" s="1208" t="s">
        <v>499</v>
      </c>
      <c r="B298" s="1208" t="s">
        <v>477</v>
      </c>
      <c r="C298" s="1208" t="s">
        <v>1022</v>
      </c>
      <c r="D298" s="1208" t="s">
        <v>500</v>
      </c>
      <c r="E298" s="1208" t="s">
        <v>501</v>
      </c>
      <c r="F298" s="1208" t="s">
        <v>505</v>
      </c>
      <c r="G298" s="1208" t="s">
        <v>453</v>
      </c>
      <c r="H298" s="1208" t="s">
        <v>581</v>
      </c>
      <c r="I298" s="1209" t="s">
        <v>638</v>
      </c>
      <c r="J298" s="1208" t="s">
        <v>445</v>
      </c>
      <c r="K298" s="1208" t="s">
        <v>694</v>
      </c>
      <c r="L298" s="1208" t="s">
        <v>453</v>
      </c>
      <c r="M298" s="1208" t="s">
        <v>124</v>
      </c>
      <c r="N298" s="1208" t="s">
        <v>638</v>
      </c>
      <c r="O298" s="1210" t="s">
        <v>741</v>
      </c>
      <c r="P298" s="1210">
        <v>50</v>
      </c>
      <c r="Q298" s="1210">
        <v>4</v>
      </c>
      <c r="R298" s="1208" t="s">
        <v>442</v>
      </c>
    </row>
    <row r="299" spans="1:18" hidden="1">
      <c r="A299" s="1211" t="s">
        <v>499</v>
      </c>
      <c r="B299" s="1211" t="s">
        <v>477</v>
      </c>
      <c r="C299" s="1211" t="s">
        <v>1023</v>
      </c>
      <c r="D299" s="1211" t="s">
        <v>500</v>
      </c>
      <c r="E299" s="1211" t="s">
        <v>501</v>
      </c>
      <c r="F299" s="1211" t="s">
        <v>522</v>
      </c>
      <c r="G299" s="1211" t="s">
        <v>466</v>
      </c>
      <c r="H299" s="1211" t="s">
        <v>508</v>
      </c>
      <c r="I299" s="1212" t="s">
        <v>638</v>
      </c>
      <c r="J299" s="1211" t="s">
        <v>445</v>
      </c>
      <c r="K299" s="1211" t="s">
        <v>523</v>
      </c>
      <c r="L299" s="1211" t="s">
        <v>466</v>
      </c>
      <c r="M299" s="1211" t="s">
        <v>124</v>
      </c>
      <c r="N299" s="1211" t="s">
        <v>638</v>
      </c>
      <c r="O299" s="1213" t="s">
        <v>510</v>
      </c>
      <c r="P299" s="1213">
        <v>56</v>
      </c>
      <c r="Q299" s="1213">
        <v>4</v>
      </c>
      <c r="R299" s="1211" t="s">
        <v>442</v>
      </c>
    </row>
    <row r="300" spans="1:18" hidden="1">
      <c r="A300" s="1208" t="s">
        <v>499</v>
      </c>
      <c r="B300" s="1208" t="s">
        <v>477</v>
      </c>
      <c r="C300" s="1208" t="s">
        <v>1024</v>
      </c>
      <c r="D300" s="1208" t="s">
        <v>500</v>
      </c>
      <c r="E300" s="1208" t="s">
        <v>501</v>
      </c>
      <c r="F300" s="1208" t="s">
        <v>505</v>
      </c>
      <c r="G300" s="1208" t="s">
        <v>453</v>
      </c>
      <c r="H300" s="1208" t="s">
        <v>581</v>
      </c>
      <c r="I300" s="1209" t="s">
        <v>638</v>
      </c>
      <c r="J300" s="1208" t="s">
        <v>440</v>
      </c>
      <c r="K300" s="1208" t="s">
        <v>694</v>
      </c>
      <c r="L300" s="1208" t="s">
        <v>124</v>
      </c>
      <c r="M300" s="1208" t="s">
        <v>453</v>
      </c>
      <c r="N300" s="1208" t="s">
        <v>638</v>
      </c>
      <c r="O300" s="1210" t="s">
        <v>512</v>
      </c>
      <c r="P300" s="1210">
        <v>64</v>
      </c>
      <c r="Q300" s="1210">
        <v>4</v>
      </c>
      <c r="R300" s="1208" t="s">
        <v>442</v>
      </c>
    </row>
    <row r="301" spans="1:18" hidden="1">
      <c r="A301" s="1211" t="s">
        <v>499</v>
      </c>
      <c r="B301" s="1211" t="s">
        <v>477</v>
      </c>
      <c r="C301" s="1211" t="s">
        <v>1025</v>
      </c>
      <c r="D301" s="1211" t="s">
        <v>500</v>
      </c>
      <c r="E301" s="1211" t="s">
        <v>501</v>
      </c>
      <c r="F301" s="1211" t="s">
        <v>522</v>
      </c>
      <c r="G301" s="1211" t="s">
        <v>466</v>
      </c>
      <c r="H301" s="1211" t="s">
        <v>508</v>
      </c>
      <c r="I301" s="1212" t="s">
        <v>638</v>
      </c>
      <c r="J301" s="1211" t="s">
        <v>440</v>
      </c>
      <c r="K301" s="1211" t="s">
        <v>523</v>
      </c>
      <c r="L301" s="1211" t="s">
        <v>124</v>
      </c>
      <c r="M301" s="1211" t="s">
        <v>466</v>
      </c>
      <c r="N301" s="1211" t="s">
        <v>638</v>
      </c>
      <c r="O301" s="1213" t="s">
        <v>512</v>
      </c>
      <c r="P301" s="1213">
        <v>50</v>
      </c>
      <c r="Q301" s="1213">
        <v>4</v>
      </c>
      <c r="R301" s="1211" t="s">
        <v>442</v>
      </c>
    </row>
    <row r="302" spans="1:18" hidden="1">
      <c r="A302" s="1208" t="s">
        <v>499</v>
      </c>
      <c r="B302" s="1208" t="s">
        <v>477</v>
      </c>
      <c r="C302" s="1208" t="s">
        <v>1026</v>
      </c>
      <c r="D302" s="1208" t="s">
        <v>500</v>
      </c>
      <c r="E302" s="1208" t="s">
        <v>501</v>
      </c>
      <c r="F302" s="1208" t="s">
        <v>1027</v>
      </c>
      <c r="G302" s="1208" t="s">
        <v>747</v>
      </c>
      <c r="H302" s="1208" t="s">
        <v>508</v>
      </c>
      <c r="I302" s="1209" t="s">
        <v>638</v>
      </c>
      <c r="J302" s="1208" t="s">
        <v>445</v>
      </c>
      <c r="K302" s="1208" t="s">
        <v>1028</v>
      </c>
      <c r="L302" s="1208" t="s">
        <v>752</v>
      </c>
      <c r="M302" s="1208" t="s">
        <v>124</v>
      </c>
      <c r="N302" s="1208" t="s">
        <v>638</v>
      </c>
      <c r="O302" s="1210" t="s">
        <v>663</v>
      </c>
      <c r="P302" s="1210">
        <v>0</v>
      </c>
      <c r="Q302" s="1210">
        <v>3</v>
      </c>
      <c r="R302" s="1208" t="s">
        <v>442</v>
      </c>
    </row>
    <row r="303" spans="1:18" hidden="1">
      <c r="A303" s="1211" t="s">
        <v>499</v>
      </c>
      <c r="B303" s="1211" t="s">
        <v>477</v>
      </c>
      <c r="C303" s="1211" t="s">
        <v>1029</v>
      </c>
      <c r="D303" s="1211" t="s">
        <v>500</v>
      </c>
      <c r="E303" s="1211" t="s">
        <v>501</v>
      </c>
      <c r="F303" s="1211" t="s">
        <v>517</v>
      </c>
      <c r="G303" s="1211" t="s">
        <v>462</v>
      </c>
      <c r="H303" s="1211" t="s">
        <v>481</v>
      </c>
      <c r="I303" s="1212" t="s">
        <v>638</v>
      </c>
      <c r="J303" s="1211" t="s">
        <v>445</v>
      </c>
      <c r="K303" s="1211" t="s">
        <v>729</v>
      </c>
      <c r="L303" s="1211" t="s">
        <v>462</v>
      </c>
      <c r="M303" s="1211" t="s">
        <v>124</v>
      </c>
      <c r="N303" s="1211" t="s">
        <v>638</v>
      </c>
      <c r="O303" s="1213" t="s">
        <v>495</v>
      </c>
      <c r="P303" s="1213">
        <v>139</v>
      </c>
      <c r="Q303" s="1213">
        <v>6</v>
      </c>
      <c r="R303" s="1211" t="s">
        <v>442</v>
      </c>
    </row>
    <row r="304" spans="1:18" hidden="1">
      <c r="A304" s="1208" t="s">
        <v>499</v>
      </c>
      <c r="B304" s="1208" t="s">
        <v>477</v>
      </c>
      <c r="C304" s="1208" t="s">
        <v>1030</v>
      </c>
      <c r="D304" s="1208" t="s">
        <v>500</v>
      </c>
      <c r="E304" s="1208" t="s">
        <v>501</v>
      </c>
      <c r="F304" s="1208" t="s">
        <v>511</v>
      </c>
      <c r="G304" s="1208" t="s">
        <v>453</v>
      </c>
      <c r="H304" s="1208" t="s">
        <v>503</v>
      </c>
      <c r="I304" s="1209" t="s">
        <v>638</v>
      </c>
      <c r="J304" s="1208" t="s">
        <v>445</v>
      </c>
      <c r="K304" s="1208" t="s">
        <v>977</v>
      </c>
      <c r="L304" s="1208" t="s">
        <v>453</v>
      </c>
      <c r="M304" s="1208" t="s">
        <v>124</v>
      </c>
      <c r="N304" s="1208" t="s">
        <v>638</v>
      </c>
      <c r="O304" s="1210" t="s">
        <v>954</v>
      </c>
      <c r="P304" s="1210">
        <v>131</v>
      </c>
      <c r="Q304" s="1210">
        <v>6</v>
      </c>
      <c r="R304" s="1208" t="s">
        <v>442</v>
      </c>
    </row>
    <row r="305" spans="1:18" hidden="1">
      <c r="A305" s="1211" t="s">
        <v>499</v>
      </c>
      <c r="B305" s="1211" t="s">
        <v>477</v>
      </c>
      <c r="C305" s="1211" t="s">
        <v>1031</v>
      </c>
      <c r="D305" s="1211" t="s">
        <v>500</v>
      </c>
      <c r="E305" s="1211" t="s">
        <v>501</v>
      </c>
      <c r="F305" s="1211" t="s">
        <v>511</v>
      </c>
      <c r="G305" s="1211" t="s">
        <v>453</v>
      </c>
      <c r="H305" s="1211" t="s">
        <v>503</v>
      </c>
      <c r="I305" s="1212" t="s">
        <v>638</v>
      </c>
      <c r="J305" s="1211" t="s">
        <v>440</v>
      </c>
      <c r="K305" s="1211" t="s">
        <v>977</v>
      </c>
      <c r="L305" s="1211" t="s">
        <v>124</v>
      </c>
      <c r="M305" s="1211" t="s">
        <v>453</v>
      </c>
      <c r="N305" s="1211" t="s">
        <v>638</v>
      </c>
      <c r="O305" s="1213" t="s">
        <v>542</v>
      </c>
      <c r="P305" s="1213">
        <v>125</v>
      </c>
      <c r="Q305" s="1213">
        <v>6</v>
      </c>
      <c r="R305" s="1211" t="s">
        <v>442</v>
      </c>
    </row>
    <row r="306" spans="1:18" hidden="1">
      <c r="A306" s="1208" t="s">
        <v>499</v>
      </c>
      <c r="B306" s="1208" t="s">
        <v>477</v>
      </c>
      <c r="C306" s="1208" t="s">
        <v>1032</v>
      </c>
      <c r="D306" s="1208" t="s">
        <v>500</v>
      </c>
      <c r="E306" s="1208" t="s">
        <v>501</v>
      </c>
      <c r="F306" s="1208" t="s">
        <v>480</v>
      </c>
      <c r="G306" s="1208" t="s">
        <v>447</v>
      </c>
      <c r="H306" s="1208" t="s">
        <v>481</v>
      </c>
      <c r="I306" s="1209" t="s">
        <v>643</v>
      </c>
      <c r="J306" s="1208" t="s">
        <v>445</v>
      </c>
      <c r="K306" s="1208" t="s">
        <v>482</v>
      </c>
      <c r="L306" s="1208" t="s">
        <v>513</v>
      </c>
      <c r="M306" s="1208" t="s">
        <v>124</v>
      </c>
      <c r="N306" s="1208" t="s">
        <v>643</v>
      </c>
      <c r="O306" s="1210" t="s">
        <v>580</v>
      </c>
      <c r="P306" s="1210">
        <v>141</v>
      </c>
      <c r="Q306" s="1210">
        <v>6</v>
      </c>
      <c r="R306" s="1208" t="s">
        <v>442</v>
      </c>
    </row>
    <row r="307" spans="1:18" hidden="1">
      <c r="A307" s="1211" t="s">
        <v>499</v>
      </c>
      <c r="B307" s="1211" t="s">
        <v>477</v>
      </c>
      <c r="C307" s="1211" t="s">
        <v>1033</v>
      </c>
      <c r="D307" s="1211" t="s">
        <v>500</v>
      </c>
      <c r="E307" s="1211" t="s">
        <v>501</v>
      </c>
      <c r="F307" s="1211" t="s">
        <v>480</v>
      </c>
      <c r="G307" s="1211" t="s">
        <v>447</v>
      </c>
      <c r="H307" s="1211" t="s">
        <v>481</v>
      </c>
      <c r="I307" s="1212" t="s">
        <v>643</v>
      </c>
      <c r="J307" s="1211" t="s">
        <v>440</v>
      </c>
      <c r="K307" s="1211" t="s">
        <v>482</v>
      </c>
      <c r="L307" s="1211" t="s">
        <v>124</v>
      </c>
      <c r="M307" s="1211" t="s">
        <v>447</v>
      </c>
      <c r="N307" s="1211" t="s">
        <v>643</v>
      </c>
      <c r="O307" s="1213" t="s">
        <v>569</v>
      </c>
      <c r="P307" s="1213">
        <v>74</v>
      </c>
      <c r="Q307" s="1213">
        <v>6</v>
      </c>
      <c r="R307" s="1211" t="s">
        <v>442</v>
      </c>
    </row>
    <row r="308" spans="1:18" hidden="1">
      <c r="A308" s="1208" t="s">
        <v>499</v>
      </c>
      <c r="B308" s="1208" t="s">
        <v>477</v>
      </c>
      <c r="C308" s="1208" t="s">
        <v>1034</v>
      </c>
      <c r="D308" s="1208" t="s">
        <v>500</v>
      </c>
      <c r="E308" s="1208" t="s">
        <v>501</v>
      </c>
      <c r="F308" s="1208" t="s">
        <v>511</v>
      </c>
      <c r="G308" s="1208" t="s">
        <v>453</v>
      </c>
      <c r="H308" s="1208" t="s">
        <v>503</v>
      </c>
      <c r="I308" s="1209" t="s">
        <v>643</v>
      </c>
      <c r="J308" s="1208" t="s">
        <v>445</v>
      </c>
      <c r="K308" s="1208" t="s">
        <v>1035</v>
      </c>
      <c r="L308" s="1208" t="s">
        <v>453</v>
      </c>
      <c r="M308" s="1208" t="s">
        <v>124</v>
      </c>
      <c r="N308" s="1208" t="s">
        <v>643</v>
      </c>
      <c r="O308" s="1210" t="s">
        <v>586</v>
      </c>
      <c r="P308" s="1210">
        <v>114</v>
      </c>
      <c r="Q308" s="1210">
        <v>7</v>
      </c>
      <c r="R308" s="1208" t="s">
        <v>442</v>
      </c>
    </row>
    <row r="309" spans="1:18" hidden="1">
      <c r="A309" s="1211" t="s">
        <v>499</v>
      </c>
      <c r="B309" s="1211" t="s">
        <v>477</v>
      </c>
      <c r="C309" s="1211" t="s">
        <v>1036</v>
      </c>
      <c r="D309" s="1211" t="s">
        <v>500</v>
      </c>
      <c r="E309" s="1211" t="s">
        <v>501</v>
      </c>
      <c r="F309" s="1211" t="s">
        <v>520</v>
      </c>
      <c r="G309" s="1211" t="s">
        <v>441</v>
      </c>
      <c r="H309" s="1211" t="s">
        <v>508</v>
      </c>
      <c r="I309" s="1212" t="s">
        <v>643</v>
      </c>
      <c r="J309" s="1211" t="s">
        <v>445</v>
      </c>
      <c r="K309" s="1211" t="s">
        <v>539</v>
      </c>
      <c r="L309" s="1211" t="s">
        <v>441</v>
      </c>
      <c r="M309" s="1211" t="s">
        <v>124</v>
      </c>
      <c r="N309" s="1211" t="s">
        <v>643</v>
      </c>
      <c r="O309" s="1213" t="s">
        <v>521</v>
      </c>
      <c r="P309" s="1213">
        <v>56</v>
      </c>
      <c r="Q309" s="1213">
        <v>4</v>
      </c>
      <c r="R309" s="1211" t="s">
        <v>442</v>
      </c>
    </row>
    <row r="310" spans="1:18" hidden="1">
      <c r="A310" s="1208" t="s">
        <v>499</v>
      </c>
      <c r="B310" s="1208" t="s">
        <v>477</v>
      </c>
      <c r="C310" s="1208" t="s">
        <v>1037</v>
      </c>
      <c r="D310" s="1208" t="s">
        <v>500</v>
      </c>
      <c r="E310" s="1208" t="s">
        <v>501</v>
      </c>
      <c r="F310" s="1208" t="s">
        <v>511</v>
      </c>
      <c r="G310" s="1208" t="s">
        <v>453</v>
      </c>
      <c r="H310" s="1208" t="s">
        <v>503</v>
      </c>
      <c r="I310" s="1209" t="s">
        <v>643</v>
      </c>
      <c r="J310" s="1208" t="s">
        <v>440</v>
      </c>
      <c r="K310" s="1208" t="s">
        <v>1035</v>
      </c>
      <c r="L310" s="1208" t="s">
        <v>124</v>
      </c>
      <c r="M310" s="1208" t="s">
        <v>453</v>
      </c>
      <c r="N310" s="1208" t="s">
        <v>643</v>
      </c>
      <c r="O310" s="1210" t="s">
        <v>483</v>
      </c>
      <c r="P310" s="1210">
        <v>141</v>
      </c>
      <c r="Q310" s="1210">
        <v>7</v>
      </c>
      <c r="R310" s="1208" t="s">
        <v>442</v>
      </c>
    </row>
    <row r="311" spans="1:18" hidden="1">
      <c r="A311" s="1211" t="s">
        <v>499</v>
      </c>
      <c r="B311" s="1211" t="s">
        <v>477</v>
      </c>
      <c r="C311" s="1211" t="s">
        <v>1038</v>
      </c>
      <c r="D311" s="1211" t="s">
        <v>500</v>
      </c>
      <c r="E311" s="1211" t="s">
        <v>501</v>
      </c>
      <c r="F311" s="1211" t="s">
        <v>505</v>
      </c>
      <c r="G311" s="1211" t="s">
        <v>453</v>
      </c>
      <c r="H311" s="1211" t="s">
        <v>581</v>
      </c>
      <c r="I311" s="1212" t="s">
        <v>643</v>
      </c>
      <c r="J311" s="1211" t="s">
        <v>445</v>
      </c>
      <c r="K311" s="1211" t="s">
        <v>694</v>
      </c>
      <c r="L311" s="1211" t="s">
        <v>453</v>
      </c>
      <c r="M311" s="1211" t="s">
        <v>124</v>
      </c>
      <c r="N311" s="1211" t="s">
        <v>643</v>
      </c>
      <c r="O311" s="1213" t="s">
        <v>583</v>
      </c>
      <c r="P311" s="1213">
        <v>61</v>
      </c>
      <c r="Q311" s="1213">
        <v>4</v>
      </c>
      <c r="R311" s="1211" t="s">
        <v>442</v>
      </c>
    </row>
    <row r="312" spans="1:18" hidden="1">
      <c r="A312" s="1208" t="s">
        <v>499</v>
      </c>
      <c r="B312" s="1208" t="s">
        <v>477</v>
      </c>
      <c r="C312" s="1208" t="s">
        <v>1039</v>
      </c>
      <c r="D312" s="1208" t="s">
        <v>500</v>
      </c>
      <c r="E312" s="1208" t="s">
        <v>501</v>
      </c>
      <c r="F312" s="1208" t="s">
        <v>520</v>
      </c>
      <c r="G312" s="1208" t="s">
        <v>441</v>
      </c>
      <c r="H312" s="1208" t="s">
        <v>508</v>
      </c>
      <c r="I312" s="1209" t="s">
        <v>643</v>
      </c>
      <c r="J312" s="1208" t="s">
        <v>440</v>
      </c>
      <c r="K312" s="1208" t="s">
        <v>539</v>
      </c>
      <c r="L312" s="1208" t="s">
        <v>124</v>
      </c>
      <c r="M312" s="1208" t="s">
        <v>441</v>
      </c>
      <c r="N312" s="1208" t="s">
        <v>643</v>
      </c>
      <c r="O312" s="1210" t="s">
        <v>495</v>
      </c>
      <c r="P312" s="1210">
        <v>52</v>
      </c>
      <c r="Q312" s="1210">
        <v>4</v>
      </c>
      <c r="R312" s="1208" t="s">
        <v>442</v>
      </c>
    </row>
    <row r="313" spans="1:18" hidden="1">
      <c r="A313" s="1211" t="s">
        <v>499</v>
      </c>
      <c r="B313" s="1211" t="s">
        <v>477</v>
      </c>
      <c r="C313" s="1211" t="s">
        <v>1040</v>
      </c>
      <c r="D313" s="1211" t="s">
        <v>500</v>
      </c>
      <c r="E313" s="1211" t="s">
        <v>501</v>
      </c>
      <c r="F313" s="1211" t="s">
        <v>505</v>
      </c>
      <c r="G313" s="1211" t="s">
        <v>453</v>
      </c>
      <c r="H313" s="1211" t="s">
        <v>581</v>
      </c>
      <c r="I313" s="1212" t="s">
        <v>643</v>
      </c>
      <c r="J313" s="1211" t="s">
        <v>440</v>
      </c>
      <c r="K313" s="1211" t="s">
        <v>694</v>
      </c>
      <c r="L313" s="1211" t="s">
        <v>124</v>
      </c>
      <c r="M313" s="1211" t="s">
        <v>453</v>
      </c>
      <c r="N313" s="1211" t="s">
        <v>643</v>
      </c>
      <c r="O313" s="1213" t="s">
        <v>546</v>
      </c>
      <c r="P313" s="1213">
        <v>71</v>
      </c>
      <c r="Q313" s="1213">
        <v>4</v>
      </c>
      <c r="R313" s="1211" t="s">
        <v>442</v>
      </c>
    </row>
    <row r="314" spans="1:18" hidden="1">
      <c r="A314" s="1208" t="s">
        <v>499</v>
      </c>
      <c r="B314" s="1208" t="s">
        <v>477</v>
      </c>
      <c r="C314" s="1208" t="s">
        <v>1041</v>
      </c>
      <c r="D314" s="1208" t="s">
        <v>500</v>
      </c>
      <c r="E314" s="1208" t="s">
        <v>501</v>
      </c>
      <c r="F314" s="1208" t="s">
        <v>517</v>
      </c>
      <c r="G314" s="1208" t="s">
        <v>518</v>
      </c>
      <c r="H314" s="1208" t="s">
        <v>481</v>
      </c>
      <c r="I314" s="1209" t="s">
        <v>643</v>
      </c>
      <c r="J314" s="1208" t="s">
        <v>445</v>
      </c>
      <c r="K314" s="1208" t="s">
        <v>903</v>
      </c>
      <c r="L314" s="1208" t="s">
        <v>462</v>
      </c>
      <c r="M314" s="1208" t="s">
        <v>124</v>
      </c>
      <c r="N314" s="1208" t="s">
        <v>643</v>
      </c>
      <c r="O314" s="1210" t="s">
        <v>521</v>
      </c>
      <c r="P314" s="1210">
        <v>151</v>
      </c>
      <c r="Q314" s="1210">
        <v>8</v>
      </c>
      <c r="R314" s="1208" t="s">
        <v>442</v>
      </c>
    </row>
    <row r="315" spans="1:18" hidden="1">
      <c r="A315" s="1211" t="s">
        <v>499</v>
      </c>
      <c r="B315" s="1211" t="s">
        <v>477</v>
      </c>
      <c r="C315" s="1211" t="s">
        <v>1042</v>
      </c>
      <c r="D315" s="1211" t="s">
        <v>500</v>
      </c>
      <c r="E315" s="1211" t="s">
        <v>501</v>
      </c>
      <c r="F315" s="1211" t="s">
        <v>522</v>
      </c>
      <c r="G315" s="1211" t="s">
        <v>466</v>
      </c>
      <c r="H315" s="1211" t="s">
        <v>508</v>
      </c>
      <c r="I315" s="1212" t="s">
        <v>643</v>
      </c>
      <c r="J315" s="1211" t="s">
        <v>445</v>
      </c>
      <c r="K315" s="1211" t="s">
        <v>523</v>
      </c>
      <c r="L315" s="1211" t="s">
        <v>466</v>
      </c>
      <c r="M315" s="1211" t="s">
        <v>124</v>
      </c>
      <c r="N315" s="1211" t="s">
        <v>643</v>
      </c>
      <c r="O315" s="1213" t="s">
        <v>510</v>
      </c>
      <c r="P315" s="1213">
        <v>43</v>
      </c>
      <c r="Q315" s="1213">
        <v>4</v>
      </c>
      <c r="R315" s="1211" t="s">
        <v>442</v>
      </c>
    </row>
    <row r="316" spans="1:18" hidden="1">
      <c r="A316" s="1208" t="s">
        <v>499</v>
      </c>
      <c r="B316" s="1208" t="s">
        <v>477</v>
      </c>
      <c r="C316" s="1208" t="s">
        <v>1043</v>
      </c>
      <c r="D316" s="1208" t="s">
        <v>500</v>
      </c>
      <c r="E316" s="1208" t="s">
        <v>501</v>
      </c>
      <c r="F316" s="1208" t="s">
        <v>522</v>
      </c>
      <c r="G316" s="1208" t="s">
        <v>466</v>
      </c>
      <c r="H316" s="1208" t="s">
        <v>508</v>
      </c>
      <c r="I316" s="1209" t="s">
        <v>643</v>
      </c>
      <c r="J316" s="1208" t="s">
        <v>440</v>
      </c>
      <c r="K316" s="1208" t="s">
        <v>523</v>
      </c>
      <c r="L316" s="1208" t="s">
        <v>124</v>
      </c>
      <c r="M316" s="1208" t="s">
        <v>466</v>
      </c>
      <c r="N316" s="1208" t="s">
        <v>643</v>
      </c>
      <c r="O316" s="1210" t="s">
        <v>512</v>
      </c>
      <c r="P316" s="1210">
        <v>19</v>
      </c>
      <c r="Q316" s="1210">
        <v>4</v>
      </c>
      <c r="R316" s="1208" t="s">
        <v>442</v>
      </c>
    </row>
    <row r="317" spans="1:18" hidden="1">
      <c r="A317" s="1211" t="s">
        <v>499</v>
      </c>
      <c r="B317" s="1211" t="s">
        <v>477</v>
      </c>
      <c r="C317" s="1211" t="s">
        <v>1044</v>
      </c>
      <c r="D317" s="1211" t="s">
        <v>500</v>
      </c>
      <c r="E317" s="1211" t="s">
        <v>501</v>
      </c>
      <c r="F317" s="1211" t="s">
        <v>517</v>
      </c>
      <c r="G317" s="1211" t="s">
        <v>518</v>
      </c>
      <c r="H317" s="1211" t="s">
        <v>481</v>
      </c>
      <c r="I317" s="1212" t="s">
        <v>643</v>
      </c>
      <c r="J317" s="1211" t="s">
        <v>440</v>
      </c>
      <c r="K317" s="1211" t="s">
        <v>903</v>
      </c>
      <c r="L317" s="1211" t="s">
        <v>124</v>
      </c>
      <c r="M317" s="1211" t="s">
        <v>462</v>
      </c>
      <c r="N317" s="1211" t="s">
        <v>643</v>
      </c>
      <c r="O317" s="1213" t="s">
        <v>573</v>
      </c>
      <c r="P317" s="1213">
        <v>136</v>
      </c>
      <c r="Q317" s="1213">
        <v>6</v>
      </c>
      <c r="R317" s="1211" t="s">
        <v>442</v>
      </c>
    </row>
    <row r="318" spans="1:18" hidden="1">
      <c r="A318" s="1208" t="s">
        <v>499</v>
      </c>
      <c r="B318" s="1208" t="s">
        <v>477</v>
      </c>
      <c r="C318" s="1208" t="s">
        <v>1045</v>
      </c>
      <c r="D318" s="1208" t="s">
        <v>500</v>
      </c>
      <c r="E318" s="1208" t="s">
        <v>501</v>
      </c>
      <c r="F318" s="1208" t="s">
        <v>517</v>
      </c>
      <c r="G318" s="1208" t="s">
        <v>462</v>
      </c>
      <c r="H318" s="1208" t="s">
        <v>481</v>
      </c>
      <c r="I318" s="1209" t="s">
        <v>643</v>
      </c>
      <c r="J318" s="1208" t="s">
        <v>440</v>
      </c>
      <c r="K318" s="1208" t="s">
        <v>729</v>
      </c>
      <c r="L318" s="1208" t="s">
        <v>124</v>
      </c>
      <c r="M318" s="1208" t="s">
        <v>462</v>
      </c>
      <c r="N318" s="1208" t="s">
        <v>643</v>
      </c>
      <c r="O318" s="1210" t="s">
        <v>543</v>
      </c>
      <c r="P318" s="1210">
        <v>152</v>
      </c>
      <c r="Q318" s="1210">
        <v>8</v>
      </c>
      <c r="R318" s="1208" t="s">
        <v>442</v>
      </c>
    </row>
    <row r="319" spans="1:18" hidden="1">
      <c r="A319" s="1211" t="s">
        <v>499</v>
      </c>
      <c r="B319" s="1211" t="s">
        <v>477</v>
      </c>
      <c r="C319" s="1211" t="s">
        <v>1046</v>
      </c>
      <c r="D319" s="1211" t="s">
        <v>500</v>
      </c>
      <c r="E319" s="1211" t="s">
        <v>501</v>
      </c>
      <c r="F319" s="1211" t="s">
        <v>522</v>
      </c>
      <c r="G319" s="1211" t="s">
        <v>466</v>
      </c>
      <c r="H319" s="1211" t="s">
        <v>503</v>
      </c>
      <c r="I319" s="1212" t="s">
        <v>654</v>
      </c>
      <c r="J319" s="1211" t="s">
        <v>445</v>
      </c>
      <c r="K319" s="1211" t="s">
        <v>532</v>
      </c>
      <c r="L319" s="1211" t="s">
        <v>466</v>
      </c>
      <c r="M319" s="1211" t="s">
        <v>124</v>
      </c>
      <c r="N319" s="1211" t="s">
        <v>654</v>
      </c>
      <c r="O319" s="1213" t="s">
        <v>515</v>
      </c>
      <c r="P319" s="1213">
        <v>164</v>
      </c>
      <c r="Q319" s="1213">
        <v>8</v>
      </c>
      <c r="R319" s="1211" t="s">
        <v>442</v>
      </c>
    </row>
    <row r="320" spans="1:18" hidden="1">
      <c r="A320" s="1208" t="s">
        <v>499</v>
      </c>
      <c r="B320" s="1208" t="s">
        <v>477</v>
      </c>
      <c r="C320" s="1208" t="s">
        <v>1047</v>
      </c>
      <c r="D320" s="1208" t="s">
        <v>500</v>
      </c>
      <c r="E320" s="1208" t="s">
        <v>501</v>
      </c>
      <c r="F320" s="1208" t="s">
        <v>522</v>
      </c>
      <c r="G320" s="1208" t="s">
        <v>466</v>
      </c>
      <c r="H320" s="1208" t="s">
        <v>503</v>
      </c>
      <c r="I320" s="1209" t="s">
        <v>654</v>
      </c>
      <c r="J320" s="1208" t="s">
        <v>440</v>
      </c>
      <c r="K320" s="1208" t="s">
        <v>532</v>
      </c>
      <c r="L320" s="1208" t="s">
        <v>124</v>
      </c>
      <c r="M320" s="1208" t="s">
        <v>466</v>
      </c>
      <c r="N320" s="1208" t="s">
        <v>654</v>
      </c>
      <c r="O320" s="1210" t="s">
        <v>516</v>
      </c>
      <c r="P320" s="1210">
        <v>114</v>
      </c>
      <c r="Q320" s="1210">
        <v>8</v>
      </c>
      <c r="R320" s="1208" t="s">
        <v>442</v>
      </c>
    </row>
    <row r="321" spans="1:18" hidden="1">
      <c r="A321" s="1211" t="s">
        <v>499</v>
      </c>
      <c r="B321" s="1211" t="s">
        <v>477</v>
      </c>
      <c r="C321" s="1211" t="s">
        <v>1048</v>
      </c>
      <c r="D321" s="1211" t="s">
        <v>500</v>
      </c>
      <c r="E321" s="1211" t="s">
        <v>501</v>
      </c>
      <c r="F321" s="1211" t="s">
        <v>505</v>
      </c>
      <c r="G321" s="1211" t="s">
        <v>453</v>
      </c>
      <c r="H321" s="1211" t="s">
        <v>581</v>
      </c>
      <c r="I321" s="1212" t="s">
        <v>654</v>
      </c>
      <c r="J321" s="1211" t="s">
        <v>445</v>
      </c>
      <c r="K321" s="1211" t="s">
        <v>694</v>
      </c>
      <c r="L321" s="1211" t="s">
        <v>453</v>
      </c>
      <c r="M321" s="1211" t="s">
        <v>124</v>
      </c>
      <c r="N321" s="1211" t="s">
        <v>654</v>
      </c>
      <c r="O321" s="1213" t="s">
        <v>583</v>
      </c>
      <c r="P321" s="1213">
        <v>69</v>
      </c>
      <c r="Q321" s="1213">
        <v>4</v>
      </c>
      <c r="R321" s="1211" t="s">
        <v>442</v>
      </c>
    </row>
    <row r="322" spans="1:18" hidden="1">
      <c r="A322" s="1208" t="s">
        <v>499</v>
      </c>
      <c r="B322" s="1208" t="s">
        <v>477</v>
      </c>
      <c r="C322" s="1208" t="s">
        <v>1049</v>
      </c>
      <c r="D322" s="1208" t="s">
        <v>500</v>
      </c>
      <c r="E322" s="1208" t="s">
        <v>501</v>
      </c>
      <c r="F322" s="1208" t="s">
        <v>511</v>
      </c>
      <c r="G322" s="1208" t="s">
        <v>453</v>
      </c>
      <c r="H322" s="1208" t="s">
        <v>503</v>
      </c>
      <c r="I322" s="1209" t="s">
        <v>654</v>
      </c>
      <c r="J322" s="1208" t="s">
        <v>445</v>
      </c>
      <c r="K322" s="1208" t="s">
        <v>514</v>
      </c>
      <c r="L322" s="1208" t="s">
        <v>453</v>
      </c>
      <c r="M322" s="1208" t="s">
        <v>124</v>
      </c>
      <c r="N322" s="1208" t="s">
        <v>654</v>
      </c>
      <c r="O322" s="1210" t="s">
        <v>583</v>
      </c>
      <c r="P322" s="1210">
        <v>61</v>
      </c>
      <c r="Q322" s="1210">
        <v>6</v>
      </c>
      <c r="R322" s="1208" t="s">
        <v>442</v>
      </c>
    </row>
    <row r="323" spans="1:18" hidden="1">
      <c r="A323" s="1211" t="s">
        <v>499</v>
      </c>
      <c r="B323" s="1211" t="s">
        <v>477</v>
      </c>
      <c r="C323" s="1211" t="s">
        <v>1050</v>
      </c>
      <c r="D323" s="1211" t="s">
        <v>500</v>
      </c>
      <c r="E323" s="1211" t="s">
        <v>501</v>
      </c>
      <c r="F323" s="1211" t="s">
        <v>505</v>
      </c>
      <c r="G323" s="1211" t="s">
        <v>453</v>
      </c>
      <c r="H323" s="1211" t="s">
        <v>581</v>
      </c>
      <c r="I323" s="1212" t="s">
        <v>654</v>
      </c>
      <c r="J323" s="1211" t="s">
        <v>440</v>
      </c>
      <c r="K323" s="1211" t="s">
        <v>694</v>
      </c>
      <c r="L323" s="1211" t="s">
        <v>124</v>
      </c>
      <c r="M323" s="1211" t="s">
        <v>453</v>
      </c>
      <c r="N323" s="1211" t="s">
        <v>654</v>
      </c>
      <c r="O323" s="1213" t="s">
        <v>546</v>
      </c>
      <c r="P323" s="1213">
        <v>85</v>
      </c>
      <c r="Q323" s="1213">
        <v>4</v>
      </c>
      <c r="R323" s="1211" t="s">
        <v>442</v>
      </c>
    </row>
    <row r="324" spans="1:18">
      <c r="A324" s="1208" t="s">
        <v>459</v>
      </c>
      <c r="B324" s="1208" t="s">
        <v>477</v>
      </c>
      <c r="C324" s="1208" t="s">
        <v>1051</v>
      </c>
      <c r="D324" s="1208" t="s">
        <v>454</v>
      </c>
      <c r="E324" s="1208" t="s">
        <v>486</v>
      </c>
      <c r="F324" s="1208" t="s">
        <v>1052</v>
      </c>
      <c r="G324" s="1208" t="s">
        <v>1053</v>
      </c>
      <c r="H324" s="1208" t="s">
        <v>457</v>
      </c>
      <c r="I324" s="1209" t="s">
        <v>587</v>
      </c>
      <c r="J324" s="1208" t="s">
        <v>445</v>
      </c>
      <c r="K324" s="1208" t="s">
        <v>1054</v>
      </c>
      <c r="L324" s="1208" t="s">
        <v>1055</v>
      </c>
      <c r="M324" s="1208" t="s">
        <v>461</v>
      </c>
      <c r="N324" s="1208" t="s">
        <v>677</v>
      </c>
      <c r="O324" s="1210" t="s">
        <v>487</v>
      </c>
      <c r="P324" s="1210">
        <v>201</v>
      </c>
      <c r="Q324" s="1210">
        <v>173</v>
      </c>
      <c r="R324" s="1208" t="s">
        <v>442</v>
      </c>
    </row>
    <row r="325" spans="1:18" hidden="1">
      <c r="A325" s="1211" t="s">
        <v>459</v>
      </c>
      <c r="B325" s="1211" t="s">
        <v>477</v>
      </c>
      <c r="C325" s="1211" t="s">
        <v>1056</v>
      </c>
      <c r="D325" s="1211" t="s">
        <v>448</v>
      </c>
      <c r="E325" s="1211" t="s">
        <v>488</v>
      </c>
      <c r="F325" s="1211" t="s">
        <v>596</v>
      </c>
      <c r="G325" s="1211" t="s">
        <v>449</v>
      </c>
      <c r="H325" s="1211" t="s">
        <v>444</v>
      </c>
      <c r="I325" s="1212" t="s">
        <v>677</v>
      </c>
      <c r="J325" s="1211" t="s">
        <v>440</v>
      </c>
      <c r="K325" s="1211" t="s">
        <v>597</v>
      </c>
      <c r="L325" s="1211" t="s">
        <v>124</v>
      </c>
      <c r="M325" s="1211" t="s">
        <v>441</v>
      </c>
      <c r="N325" s="1211" t="s">
        <v>605</v>
      </c>
      <c r="O325" s="1213" t="s">
        <v>490</v>
      </c>
      <c r="P325" s="1213">
        <v>0</v>
      </c>
      <c r="Q325" s="1213">
        <v>26</v>
      </c>
      <c r="R325" s="1211" t="s">
        <v>442</v>
      </c>
    </row>
    <row r="326" spans="1:18" hidden="1">
      <c r="A326" s="1208" t="s">
        <v>459</v>
      </c>
      <c r="B326" s="1208" t="s">
        <v>477</v>
      </c>
      <c r="C326" s="1208" t="s">
        <v>1057</v>
      </c>
      <c r="D326" s="1208" t="s">
        <v>454</v>
      </c>
      <c r="E326" s="1208" t="s">
        <v>486</v>
      </c>
      <c r="F326" s="1208" t="s">
        <v>1052</v>
      </c>
      <c r="G326" s="1208" t="s">
        <v>1053</v>
      </c>
      <c r="H326" s="1208" t="s">
        <v>457</v>
      </c>
      <c r="I326" s="1209" t="s">
        <v>677</v>
      </c>
      <c r="J326" s="1208" t="s">
        <v>440</v>
      </c>
      <c r="K326" s="1208" t="s">
        <v>1054</v>
      </c>
      <c r="L326" s="1208" t="s">
        <v>461</v>
      </c>
      <c r="M326" s="1208" t="s">
        <v>441</v>
      </c>
      <c r="N326" s="1208" t="s">
        <v>677</v>
      </c>
      <c r="O326" s="1210" t="s">
        <v>558</v>
      </c>
      <c r="P326" s="1210">
        <v>201</v>
      </c>
      <c r="Q326" s="1210">
        <v>173</v>
      </c>
      <c r="R326" s="1208" t="s">
        <v>442</v>
      </c>
    </row>
    <row r="327" spans="1:18" hidden="1">
      <c r="A327" s="1211" t="s">
        <v>459</v>
      </c>
      <c r="B327" s="1211" t="s">
        <v>477</v>
      </c>
      <c r="C327" s="1211" t="s">
        <v>1058</v>
      </c>
      <c r="D327" s="1211" t="s">
        <v>438</v>
      </c>
      <c r="E327" s="1211" t="s">
        <v>497</v>
      </c>
      <c r="F327" s="1211" t="s">
        <v>598</v>
      </c>
      <c r="G327" s="1211" t="s">
        <v>599</v>
      </c>
      <c r="H327" s="1211" t="s">
        <v>439</v>
      </c>
      <c r="I327" s="1212" t="s">
        <v>605</v>
      </c>
      <c r="J327" s="1211" t="s">
        <v>440</v>
      </c>
      <c r="K327" s="1211" t="s">
        <v>600</v>
      </c>
      <c r="L327" s="1211" t="s">
        <v>124</v>
      </c>
      <c r="M327" s="1211" t="s">
        <v>467</v>
      </c>
      <c r="N327" s="1211" t="s">
        <v>714</v>
      </c>
      <c r="O327" s="1213" t="s">
        <v>1059</v>
      </c>
      <c r="P327" s="1213">
        <v>0</v>
      </c>
      <c r="Q327" s="1213">
        <v>2</v>
      </c>
      <c r="R327" s="1211" t="s">
        <v>442</v>
      </c>
    </row>
    <row r="328" spans="1:18" hidden="1">
      <c r="A328" s="1208" t="s">
        <v>459</v>
      </c>
      <c r="B328" s="1208" t="s">
        <v>477</v>
      </c>
      <c r="C328" s="1208" t="s">
        <v>1060</v>
      </c>
      <c r="D328" s="1208" t="s">
        <v>448</v>
      </c>
      <c r="E328" s="1208" t="s">
        <v>488</v>
      </c>
      <c r="F328" s="1208" t="s">
        <v>493</v>
      </c>
      <c r="G328" s="1208" t="s">
        <v>456</v>
      </c>
      <c r="H328" s="1208" t="s">
        <v>457</v>
      </c>
      <c r="I328" s="1209" t="s">
        <v>605</v>
      </c>
      <c r="J328" s="1208" t="s">
        <v>440</v>
      </c>
      <c r="K328" s="1208" t="s">
        <v>494</v>
      </c>
      <c r="L328" s="1208" t="s">
        <v>124</v>
      </c>
      <c r="M328" s="1208" t="s">
        <v>441</v>
      </c>
      <c r="N328" s="1208" t="s">
        <v>605</v>
      </c>
      <c r="O328" s="1210" t="s">
        <v>496</v>
      </c>
      <c r="P328" s="1210">
        <v>3822</v>
      </c>
      <c r="Q328" s="1210">
        <v>1196</v>
      </c>
      <c r="R328" s="1208" t="s">
        <v>442</v>
      </c>
    </row>
    <row r="329" spans="1:18" hidden="1">
      <c r="A329" s="1211" t="s">
        <v>459</v>
      </c>
      <c r="B329" s="1211" t="s">
        <v>477</v>
      </c>
      <c r="C329" s="1211" t="s">
        <v>1061</v>
      </c>
      <c r="D329" s="1211" t="s">
        <v>448</v>
      </c>
      <c r="E329" s="1211" t="s">
        <v>488</v>
      </c>
      <c r="F329" s="1211" t="s">
        <v>463</v>
      </c>
      <c r="G329" s="1211" t="s">
        <v>443</v>
      </c>
      <c r="H329" s="1211" t="s">
        <v>444</v>
      </c>
      <c r="I329" s="1212" t="s">
        <v>605</v>
      </c>
      <c r="J329" s="1211" t="s">
        <v>445</v>
      </c>
      <c r="K329" s="1211" t="s">
        <v>464</v>
      </c>
      <c r="L329" s="1211" t="s">
        <v>446</v>
      </c>
      <c r="M329" s="1211" t="s">
        <v>124</v>
      </c>
      <c r="N329" s="1211" t="s">
        <v>610</v>
      </c>
      <c r="O329" s="1213" t="s">
        <v>487</v>
      </c>
      <c r="P329" s="1213">
        <v>0</v>
      </c>
      <c r="Q329" s="1213">
        <v>20</v>
      </c>
      <c r="R329" s="1211" t="s">
        <v>442</v>
      </c>
    </row>
    <row r="330" spans="1:18" hidden="1">
      <c r="A330" s="1208" t="s">
        <v>459</v>
      </c>
      <c r="B330" s="1208" t="s">
        <v>477</v>
      </c>
      <c r="C330" s="1208" t="s">
        <v>1062</v>
      </c>
      <c r="D330" s="1208" t="s">
        <v>438</v>
      </c>
      <c r="E330" s="1208" t="s">
        <v>497</v>
      </c>
      <c r="F330" s="1208" t="s">
        <v>1063</v>
      </c>
      <c r="G330" s="1208" t="s">
        <v>1064</v>
      </c>
      <c r="H330" s="1208" t="s">
        <v>1065</v>
      </c>
      <c r="I330" s="1209" t="s">
        <v>605</v>
      </c>
      <c r="J330" s="1208" t="s">
        <v>445</v>
      </c>
      <c r="K330" s="1208" t="s">
        <v>1066</v>
      </c>
      <c r="L330" s="1208" t="s">
        <v>513</v>
      </c>
      <c r="M330" s="1208" t="s">
        <v>124</v>
      </c>
      <c r="N330" s="1208" t="s">
        <v>677</v>
      </c>
      <c r="O330" s="1210" t="s">
        <v>1067</v>
      </c>
      <c r="P330" s="1210">
        <v>0</v>
      </c>
      <c r="Q330" s="1210">
        <v>10</v>
      </c>
      <c r="R330" s="1208" t="s">
        <v>442</v>
      </c>
    </row>
    <row r="331" spans="1:18" hidden="1">
      <c r="A331" s="1211" t="s">
        <v>459</v>
      </c>
      <c r="B331" s="1211" t="s">
        <v>477</v>
      </c>
      <c r="C331" s="1211" t="s">
        <v>1068</v>
      </c>
      <c r="D331" s="1211" t="s">
        <v>1069</v>
      </c>
      <c r="E331" s="1211" t="s">
        <v>1070</v>
      </c>
      <c r="F331" s="1211" t="s">
        <v>1071</v>
      </c>
      <c r="G331" s="1211" t="s">
        <v>443</v>
      </c>
      <c r="H331" s="1211" t="s">
        <v>444</v>
      </c>
      <c r="I331" s="1212" t="s">
        <v>605</v>
      </c>
      <c r="J331" s="1211" t="s">
        <v>440</v>
      </c>
      <c r="K331" s="1211" t="s">
        <v>1072</v>
      </c>
      <c r="L331" s="1211" t="s">
        <v>124</v>
      </c>
      <c r="M331" s="1211" t="s">
        <v>446</v>
      </c>
      <c r="N331" s="1211" t="s">
        <v>610</v>
      </c>
      <c r="O331" s="1213" t="s">
        <v>551</v>
      </c>
      <c r="P331" s="1213">
        <v>0</v>
      </c>
      <c r="Q331" s="1213">
        <v>19</v>
      </c>
      <c r="R331" s="1211" t="s">
        <v>442</v>
      </c>
    </row>
    <row r="332" spans="1:18">
      <c r="A332" s="1208" t="s">
        <v>459</v>
      </c>
      <c r="B332" s="1208" t="s">
        <v>477</v>
      </c>
      <c r="C332" s="1208" t="s">
        <v>1073</v>
      </c>
      <c r="D332" s="1208" t="s">
        <v>454</v>
      </c>
      <c r="E332" s="1208" t="s">
        <v>486</v>
      </c>
      <c r="F332" s="1208" t="s">
        <v>1052</v>
      </c>
      <c r="G332" s="1208" t="s">
        <v>1053</v>
      </c>
      <c r="H332" s="1208" t="s">
        <v>457</v>
      </c>
      <c r="I332" s="1209" t="s">
        <v>610</v>
      </c>
      <c r="J332" s="1208" t="s">
        <v>445</v>
      </c>
      <c r="K332" s="1208" t="s">
        <v>1054</v>
      </c>
      <c r="L332" s="1208" t="s">
        <v>441</v>
      </c>
      <c r="M332" s="1208" t="s">
        <v>1074</v>
      </c>
      <c r="N332" s="1208" t="s">
        <v>751</v>
      </c>
      <c r="O332" s="1210" t="s">
        <v>498</v>
      </c>
      <c r="P332" s="1210">
        <v>187</v>
      </c>
      <c r="Q332" s="1210">
        <v>171</v>
      </c>
      <c r="R332" s="1208" t="s">
        <v>442</v>
      </c>
    </row>
    <row r="333" spans="1:18">
      <c r="A333" s="1211" t="s">
        <v>459</v>
      </c>
      <c r="B333" s="1211" t="s">
        <v>477</v>
      </c>
      <c r="C333" s="1211" t="s">
        <v>1075</v>
      </c>
      <c r="D333" s="1211" t="s">
        <v>448</v>
      </c>
      <c r="E333" s="1211" t="s">
        <v>488</v>
      </c>
      <c r="F333" s="1211" t="s">
        <v>1076</v>
      </c>
      <c r="G333" s="1211" t="s">
        <v>592</v>
      </c>
      <c r="H333" s="1211" t="s">
        <v>457</v>
      </c>
      <c r="I333" s="1212" t="s">
        <v>610</v>
      </c>
      <c r="J333" s="1211" t="s">
        <v>445</v>
      </c>
      <c r="K333" s="1211" t="s">
        <v>1077</v>
      </c>
      <c r="L333" s="1211" t="s">
        <v>446</v>
      </c>
      <c r="M333" s="1211" t="s">
        <v>461</v>
      </c>
      <c r="N333" s="1211" t="s">
        <v>751</v>
      </c>
      <c r="O333" s="1213" t="s">
        <v>492</v>
      </c>
      <c r="P333" s="1213">
        <v>1091</v>
      </c>
      <c r="Q333" s="1213">
        <v>766</v>
      </c>
      <c r="R333" s="1211" t="s">
        <v>442</v>
      </c>
    </row>
    <row r="334" spans="1:18" hidden="1">
      <c r="A334" s="1208" t="s">
        <v>459</v>
      </c>
      <c r="B334" s="1208" t="s">
        <v>477</v>
      </c>
      <c r="C334" s="1208" t="s">
        <v>1078</v>
      </c>
      <c r="D334" s="1208" t="s">
        <v>448</v>
      </c>
      <c r="E334" s="1208" t="s">
        <v>488</v>
      </c>
      <c r="F334" s="1208" t="s">
        <v>1076</v>
      </c>
      <c r="G334" s="1208" t="s">
        <v>592</v>
      </c>
      <c r="H334" s="1208" t="s">
        <v>457</v>
      </c>
      <c r="I334" s="1209" t="s">
        <v>751</v>
      </c>
      <c r="J334" s="1208" t="s">
        <v>440</v>
      </c>
      <c r="K334" s="1208" t="s">
        <v>1077</v>
      </c>
      <c r="L334" s="1208" t="s">
        <v>461</v>
      </c>
      <c r="M334" s="1208" t="s">
        <v>441</v>
      </c>
      <c r="N334" s="1208" t="s">
        <v>751</v>
      </c>
      <c r="O334" s="1210" t="s">
        <v>558</v>
      </c>
      <c r="P334" s="1210">
        <v>1091</v>
      </c>
      <c r="Q334" s="1210">
        <v>766</v>
      </c>
      <c r="R334" s="1208" t="s">
        <v>442</v>
      </c>
    </row>
    <row r="335" spans="1:18" hidden="1">
      <c r="A335" s="1211" t="s">
        <v>459</v>
      </c>
      <c r="B335" s="1211" t="s">
        <v>477</v>
      </c>
      <c r="C335" s="1211" t="s">
        <v>1079</v>
      </c>
      <c r="D335" s="1211" t="s">
        <v>448</v>
      </c>
      <c r="E335" s="1211" t="s">
        <v>488</v>
      </c>
      <c r="F335" s="1211" t="s">
        <v>463</v>
      </c>
      <c r="G335" s="1211" t="s">
        <v>443</v>
      </c>
      <c r="H335" s="1211" t="s">
        <v>444</v>
      </c>
      <c r="I335" s="1212" t="s">
        <v>751</v>
      </c>
      <c r="J335" s="1211" t="s">
        <v>440</v>
      </c>
      <c r="K335" s="1211" t="s">
        <v>464</v>
      </c>
      <c r="L335" s="1211" t="s">
        <v>124</v>
      </c>
      <c r="M335" s="1211" t="s">
        <v>462</v>
      </c>
      <c r="N335" s="1211" t="s">
        <v>751</v>
      </c>
      <c r="O335" s="1213" t="s">
        <v>521</v>
      </c>
      <c r="P335" s="1213">
        <v>0</v>
      </c>
      <c r="Q335" s="1213">
        <v>20</v>
      </c>
      <c r="R335" s="1211" t="s">
        <v>442</v>
      </c>
    </row>
    <row r="336" spans="1:18">
      <c r="A336" s="1208" t="s">
        <v>459</v>
      </c>
      <c r="B336" s="1208" t="s">
        <v>477</v>
      </c>
      <c r="C336" s="1208" t="s">
        <v>1080</v>
      </c>
      <c r="D336" s="1208" t="s">
        <v>448</v>
      </c>
      <c r="E336" s="1208" t="s">
        <v>488</v>
      </c>
      <c r="F336" s="1208" t="s">
        <v>1081</v>
      </c>
      <c r="G336" s="1208" t="s">
        <v>1053</v>
      </c>
      <c r="H336" s="1208" t="s">
        <v>457</v>
      </c>
      <c r="I336" s="1209" t="s">
        <v>751</v>
      </c>
      <c r="J336" s="1208" t="s">
        <v>445</v>
      </c>
      <c r="K336" s="1208" t="s">
        <v>1082</v>
      </c>
      <c r="L336" s="1208" t="s">
        <v>465</v>
      </c>
      <c r="M336" s="1208" t="s">
        <v>461</v>
      </c>
      <c r="N336" s="1208" t="s">
        <v>767</v>
      </c>
      <c r="O336" s="1210" t="s">
        <v>492</v>
      </c>
      <c r="P336" s="1210">
        <v>2827</v>
      </c>
      <c r="Q336" s="1210">
        <v>1303</v>
      </c>
      <c r="R336" s="1208" t="s">
        <v>442</v>
      </c>
    </row>
    <row r="337" spans="1:18" hidden="1">
      <c r="A337" s="1211" t="s">
        <v>459</v>
      </c>
      <c r="B337" s="1211" t="s">
        <v>477</v>
      </c>
      <c r="C337" s="1211" t="s">
        <v>1083</v>
      </c>
      <c r="D337" s="1211" t="s">
        <v>448</v>
      </c>
      <c r="E337" s="1211" t="s">
        <v>488</v>
      </c>
      <c r="F337" s="1211" t="s">
        <v>1081</v>
      </c>
      <c r="G337" s="1211" t="s">
        <v>1053</v>
      </c>
      <c r="H337" s="1211" t="s">
        <v>457</v>
      </c>
      <c r="I337" s="1212" t="s">
        <v>767</v>
      </c>
      <c r="J337" s="1211" t="s">
        <v>440</v>
      </c>
      <c r="K337" s="1211" t="s">
        <v>1082</v>
      </c>
      <c r="L337" s="1211" t="s">
        <v>461</v>
      </c>
      <c r="M337" s="1211" t="s">
        <v>460</v>
      </c>
      <c r="N337" s="1211" t="s">
        <v>767</v>
      </c>
      <c r="O337" s="1213" t="s">
        <v>496</v>
      </c>
      <c r="P337" s="1213">
        <v>2827</v>
      </c>
      <c r="Q337" s="1213">
        <v>1303</v>
      </c>
      <c r="R337" s="1211" t="s">
        <v>442</v>
      </c>
    </row>
    <row r="338" spans="1:18">
      <c r="A338" s="1208" t="s">
        <v>459</v>
      </c>
      <c r="B338" s="1208" t="s">
        <v>477</v>
      </c>
      <c r="C338" s="1208" t="s">
        <v>1084</v>
      </c>
      <c r="D338" s="1208" t="s">
        <v>448</v>
      </c>
      <c r="E338" s="1208" t="s">
        <v>488</v>
      </c>
      <c r="F338" s="1208" t="s">
        <v>590</v>
      </c>
      <c r="G338" s="1208" t="s">
        <v>456</v>
      </c>
      <c r="H338" s="1208" t="s">
        <v>457</v>
      </c>
      <c r="I338" s="1209" t="s">
        <v>767</v>
      </c>
      <c r="J338" s="1208" t="s">
        <v>445</v>
      </c>
      <c r="K338" s="1208" t="s">
        <v>591</v>
      </c>
      <c r="L338" s="1208" t="s">
        <v>441</v>
      </c>
      <c r="M338" s="1208" t="s">
        <v>124</v>
      </c>
      <c r="N338" s="1208" t="s">
        <v>783</v>
      </c>
      <c r="O338" s="1210" t="s">
        <v>492</v>
      </c>
      <c r="P338" s="1210">
        <v>4797</v>
      </c>
      <c r="Q338" s="1210">
        <v>1571</v>
      </c>
      <c r="R338" s="1208" t="s">
        <v>442</v>
      </c>
    </row>
    <row r="339" spans="1:18">
      <c r="A339" s="1211" t="s">
        <v>459</v>
      </c>
      <c r="B339" s="1211" t="s">
        <v>477</v>
      </c>
      <c r="C339" s="1211" t="s">
        <v>1085</v>
      </c>
      <c r="D339" s="1211" t="s">
        <v>448</v>
      </c>
      <c r="E339" s="1211" t="s">
        <v>488</v>
      </c>
      <c r="F339" s="1211" t="s">
        <v>1081</v>
      </c>
      <c r="G339" s="1211" t="s">
        <v>1053</v>
      </c>
      <c r="H339" s="1211" t="s">
        <v>457</v>
      </c>
      <c r="I339" s="1212" t="s">
        <v>783</v>
      </c>
      <c r="J339" s="1211" t="s">
        <v>445</v>
      </c>
      <c r="K339" s="1211" t="s">
        <v>1082</v>
      </c>
      <c r="L339" s="1211" t="s">
        <v>460</v>
      </c>
      <c r="M339" s="1211" t="s">
        <v>124</v>
      </c>
      <c r="N339" s="1211" t="s">
        <v>795</v>
      </c>
      <c r="O339" s="1213" t="s">
        <v>498</v>
      </c>
      <c r="P339" s="1213">
        <v>2827</v>
      </c>
      <c r="Q339" s="1213">
        <v>1303</v>
      </c>
      <c r="R339" s="1211" t="s">
        <v>442</v>
      </c>
    </row>
    <row r="340" spans="1:18" hidden="1">
      <c r="A340" s="1208" t="s">
        <v>459</v>
      </c>
      <c r="B340" s="1208" t="s">
        <v>477</v>
      </c>
      <c r="C340" s="1208" t="s">
        <v>1086</v>
      </c>
      <c r="D340" s="1208" t="s">
        <v>448</v>
      </c>
      <c r="E340" s="1208" t="s">
        <v>488</v>
      </c>
      <c r="F340" s="1208" t="s">
        <v>590</v>
      </c>
      <c r="G340" s="1208" t="s">
        <v>456</v>
      </c>
      <c r="H340" s="1208" t="s">
        <v>457</v>
      </c>
      <c r="I340" s="1209" t="s">
        <v>795</v>
      </c>
      <c r="J340" s="1208" t="s">
        <v>440</v>
      </c>
      <c r="K340" s="1208" t="s">
        <v>591</v>
      </c>
      <c r="L340" s="1208" t="s">
        <v>124</v>
      </c>
      <c r="M340" s="1208" t="s">
        <v>462</v>
      </c>
      <c r="N340" s="1208" t="s">
        <v>795</v>
      </c>
      <c r="O340" s="1210" t="s">
        <v>1087</v>
      </c>
      <c r="P340" s="1210">
        <v>4798</v>
      </c>
      <c r="Q340" s="1210">
        <v>1571</v>
      </c>
      <c r="R340" s="1208" t="s">
        <v>442</v>
      </c>
    </row>
    <row r="341" spans="1:18" hidden="1">
      <c r="A341" s="1211" t="s">
        <v>459</v>
      </c>
      <c r="B341" s="1211" t="s">
        <v>477</v>
      </c>
      <c r="C341" s="1211" t="s">
        <v>1088</v>
      </c>
      <c r="D341" s="1211" t="s">
        <v>448</v>
      </c>
      <c r="E341" s="1211" t="s">
        <v>488</v>
      </c>
      <c r="F341" s="1211" t="s">
        <v>1081</v>
      </c>
      <c r="G341" s="1211" t="s">
        <v>1053</v>
      </c>
      <c r="H341" s="1211" t="s">
        <v>457</v>
      </c>
      <c r="I341" s="1212" t="s">
        <v>795</v>
      </c>
      <c r="J341" s="1211" t="s">
        <v>440</v>
      </c>
      <c r="K341" s="1211" t="s">
        <v>1082</v>
      </c>
      <c r="L341" s="1211" t="s">
        <v>124</v>
      </c>
      <c r="M341" s="1211" t="s">
        <v>462</v>
      </c>
      <c r="N341" s="1211" t="s">
        <v>795</v>
      </c>
      <c r="O341" s="1213" t="s">
        <v>781</v>
      </c>
      <c r="P341" s="1213">
        <v>2823</v>
      </c>
      <c r="Q341" s="1213">
        <v>1302</v>
      </c>
      <c r="R341" s="1211" t="s">
        <v>442</v>
      </c>
    </row>
    <row r="342" spans="1:18">
      <c r="A342" s="1208" t="s">
        <v>459</v>
      </c>
      <c r="B342" s="1208" t="s">
        <v>477</v>
      </c>
      <c r="C342" s="1208" t="s">
        <v>1089</v>
      </c>
      <c r="D342" s="1208" t="s">
        <v>448</v>
      </c>
      <c r="E342" s="1208" t="s">
        <v>488</v>
      </c>
      <c r="F342" s="1208" t="s">
        <v>493</v>
      </c>
      <c r="G342" s="1208" t="s">
        <v>456</v>
      </c>
      <c r="H342" s="1208" t="s">
        <v>457</v>
      </c>
      <c r="I342" s="1209" t="s">
        <v>614</v>
      </c>
      <c r="J342" s="1208" t="s">
        <v>445</v>
      </c>
      <c r="K342" s="1208" t="s">
        <v>494</v>
      </c>
      <c r="L342" s="1208" t="s">
        <v>453</v>
      </c>
      <c r="M342" s="1208" t="s">
        <v>461</v>
      </c>
      <c r="N342" s="1208" t="s">
        <v>614</v>
      </c>
      <c r="O342" s="1210" t="s">
        <v>492</v>
      </c>
      <c r="P342" s="1210">
        <v>3914</v>
      </c>
      <c r="Q342" s="1210">
        <v>1212</v>
      </c>
      <c r="R342" s="1208" t="s">
        <v>442</v>
      </c>
    </row>
    <row r="343" spans="1:18" hidden="1">
      <c r="A343" s="1211" t="s">
        <v>459</v>
      </c>
      <c r="B343" s="1211" t="s">
        <v>477</v>
      </c>
      <c r="C343" s="1211" t="s">
        <v>1090</v>
      </c>
      <c r="D343" s="1211" t="s">
        <v>1091</v>
      </c>
      <c r="E343" s="1211" t="s">
        <v>1092</v>
      </c>
      <c r="F343" s="1211" t="s">
        <v>1093</v>
      </c>
      <c r="G343" s="1211" t="s">
        <v>1094</v>
      </c>
      <c r="H343" s="1211" t="s">
        <v>444</v>
      </c>
      <c r="I343" s="1212" t="s">
        <v>614</v>
      </c>
      <c r="J343" s="1211" t="s">
        <v>440</v>
      </c>
      <c r="K343" s="1211" t="s">
        <v>1095</v>
      </c>
      <c r="L343" s="1211" t="s">
        <v>124</v>
      </c>
      <c r="M343" s="1211" t="s">
        <v>1096</v>
      </c>
      <c r="N343" s="1211" t="s">
        <v>825</v>
      </c>
      <c r="O343" s="1213" t="s">
        <v>490</v>
      </c>
      <c r="P343" s="1213">
        <v>0</v>
      </c>
      <c r="Q343" s="1213">
        <v>21</v>
      </c>
      <c r="R343" s="1211" t="s">
        <v>442</v>
      </c>
    </row>
    <row r="344" spans="1:18" hidden="1">
      <c r="A344" s="1208" t="s">
        <v>459</v>
      </c>
      <c r="B344" s="1208" t="s">
        <v>477</v>
      </c>
      <c r="C344" s="1208" t="s">
        <v>1097</v>
      </c>
      <c r="D344" s="1208" t="s">
        <v>448</v>
      </c>
      <c r="E344" s="1208" t="s">
        <v>488</v>
      </c>
      <c r="F344" s="1208" t="s">
        <v>493</v>
      </c>
      <c r="G344" s="1208" t="s">
        <v>456</v>
      </c>
      <c r="H344" s="1208" t="s">
        <v>457</v>
      </c>
      <c r="I344" s="1209" t="s">
        <v>614</v>
      </c>
      <c r="J344" s="1208" t="s">
        <v>440</v>
      </c>
      <c r="K344" s="1208" t="s">
        <v>494</v>
      </c>
      <c r="L344" s="1208" t="s">
        <v>461</v>
      </c>
      <c r="M344" s="1208" t="s">
        <v>441</v>
      </c>
      <c r="N344" s="1208" t="s">
        <v>614</v>
      </c>
      <c r="O344" s="1210" t="s">
        <v>496</v>
      </c>
      <c r="P344" s="1210">
        <v>3914</v>
      </c>
      <c r="Q344" s="1210">
        <v>1212</v>
      </c>
      <c r="R344" s="1208" t="s">
        <v>442</v>
      </c>
    </row>
    <row r="345" spans="1:18">
      <c r="A345" s="1211" t="s">
        <v>459</v>
      </c>
      <c r="B345" s="1211" t="s">
        <v>477</v>
      </c>
      <c r="C345" s="1211" t="s">
        <v>1098</v>
      </c>
      <c r="D345" s="1211" t="s">
        <v>450</v>
      </c>
      <c r="E345" s="1211" t="s">
        <v>491</v>
      </c>
      <c r="F345" s="1211" t="s">
        <v>593</v>
      </c>
      <c r="G345" s="1211" t="s">
        <v>455</v>
      </c>
      <c r="H345" s="1211" t="s">
        <v>457</v>
      </c>
      <c r="I345" s="1212" t="s">
        <v>614</v>
      </c>
      <c r="J345" s="1211" t="s">
        <v>445</v>
      </c>
      <c r="K345" s="1211" t="s">
        <v>594</v>
      </c>
      <c r="L345" s="1211" t="s">
        <v>441</v>
      </c>
      <c r="M345" s="1211" t="s">
        <v>461</v>
      </c>
      <c r="N345" s="1211" t="s">
        <v>825</v>
      </c>
      <c r="O345" s="1213" t="s">
        <v>498</v>
      </c>
      <c r="P345" s="1213">
        <v>3769</v>
      </c>
      <c r="Q345" s="1213">
        <v>1159</v>
      </c>
      <c r="R345" s="1211" t="s">
        <v>442</v>
      </c>
    </row>
    <row r="346" spans="1:18" hidden="1">
      <c r="A346" s="1208" t="s">
        <v>459</v>
      </c>
      <c r="B346" s="1208" t="s">
        <v>477</v>
      </c>
      <c r="C346" s="1208" t="s">
        <v>1099</v>
      </c>
      <c r="D346" s="1208" t="s">
        <v>450</v>
      </c>
      <c r="E346" s="1208" t="s">
        <v>491</v>
      </c>
      <c r="F346" s="1208" t="s">
        <v>593</v>
      </c>
      <c r="G346" s="1208" t="s">
        <v>455</v>
      </c>
      <c r="H346" s="1208" t="s">
        <v>457</v>
      </c>
      <c r="I346" s="1209" t="s">
        <v>825</v>
      </c>
      <c r="J346" s="1208" t="s">
        <v>440</v>
      </c>
      <c r="K346" s="1208" t="s">
        <v>594</v>
      </c>
      <c r="L346" s="1208" t="s">
        <v>461</v>
      </c>
      <c r="M346" s="1208" t="s">
        <v>460</v>
      </c>
      <c r="N346" s="1208" t="s">
        <v>825</v>
      </c>
      <c r="O346" s="1210" t="s">
        <v>496</v>
      </c>
      <c r="P346" s="1210">
        <v>3769</v>
      </c>
      <c r="Q346" s="1210">
        <v>1159</v>
      </c>
      <c r="R346" s="1208" t="s">
        <v>442</v>
      </c>
    </row>
    <row r="347" spans="1:18">
      <c r="A347" s="1211" t="s">
        <v>459</v>
      </c>
      <c r="B347" s="1211" t="s">
        <v>477</v>
      </c>
      <c r="C347" s="1211" t="s">
        <v>1100</v>
      </c>
      <c r="D347" s="1211" t="s">
        <v>448</v>
      </c>
      <c r="E347" s="1211" t="s">
        <v>488</v>
      </c>
      <c r="F347" s="1211" t="s">
        <v>493</v>
      </c>
      <c r="G347" s="1211" t="s">
        <v>456</v>
      </c>
      <c r="H347" s="1211" t="s">
        <v>457</v>
      </c>
      <c r="I347" s="1212" t="s">
        <v>618</v>
      </c>
      <c r="J347" s="1211" t="s">
        <v>445</v>
      </c>
      <c r="K347" s="1211" t="s">
        <v>494</v>
      </c>
      <c r="L347" s="1211" t="s">
        <v>441</v>
      </c>
      <c r="M347" s="1211" t="s">
        <v>124</v>
      </c>
      <c r="N347" s="1211" t="s">
        <v>618</v>
      </c>
      <c r="O347" s="1213" t="s">
        <v>504</v>
      </c>
      <c r="P347" s="1213">
        <v>3910</v>
      </c>
      <c r="Q347" s="1213">
        <v>1213</v>
      </c>
      <c r="R347" s="1211" t="s">
        <v>442</v>
      </c>
    </row>
    <row r="348" spans="1:18" hidden="1">
      <c r="A348" s="1208" t="s">
        <v>459</v>
      </c>
      <c r="B348" s="1208" t="s">
        <v>477</v>
      </c>
      <c r="C348" s="1208" t="s">
        <v>1101</v>
      </c>
      <c r="D348" s="1208" t="s">
        <v>448</v>
      </c>
      <c r="E348" s="1208" t="s">
        <v>488</v>
      </c>
      <c r="F348" s="1208" t="s">
        <v>1102</v>
      </c>
      <c r="G348" s="1208" t="s">
        <v>443</v>
      </c>
      <c r="H348" s="1208" t="s">
        <v>444</v>
      </c>
      <c r="I348" s="1209" t="s">
        <v>863</v>
      </c>
      <c r="J348" s="1208" t="s">
        <v>445</v>
      </c>
      <c r="K348" s="1208" t="s">
        <v>1103</v>
      </c>
      <c r="L348" s="1208" t="s">
        <v>1104</v>
      </c>
      <c r="M348" s="1208" t="s">
        <v>124</v>
      </c>
      <c r="N348" s="1208" t="s">
        <v>884</v>
      </c>
      <c r="O348" s="1210" t="s">
        <v>490</v>
      </c>
      <c r="P348" s="1210">
        <v>0</v>
      </c>
      <c r="Q348" s="1210">
        <v>26</v>
      </c>
      <c r="R348" s="1208" t="s">
        <v>442</v>
      </c>
    </row>
    <row r="349" spans="1:18" hidden="1">
      <c r="A349" s="1211" t="s">
        <v>459</v>
      </c>
      <c r="B349" s="1211" t="s">
        <v>477</v>
      </c>
      <c r="C349" s="1211" t="s">
        <v>1105</v>
      </c>
      <c r="D349" s="1211" t="s">
        <v>555</v>
      </c>
      <c r="E349" s="1211" t="s">
        <v>556</v>
      </c>
      <c r="F349" s="1211" t="s">
        <v>1106</v>
      </c>
      <c r="G349" s="1211" t="s">
        <v>443</v>
      </c>
      <c r="H349" s="1211" t="s">
        <v>557</v>
      </c>
      <c r="I349" s="1212" t="s">
        <v>863</v>
      </c>
      <c r="J349" s="1211" t="s">
        <v>445</v>
      </c>
      <c r="K349" s="1211" t="s">
        <v>1107</v>
      </c>
      <c r="L349" s="1211" t="s">
        <v>747</v>
      </c>
      <c r="M349" s="1211" t="s">
        <v>124</v>
      </c>
      <c r="N349" s="1211" t="s">
        <v>622</v>
      </c>
      <c r="O349" s="1213" t="s">
        <v>551</v>
      </c>
      <c r="P349" s="1213">
        <v>0</v>
      </c>
      <c r="Q349" s="1213">
        <v>23</v>
      </c>
      <c r="R349" s="1211" t="s">
        <v>442</v>
      </c>
    </row>
    <row r="350" spans="1:18">
      <c r="A350" s="1208" t="s">
        <v>459</v>
      </c>
      <c r="B350" s="1208" t="s">
        <v>477</v>
      </c>
      <c r="C350" s="1208" t="s">
        <v>1108</v>
      </c>
      <c r="D350" s="1208" t="s">
        <v>450</v>
      </c>
      <c r="E350" s="1208" t="s">
        <v>491</v>
      </c>
      <c r="F350" s="1208" t="s">
        <v>553</v>
      </c>
      <c r="G350" s="1208" t="s">
        <v>456</v>
      </c>
      <c r="H350" s="1208" t="s">
        <v>457</v>
      </c>
      <c r="I350" s="1209" t="s">
        <v>884</v>
      </c>
      <c r="J350" s="1208" t="s">
        <v>445</v>
      </c>
      <c r="K350" s="1208" t="s">
        <v>554</v>
      </c>
      <c r="L350" s="1208" t="s">
        <v>441</v>
      </c>
      <c r="M350" s="1208" t="s">
        <v>124</v>
      </c>
      <c r="N350" s="1208" t="s">
        <v>622</v>
      </c>
      <c r="O350" s="1210" t="s">
        <v>498</v>
      </c>
      <c r="P350" s="1210">
        <v>3340</v>
      </c>
      <c r="Q350" s="1210">
        <v>1143</v>
      </c>
      <c r="R350" s="1208" t="s">
        <v>442</v>
      </c>
    </row>
    <row r="351" spans="1:18" hidden="1">
      <c r="A351" s="1211" t="s">
        <v>459</v>
      </c>
      <c r="B351" s="1211" t="s">
        <v>477</v>
      </c>
      <c r="C351" s="1211" t="s">
        <v>1109</v>
      </c>
      <c r="D351" s="1211" t="s">
        <v>1069</v>
      </c>
      <c r="E351" s="1211" t="s">
        <v>1070</v>
      </c>
      <c r="F351" s="1211" t="s">
        <v>1110</v>
      </c>
      <c r="G351" s="1211" t="s">
        <v>443</v>
      </c>
      <c r="H351" s="1211" t="s">
        <v>444</v>
      </c>
      <c r="I351" s="1212" t="s">
        <v>899</v>
      </c>
      <c r="J351" s="1211" t="s">
        <v>445</v>
      </c>
      <c r="K351" s="1211" t="s">
        <v>1111</v>
      </c>
      <c r="L351" s="1211" t="s">
        <v>446</v>
      </c>
      <c r="M351" s="1211" t="s">
        <v>124</v>
      </c>
      <c r="N351" s="1211" t="s">
        <v>622</v>
      </c>
      <c r="O351" s="1213" t="s">
        <v>537</v>
      </c>
      <c r="P351" s="1213">
        <v>0</v>
      </c>
      <c r="Q351" s="1213">
        <v>19</v>
      </c>
      <c r="R351" s="1211" t="s">
        <v>442</v>
      </c>
    </row>
    <row r="352" spans="1:18" hidden="1">
      <c r="A352" s="1208" t="s">
        <v>459</v>
      </c>
      <c r="B352" s="1208" t="s">
        <v>477</v>
      </c>
      <c r="C352" s="1208" t="s">
        <v>1112</v>
      </c>
      <c r="D352" s="1208" t="s">
        <v>450</v>
      </c>
      <c r="E352" s="1208" t="s">
        <v>491</v>
      </c>
      <c r="F352" s="1208" t="s">
        <v>553</v>
      </c>
      <c r="G352" s="1208" t="s">
        <v>456</v>
      </c>
      <c r="H352" s="1208" t="s">
        <v>457</v>
      </c>
      <c r="I352" s="1209" t="s">
        <v>622</v>
      </c>
      <c r="J352" s="1208" t="s">
        <v>440</v>
      </c>
      <c r="K352" s="1208" t="s">
        <v>554</v>
      </c>
      <c r="L352" s="1208" t="s">
        <v>124</v>
      </c>
      <c r="M352" s="1208" t="s">
        <v>462</v>
      </c>
      <c r="N352" s="1208" t="s">
        <v>622</v>
      </c>
      <c r="O352" s="1210" t="s">
        <v>496</v>
      </c>
      <c r="P352" s="1210">
        <v>3338</v>
      </c>
      <c r="Q352" s="1210">
        <v>1144</v>
      </c>
      <c r="R352" s="1208" t="s">
        <v>442</v>
      </c>
    </row>
    <row r="353" spans="1:18" hidden="1">
      <c r="A353" s="1211" t="s">
        <v>459</v>
      </c>
      <c r="B353" s="1211" t="s">
        <v>477</v>
      </c>
      <c r="C353" s="1211" t="s">
        <v>1113</v>
      </c>
      <c r="D353" s="1211" t="s">
        <v>555</v>
      </c>
      <c r="E353" s="1211" t="s">
        <v>556</v>
      </c>
      <c r="F353" s="1211" t="s">
        <v>1106</v>
      </c>
      <c r="G353" s="1211" t="s">
        <v>443</v>
      </c>
      <c r="H353" s="1211" t="s">
        <v>557</v>
      </c>
      <c r="I353" s="1212" t="s">
        <v>926</v>
      </c>
      <c r="J353" s="1211" t="s">
        <v>440</v>
      </c>
      <c r="K353" s="1211" t="s">
        <v>1107</v>
      </c>
      <c r="L353" s="1211" t="s">
        <v>124</v>
      </c>
      <c r="M353" s="1211" t="s">
        <v>443</v>
      </c>
      <c r="N353" s="1211" t="s">
        <v>926</v>
      </c>
      <c r="O353" s="1213" t="s">
        <v>1006</v>
      </c>
      <c r="P353" s="1213">
        <v>0</v>
      </c>
      <c r="Q353" s="1213">
        <v>23</v>
      </c>
      <c r="R353" s="1211" t="s">
        <v>442</v>
      </c>
    </row>
    <row r="354" spans="1:18" hidden="1">
      <c r="A354" s="1208" t="s">
        <v>459</v>
      </c>
      <c r="B354" s="1208" t="s">
        <v>477</v>
      </c>
      <c r="C354" s="1208" t="s">
        <v>1114</v>
      </c>
      <c r="D354" s="1208" t="s">
        <v>438</v>
      </c>
      <c r="E354" s="1208" t="s">
        <v>497</v>
      </c>
      <c r="F354" s="1208" t="s">
        <v>1115</v>
      </c>
      <c r="G354" s="1208" t="s">
        <v>441</v>
      </c>
      <c r="H354" s="1208" t="s">
        <v>439</v>
      </c>
      <c r="I354" s="1209" t="s">
        <v>627</v>
      </c>
      <c r="J354" s="1208" t="s">
        <v>445</v>
      </c>
      <c r="K354" s="1208" t="s">
        <v>1116</v>
      </c>
      <c r="L354" s="1208" t="s">
        <v>441</v>
      </c>
      <c r="M354" s="1208" t="s">
        <v>124</v>
      </c>
      <c r="N354" s="1208" t="s">
        <v>627</v>
      </c>
      <c r="O354" s="1210" t="s">
        <v>490</v>
      </c>
      <c r="P354" s="1210">
        <v>0</v>
      </c>
      <c r="Q354" s="1210">
        <v>3</v>
      </c>
      <c r="R354" s="1208" t="s">
        <v>442</v>
      </c>
    </row>
    <row r="355" spans="1:18">
      <c r="A355" s="1211" t="s">
        <v>459</v>
      </c>
      <c r="B355" s="1211" t="s">
        <v>477</v>
      </c>
      <c r="C355" s="1211" t="s">
        <v>1117</v>
      </c>
      <c r="D355" s="1211" t="s">
        <v>450</v>
      </c>
      <c r="E355" s="1211" t="s">
        <v>491</v>
      </c>
      <c r="F355" s="1211" t="s">
        <v>1118</v>
      </c>
      <c r="G355" s="1211" t="s">
        <v>559</v>
      </c>
      <c r="H355" s="1211" t="s">
        <v>457</v>
      </c>
      <c r="I355" s="1212" t="s">
        <v>627</v>
      </c>
      <c r="J355" s="1211" t="s">
        <v>445</v>
      </c>
      <c r="K355" s="1211" t="s">
        <v>1119</v>
      </c>
      <c r="L355" s="1211" t="s">
        <v>441</v>
      </c>
      <c r="M355" s="1211" t="s">
        <v>461</v>
      </c>
      <c r="N355" s="1211" t="s">
        <v>950</v>
      </c>
      <c r="O355" s="1213" t="s">
        <v>498</v>
      </c>
      <c r="P355" s="1213">
        <v>2062</v>
      </c>
      <c r="Q355" s="1213">
        <v>879</v>
      </c>
      <c r="R355" s="1211" t="s">
        <v>442</v>
      </c>
    </row>
    <row r="356" spans="1:18" hidden="1">
      <c r="A356" s="1208" t="s">
        <v>459</v>
      </c>
      <c r="B356" s="1208" t="s">
        <v>477</v>
      </c>
      <c r="C356" s="1208" t="s">
        <v>1120</v>
      </c>
      <c r="D356" s="1208" t="s">
        <v>438</v>
      </c>
      <c r="E356" s="1208" t="s">
        <v>497</v>
      </c>
      <c r="F356" s="1208" t="s">
        <v>1121</v>
      </c>
      <c r="G356" s="1208" t="s">
        <v>1122</v>
      </c>
      <c r="H356" s="1208" t="s">
        <v>1065</v>
      </c>
      <c r="I356" s="1209" t="s">
        <v>981</v>
      </c>
      <c r="J356" s="1208" t="s">
        <v>445</v>
      </c>
      <c r="K356" s="1208" t="s">
        <v>1123</v>
      </c>
      <c r="L356" s="1208" t="s">
        <v>1124</v>
      </c>
      <c r="M356" s="1208" t="s">
        <v>124</v>
      </c>
      <c r="N356" s="1208" t="s">
        <v>981</v>
      </c>
      <c r="O356" s="1210" t="s">
        <v>611</v>
      </c>
      <c r="P356" s="1210">
        <v>0</v>
      </c>
      <c r="Q356" s="1210">
        <v>9</v>
      </c>
      <c r="R356" s="1208" t="s">
        <v>442</v>
      </c>
    </row>
    <row r="357" spans="1:18">
      <c r="A357" s="1211" t="s">
        <v>459</v>
      </c>
      <c r="B357" s="1211" t="s">
        <v>477</v>
      </c>
      <c r="C357" s="1211" t="s">
        <v>1125</v>
      </c>
      <c r="D357" s="1211" t="s">
        <v>448</v>
      </c>
      <c r="E357" s="1211" t="s">
        <v>488</v>
      </c>
      <c r="F357" s="1211" t="s">
        <v>1126</v>
      </c>
      <c r="G357" s="1211" t="s">
        <v>456</v>
      </c>
      <c r="H357" s="1211" t="s">
        <v>457</v>
      </c>
      <c r="I357" s="1212" t="s">
        <v>643</v>
      </c>
      <c r="J357" s="1211" t="s">
        <v>445</v>
      </c>
      <c r="K357" s="1211" t="s">
        <v>1127</v>
      </c>
      <c r="L357" s="1211" t="s">
        <v>460</v>
      </c>
      <c r="M357" s="1211" t="s">
        <v>124</v>
      </c>
      <c r="N357" s="1211" t="s">
        <v>643</v>
      </c>
      <c r="O357" s="1213" t="s">
        <v>490</v>
      </c>
      <c r="P357" s="1213">
        <v>1823</v>
      </c>
      <c r="Q357" s="1213">
        <v>863</v>
      </c>
      <c r="R357" s="1211" t="s">
        <v>442</v>
      </c>
    </row>
    <row r="358" spans="1:18" hidden="1">
      <c r="A358" s="1208" t="s">
        <v>459</v>
      </c>
      <c r="B358" s="1208" t="s">
        <v>477</v>
      </c>
      <c r="C358" s="1208" t="s">
        <v>1128</v>
      </c>
      <c r="D358" s="1208" t="s">
        <v>448</v>
      </c>
      <c r="E358" s="1208" t="s">
        <v>488</v>
      </c>
      <c r="F358" s="1208" t="s">
        <v>1129</v>
      </c>
      <c r="G358" s="1208" t="s">
        <v>1130</v>
      </c>
      <c r="H358" s="1208" t="s">
        <v>1131</v>
      </c>
      <c r="I358" s="1209" t="s">
        <v>654</v>
      </c>
      <c r="J358" s="1208" t="s">
        <v>445</v>
      </c>
      <c r="K358" s="1208" t="s">
        <v>1132</v>
      </c>
      <c r="L358" s="1208" t="s">
        <v>446</v>
      </c>
      <c r="M358" s="1208" t="s">
        <v>124</v>
      </c>
      <c r="N358" s="1208" t="s">
        <v>657</v>
      </c>
      <c r="O358" s="1210" t="s">
        <v>492</v>
      </c>
      <c r="P358" s="1210">
        <v>0</v>
      </c>
      <c r="Q358" s="1210">
        <v>14</v>
      </c>
      <c r="R358" s="1208" t="s">
        <v>442</v>
      </c>
    </row>
    <row r="359" spans="1:18">
      <c r="A359" s="1211" t="s">
        <v>459</v>
      </c>
      <c r="B359" s="1211" t="s">
        <v>477</v>
      </c>
      <c r="C359" s="1211" t="s">
        <v>1133</v>
      </c>
      <c r="D359" s="1211" t="s">
        <v>450</v>
      </c>
      <c r="E359" s="1211" t="s">
        <v>491</v>
      </c>
      <c r="F359" s="1211" t="s">
        <v>1134</v>
      </c>
      <c r="G359" s="1211" t="s">
        <v>559</v>
      </c>
      <c r="H359" s="1211" t="s">
        <v>457</v>
      </c>
      <c r="I359" s="1212" t="s">
        <v>654</v>
      </c>
      <c r="J359" s="1211" t="s">
        <v>445</v>
      </c>
      <c r="K359" s="1211" t="s">
        <v>1135</v>
      </c>
      <c r="L359" s="1211" t="s">
        <v>441</v>
      </c>
      <c r="M359" s="1211" t="s">
        <v>461</v>
      </c>
      <c r="N359" s="1211" t="s">
        <v>657</v>
      </c>
      <c r="O359" s="1213" t="s">
        <v>498</v>
      </c>
      <c r="P359" s="1213">
        <v>2982</v>
      </c>
      <c r="Q359" s="1213">
        <v>1122</v>
      </c>
      <c r="R359" s="1211" t="s">
        <v>442</v>
      </c>
    </row>
  </sheetData>
  <autoFilter ref="A1:R359" xr:uid="{00000000-0001-0000-0000-000000000000}">
    <filterColumn colId="7">
      <filters>
        <filter val="CRUISE SHIP"/>
      </filters>
    </filterColumn>
    <filterColumn colId="9">
      <filters>
        <filter val="Inbound"/>
      </filters>
    </filterColumn>
  </autoFilter>
  <pageMargins left="0.7" right="0.7" top="0.75" bottom="0.75" header="0.3" footer="0.3"/>
  <pageSetup fitToHeight="0" orientation="landscape" horizontalDpi="4294967295" verticalDpi="4294967295"/>
  <headerFooter>
    <oddFooter>&amp;LGenerated: 21/05/2026, 10:57:52 am&amp;RPage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2.75"/>
  <cols>
    <col min="1" max="1" width="15" bestFit="1" customWidth="1"/>
    <col min="2" max="3" width="9.28515625" customWidth="1"/>
    <col min="4" max="4" width="12.85546875" bestFit="1" customWidth="1"/>
    <col min="5" max="5" width="13.85546875" bestFit="1" customWidth="1"/>
    <col min="6" max="6" width="10.140625" customWidth="1"/>
  </cols>
  <sheetData>
    <row r="2" spans="1:13" ht="12.75" customHeight="1">
      <c r="A2" s="492"/>
      <c r="B2" s="493"/>
      <c r="C2" s="493"/>
      <c r="D2" s="246"/>
      <c r="E2" s="494"/>
      <c r="F2" s="495"/>
    </row>
    <row r="3" spans="1:13" ht="48">
      <c r="A3" s="592" t="s">
        <v>332</v>
      </c>
      <c r="B3" s="592" t="s">
        <v>18</v>
      </c>
      <c r="C3" s="593" t="s">
        <v>325</v>
      </c>
      <c r="D3" s="593" t="s">
        <v>193</v>
      </c>
      <c r="E3" s="593" t="s">
        <v>191</v>
      </c>
      <c r="F3" s="593" t="s">
        <v>192</v>
      </c>
      <c r="G3" s="593" t="s">
        <v>19</v>
      </c>
    </row>
    <row r="4" spans="1:13">
      <c r="A4" s="503">
        <v>43617</v>
      </c>
      <c r="B4" s="496">
        <f>'Tab 2.Purpose of visit'!D205</f>
        <v>8388</v>
      </c>
      <c r="C4" s="496">
        <f>'Tab 2.Purpose of visit'!F205</f>
        <v>828</v>
      </c>
      <c r="D4" s="496">
        <f>'Tab 2.Purpose of visit'!L205</f>
        <v>707</v>
      </c>
      <c r="E4" s="497">
        <f>'Tab 2.Purpose of visit'!H205</f>
        <v>680</v>
      </c>
      <c r="F4" s="496">
        <f>'Tab 2.Purpose of visit'!J205</f>
        <v>4</v>
      </c>
      <c r="G4" s="499">
        <f t="shared" ref="G4:G14" si="0">SUM(B4:F4)</f>
        <v>10607</v>
      </c>
      <c r="J4" s="498"/>
      <c r="K4" s="498"/>
      <c r="L4" s="498"/>
      <c r="M4" s="498"/>
    </row>
    <row r="5" spans="1:13">
      <c r="A5" s="503">
        <v>43647</v>
      </c>
      <c r="B5" s="496">
        <f>'Tab 2.Purpose of visit'!D206</f>
        <v>10192</v>
      </c>
      <c r="C5" s="496">
        <f>'Tab 2.Purpose of visit'!F206</f>
        <v>846</v>
      </c>
      <c r="D5" s="496">
        <f>'Tab 2.Purpose of visit'!L206</f>
        <v>702</v>
      </c>
      <c r="E5" s="497">
        <f>'Tab 2.Purpose of visit'!H206</f>
        <v>852</v>
      </c>
      <c r="F5" s="496">
        <f>'Tab 2.Purpose of visit'!J206</f>
        <v>20</v>
      </c>
      <c r="G5" s="499">
        <f t="shared" si="0"/>
        <v>12612</v>
      </c>
      <c r="J5" s="498"/>
      <c r="K5" s="498"/>
      <c r="L5" s="498"/>
      <c r="M5" s="498"/>
    </row>
    <row r="6" spans="1:13">
      <c r="A6" s="503">
        <v>43678</v>
      </c>
      <c r="B6" s="496">
        <f>'Tab 2.Purpose of visit'!D207</f>
        <v>9477</v>
      </c>
      <c r="C6" s="496">
        <f>'Tab 2.Purpose of visit'!F207</f>
        <v>979</v>
      </c>
      <c r="D6" s="496">
        <f>'Tab 2.Purpose of visit'!L207</f>
        <v>799</v>
      </c>
      <c r="E6" s="497">
        <f>'Tab 2.Purpose of visit'!H207</f>
        <v>1004</v>
      </c>
      <c r="F6" s="496">
        <f>'Tab 2.Purpose of visit'!J207</f>
        <v>16</v>
      </c>
      <c r="G6" s="499">
        <f t="shared" si="0"/>
        <v>12275</v>
      </c>
      <c r="J6" s="498"/>
      <c r="K6" s="498"/>
      <c r="L6" s="498"/>
      <c r="M6" s="498"/>
    </row>
    <row r="7" spans="1:13">
      <c r="A7" s="503">
        <v>43709</v>
      </c>
      <c r="B7" s="496">
        <f>'Tab 2.Purpose of visit'!D208</f>
        <v>9756</v>
      </c>
      <c r="C7" s="496">
        <f>'Tab 2.Purpose of visit'!F208</f>
        <v>744</v>
      </c>
      <c r="D7" s="496">
        <f>'Tab 2.Purpose of visit'!L208</f>
        <v>659</v>
      </c>
      <c r="E7" s="497">
        <f>'Tab 2.Purpose of visit'!H208</f>
        <v>536</v>
      </c>
      <c r="F7" s="496">
        <f>'Tab 2.Purpose of visit'!J208</f>
        <v>5</v>
      </c>
      <c r="G7" s="499">
        <f t="shared" si="0"/>
        <v>11700</v>
      </c>
      <c r="J7" s="498"/>
      <c r="K7" s="498"/>
      <c r="L7" s="498"/>
      <c r="M7" s="498"/>
    </row>
    <row r="8" spans="1:13">
      <c r="A8" s="503">
        <v>43739</v>
      </c>
      <c r="B8" s="496">
        <f>'Tab 2.Purpose of visit'!D209</f>
        <v>8761</v>
      </c>
      <c r="C8" s="496">
        <f>'Tab 2.Purpose of visit'!F209</f>
        <v>667</v>
      </c>
      <c r="D8" s="496">
        <f>'Tab 2.Purpose of visit'!L209</f>
        <v>693</v>
      </c>
      <c r="E8" s="497">
        <f>'Tab 2.Purpose of visit'!H209:H209</f>
        <v>677</v>
      </c>
      <c r="F8" s="496">
        <f>'Tab 2.Purpose of visit'!J209</f>
        <v>82</v>
      </c>
      <c r="G8" s="499">
        <f t="shared" si="0"/>
        <v>10880</v>
      </c>
      <c r="J8" s="498"/>
      <c r="K8" s="498"/>
      <c r="L8" s="498"/>
      <c r="M8" s="498"/>
    </row>
    <row r="9" spans="1:13">
      <c r="A9" s="503">
        <v>43770</v>
      </c>
      <c r="B9" s="496">
        <f>'Tab 2.Purpose of visit'!D210</f>
        <v>7588</v>
      </c>
      <c r="C9" s="496">
        <v>467</v>
      </c>
      <c r="D9" s="496">
        <v>763</v>
      </c>
      <c r="E9" s="497">
        <f>'Tab 2.Purpose of visit'!H210</f>
        <v>832</v>
      </c>
      <c r="F9" s="496">
        <v>210</v>
      </c>
      <c r="G9" s="499">
        <f t="shared" si="0"/>
        <v>9860</v>
      </c>
      <c r="J9" s="498"/>
      <c r="K9" s="498"/>
      <c r="L9" s="498"/>
      <c r="M9" s="498"/>
    </row>
    <row r="10" spans="1:13">
      <c r="A10" s="503">
        <v>43800</v>
      </c>
      <c r="B10" s="496">
        <f>'Tab 2.Purpose of visit'!D211</f>
        <v>10411</v>
      </c>
      <c r="C10" s="496">
        <v>1032</v>
      </c>
      <c r="D10" s="496">
        <v>420</v>
      </c>
      <c r="E10" s="497">
        <v>467</v>
      </c>
      <c r="F10" s="496">
        <v>151</v>
      </c>
      <c r="G10" s="499">
        <f t="shared" si="0"/>
        <v>12481</v>
      </c>
      <c r="J10" s="498"/>
      <c r="K10" s="498"/>
      <c r="L10" s="498"/>
      <c r="M10" s="498"/>
    </row>
    <row r="11" spans="1:13">
      <c r="A11" s="503">
        <v>43831</v>
      </c>
      <c r="B11" s="496">
        <f>'Tab 2.Purpose of visit'!D212</f>
        <v>9837</v>
      </c>
      <c r="C11" s="496">
        <f>'Tab 2.Purpose of visit'!F212</f>
        <v>676</v>
      </c>
      <c r="D11" s="496">
        <f>'Tab 2.Purpose of visit'!L212</f>
        <v>834</v>
      </c>
      <c r="E11" s="497">
        <f>'Tab 2.Purpose of visit'!H212</f>
        <v>316</v>
      </c>
      <c r="F11" s="496">
        <f>'Tab 2.Purpose of visit'!J212</f>
        <v>270</v>
      </c>
      <c r="G11" s="499">
        <f t="shared" si="0"/>
        <v>11933</v>
      </c>
      <c r="J11" s="498"/>
      <c r="K11" s="498"/>
      <c r="L11" s="498"/>
      <c r="M11" s="498"/>
    </row>
    <row r="12" spans="1:13">
      <c r="A12" s="503">
        <v>43862</v>
      </c>
      <c r="B12" s="496">
        <f>'Tab 2.Purpose of visit'!D213</f>
        <v>4691</v>
      </c>
      <c r="C12" s="496">
        <f>'Tab 2.Purpose of visit'!F213</f>
        <v>470</v>
      </c>
      <c r="D12" s="496">
        <f>'Tab 2.Purpose of visit'!L213</f>
        <v>754</v>
      </c>
      <c r="E12" s="497">
        <f>'Tab 2.Purpose of visit'!H213</f>
        <v>545</v>
      </c>
      <c r="F12" s="496">
        <f>'Tab 2.Purpose of visit'!J213</f>
        <v>134</v>
      </c>
      <c r="G12" s="499">
        <f t="shared" si="0"/>
        <v>6594</v>
      </c>
      <c r="J12" s="498"/>
      <c r="K12" s="498"/>
      <c r="L12" s="498"/>
      <c r="M12" s="498"/>
    </row>
    <row r="13" spans="1:13">
      <c r="A13" s="503">
        <v>43891</v>
      </c>
      <c r="B13" s="496">
        <f>'Tab 2.Purpose of visit'!D214</f>
        <v>2638</v>
      </c>
      <c r="C13" s="496">
        <f>'Tab 2.Purpose of visit'!F214</f>
        <v>299</v>
      </c>
      <c r="D13" s="496">
        <f>'Tab 2.Purpose of visit'!L214</f>
        <v>233</v>
      </c>
      <c r="E13" s="497">
        <f>'Tab 2.Purpose of visit'!H214</f>
        <v>224</v>
      </c>
      <c r="F13" s="496">
        <f>'Tab 2.Purpose of visit'!J214</f>
        <v>44</v>
      </c>
      <c r="G13" s="499">
        <f t="shared" si="0"/>
        <v>3438</v>
      </c>
      <c r="J13" s="498"/>
      <c r="K13" s="498"/>
      <c r="L13" s="498"/>
      <c r="M13" s="498"/>
    </row>
    <row r="14" spans="1:13">
      <c r="A14" s="503">
        <v>43922</v>
      </c>
      <c r="B14" s="496">
        <f>'Tab 2.Purpose of visit'!D215</f>
        <v>0</v>
      </c>
      <c r="C14" s="496">
        <f>'Tab 2.Purpose of visit'!F215</f>
        <v>0</v>
      </c>
      <c r="D14" s="496">
        <f>'Tab 2.Purpose of visit'!L215</f>
        <v>0</v>
      </c>
      <c r="E14" s="497">
        <f>'Tab 2.Purpose of visit'!H215</f>
        <v>0</v>
      </c>
      <c r="F14" s="496">
        <f>'Tab 2.Purpose of visit'!J215</f>
        <v>0</v>
      </c>
      <c r="G14" s="499">
        <f t="shared" si="0"/>
        <v>0</v>
      </c>
      <c r="J14" s="498"/>
      <c r="K14" s="498"/>
      <c r="L14" s="498"/>
      <c r="M14" s="498"/>
    </row>
    <row r="15" spans="1:13">
      <c r="A15" s="503">
        <v>43952</v>
      </c>
      <c r="B15" s="496">
        <f>'Tab 2.Purpose of visit'!D216</f>
        <v>0</v>
      </c>
      <c r="C15" s="496">
        <f>'Tab 2.Purpose of visit'!F216</f>
        <v>0</v>
      </c>
      <c r="D15" s="496">
        <f>'Tab 2.Purpose of visit'!L216</f>
        <v>0</v>
      </c>
      <c r="E15" s="497">
        <f>'Tab 2.Purpose of visit'!H216</f>
        <v>0</v>
      </c>
      <c r="F15" s="496">
        <f>'Tab 2.Purpose of visit'!J216</f>
        <v>0</v>
      </c>
      <c r="G15" s="499">
        <f>SUM(B15:F15)</f>
        <v>0</v>
      </c>
      <c r="J15" s="498"/>
      <c r="K15" s="498"/>
      <c r="L15" s="498"/>
      <c r="M15" s="498"/>
    </row>
    <row r="16" spans="1:13">
      <c r="A16" s="504" t="s">
        <v>242</v>
      </c>
      <c r="B16" s="498" t="e">
        <f t="shared" ref="B16:G16" si="1">B15/SUM($B$15:$F$15)</f>
        <v>#DIV/0!</v>
      </c>
      <c r="C16" s="498" t="e">
        <f t="shared" si="1"/>
        <v>#DIV/0!</v>
      </c>
      <c r="D16" s="498" t="e">
        <f t="shared" si="1"/>
        <v>#DIV/0!</v>
      </c>
      <c r="E16" s="498" t="e">
        <f t="shared" si="1"/>
        <v>#DIV/0!</v>
      </c>
      <c r="F16" s="498" t="e">
        <f t="shared" si="1"/>
        <v>#DIV/0!</v>
      </c>
      <c r="G16" s="498" t="e">
        <f t="shared" si="1"/>
        <v>#DIV/0!</v>
      </c>
    </row>
    <row r="17" spans="2:9">
      <c r="B17" s="662" t="e">
        <f t="shared" ref="B17:G17" si="2">(B15/$G$15)*100</f>
        <v>#DIV/0!</v>
      </c>
      <c r="C17" s="662" t="e">
        <f t="shared" si="2"/>
        <v>#DIV/0!</v>
      </c>
      <c r="D17" s="662" t="e">
        <f t="shared" si="2"/>
        <v>#DIV/0!</v>
      </c>
      <c r="E17" s="662" t="e">
        <f t="shared" si="2"/>
        <v>#DIV/0!</v>
      </c>
      <c r="F17" s="662" t="e">
        <f t="shared" si="2"/>
        <v>#DIV/0!</v>
      </c>
      <c r="G17" s="662" t="e">
        <f t="shared" si="2"/>
        <v>#DIV/0!</v>
      </c>
      <c r="I17" s="662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paperSize="0" orientation="portrait" horizontalDpi="0" verticalDpi="0" copies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2.75"/>
  <cols>
    <col min="1" max="1" width="22.85546875" style="288" customWidth="1"/>
    <col min="2" max="2" width="18.7109375" style="288" customWidth="1"/>
    <col min="3" max="3" width="15.140625" style="288" customWidth="1"/>
    <col min="4" max="4" width="13.140625" style="288" bestFit="1" customWidth="1"/>
    <col min="5" max="257" width="9.140625" style="288"/>
    <col min="258" max="258" width="12.7109375" style="288" bestFit="1" customWidth="1"/>
    <col min="259" max="513" width="9.140625" style="288"/>
    <col min="514" max="514" width="12.7109375" style="288" bestFit="1" customWidth="1"/>
    <col min="515" max="769" width="9.140625" style="288"/>
    <col min="770" max="770" width="12.7109375" style="288" bestFit="1" customWidth="1"/>
    <col min="771" max="1025" width="9.140625" style="288"/>
    <col min="1026" max="1026" width="12.7109375" style="288" bestFit="1" customWidth="1"/>
    <col min="1027" max="1281" width="9.140625" style="288"/>
    <col min="1282" max="1282" width="12.7109375" style="288" bestFit="1" customWidth="1"/>
    <col min="1283" max="1537" width="9.140625" style="288"/>
    <col min="1538" max="1538" width="12.7109375" style="288" bestFit="1" customWidth="1"/>
    <col min="1539" max="1793" width="9.140625" style="288"/>
    <col min="1794" max="1794" width="12.7109375" style="288" bestFit="1" customWidth="1"/>
    <col min="1795" max="2049" width="9.140625" style="288"/>
    <col min="2050" max="2050" width="12.7109375" style="288" bestFit="1" customWidth="1"/>
    <col min="2051" max="2305" width="9.140625" style="288"/>
    <col min="2306" max="2306" width="12.7109375" style="288" bestFit="1" customWidth="1"/>
    <col min="2307" max="2561" width="9.140625" style="288"/>
    <col min="2562" max="2562" width="12.7109375" style="288" bestFit="1" customWidth="1"/>
    <col min="2563" max="2817" width="9.140625" style="288"/>
    <col min="2818" max="2818" width="12.7109375" style="288" bestFit="1" customWidth="1"/>
    <col min="2819" max="3073" width="9.140625" style="288"/>
    <col min="3074" max="3074" width="12.7109375" style="288" bestFit="1" customWidth="1"/>
    <col min="3075" max="3329" width="9.140625" style="288"/>
    <col min="3330" max="3330" width="12.7109375" style="288" bestFit="1" customWidth="1"/>
    <col min="3331" max="3585" width="9.140625" style="288"/>
    <col min="3586" max="3586" width="12.7109375" style="288" bestFit="1" customWidth="1"/>
    <col min="3587" max="3841" width="9.140625" style="288"/>
    <col min="3842" max="3842" width="12.7109375" style="288" bestFit="1" customWidth="1"/>
    <col min="3843" max="4097" width="9.140625" style="288"/>
    <col min="4098" max="4098" width="12.7109375" style="288" bestFit="1" customWidth="1"/>
    <col min="4099" max="4353" width="9.140625" style="288"/>
    <col min="4354" max="4354" width="12.7109375" style="288" bestFit="1" customWidth="1"/>
    <col min="4355" max="4609" width="9.140625" style="288"/>
    <col min="4610" max="4610" width="12.7109375" style="288" bestFit="1" customWidth="1"/>
    <col min="4611" max="4865" width="9.140625" style="288"/>
    <col min="4866" max="4866" width="12.7109375" style="288" bestFit="1" customWidth="1"/>
    <col min="4867" max="5121" width="9.140625" style="288"/>
    <col min="5122" max="5122" width="12.7109375" style="288" bestFit="1" customWidth="1"/>
    <col min="5123" max="5377" width="9.140625" style="288"/>
    <col min="5378" max="5378" width="12.7109375" style="288" bestFit="1" customWidth="1"/>
    <col min="5379" max="5633" width="9.140625" style="288"/>
    <col min="5634" max="5634" width="12.7109375" style="288" bestFit="1" customWidth="1"/>
    <col min="5635" max="5889" width="9.140625" style="288"/>
    <col min="5890" max="5890" width="12.7109375" style="288" bestFit="1" customWidth="1"/>
    <col min="5891" max="6145" width="9.140625" style="288"/>
    <col min="6146" max="6146" width="12.7109375" style="288" bestFit="1" customWidth="1"/>
    <col min="6147" max="6401" width="9.140625" style="288"/>
    <col min="6402" max="6402" width="12.7109375" style="288" bestFit="1" customWidth="1"/>
    <col min="6403" max="6657" width="9.140625" style="288"/>
    <col min="6658" max="6658" width="12.7109375" style="288" bestFit="1" customWidth="1"/>
    <col min="6659" max="6913" width="9.140625" style="288"/>
    <col min="6914" max="6914" width="12.7109375" style="288" bestFit="1" customWidth="1"/>
    <col min="6915" max="7169" width="9.140625" style="288"/>
    <col min="7170" max="7170" width="12.7109375" style="288" bestFit="1" customWidth="1"/>
    <col min="7171" max="7425" width="9.140625" style="288"/>
    <col min="7426" max="7426" width="12.7109375" style="288" bestFit="1" customWidth="1"/>
    <col min="7427" max="7681" width="9.140625" style="288"/>
    <col min="7682" max="7682" width="12.7109375" style="288" bestFit="1" customWidth="1"/>
    <col min="7683" max="7937" width="9.140625" style="288"/>
    <col min="7938" max="7938" width="12.7109375" style="288" bestFit="1" customWidth="1"/>
    <col min="7939" max="8193" width="9.140625" style="288"/>
    <col min="8194" max="8194" width="12.7109375" style="288" bestFit="1" customWidth="1"/>
    <col min="8195" max="8449" width="9.140625" style="288"/>
    <col min="8450" max="8450" width="12.7109375" style="288" bestFit="1" customWidth="1"/>
    <col min="8451" max="8705" width="9.140625" style="288"/>
    <col min="8706" max="8706" width="12.7109375" style="288" bestFit="1" customWidth="1"/>
    <col min="8707" max="8961" width="9.140625" style="288"/>
    <col min="8962" max="8962" width="12.7109375" style="288" bestFit="1" customWidth="1"/>
    <col min="8963" max="9217" width="9.140625" style="288"/>
    <col min="9218" max="9218" width="12.7109375" style="288" bestFit="1" customWidth="1"/>
    <col min="9219" max="9473" width="9.140625" style="288"/>
    <col min="9474" max="9474" width="12.7109375" style="288" bestFit="1" customWidth="1"/>
    <col min="9475" max="9729" width="9.140625" style="288"/>
    <col min="9730" max="9730" width="12.7109375" style="288" bestFit="1" customWidth="1"/>
    <col min="9731" max="9985" width="9.140625" style="288"/>
    <col min="9986" max="9986" width="12.7109375" style="288" bestFit="1" customWidth="1"/>
    <col min="9987" max="10241" width="9.140625" style="288"/>
    <col min="10242" max="10242" width="12.7109375" style="288" bestFit="1" customWidth="1"/>
    <col min="10243" max="10497" width="9.140625" style="288"/>
    <col min="10498" max="10498" width="12.7109375" style="288" bestFit="1" customWidth="1"/>
    <col min="10499" max="10753" width="9.140625" style="288"/>
    <col min="10754" max="10754" width="12.7109375" style="288" bestFit="1" customWidth="1"/>
    <col min="10755" max="11009" width="9.140625" style="288"/>
    <col min="11010" max="11010" width="12.7109375" style="288" bestFit="1" customWidth="1"/>
    <col min="11011" max="11265" width="9.140625" style="288"/>
    <col min="11266" max="11266" width="12.7109375" style="288" bestFit="1" customWidth="1"/>
    <col min="11267" max="11521" width="9.140625" style="288"/>
    <col min="11522" max="11522" width="12.7109375" style="288" bestFit="1" customWidth="1"/>
    <col min="11523" max="11777" width="9.140625" style="288"/>
    <col min="11778" max="11778" width="12.7109375" style="288" bestFit="1" customWidth="1"/>
    <col min="11779" max="12033" width="9.140625" style="288"/>
    <col min="12034" max="12034" width="12.7109375" style="288" bestFit="1" customWidth="1"/>
    <col min="12035" max="12289" width="9.140625" style="288"/>
    <col min="12290" max="12290" width="12.7109375" style="288" bestFit="1" customWidth="1"/>
    <col min="12291" max="12545" width="9.140625" style="288"/>
    <col min="12546" max="12546" width="12.7109375" style="288" bestFit="1" customWidth="1"/>
    <col min="12547" max="12801" width="9.140625" style="288"/>
    <col min="12802" max="12802" width="12.7109375" style="288" bestFit="1" customWidth="1"/>
    <col min="12803" max="13057" width="9.140625" style="288"/>
    <col min="13058" max="13058" width="12.7109375" style="288" bestFit="1" customWidth="1"/>
    <col min="13059" max="13313" width="9.140625" style="288"/>
    <col min="13314" max="13314" width="12.7109375" style="288" bestFit="1" customWidth="1"/>
    <col min="13315" max="13569" width="9.140625" style="288"/>
    <col min="13570" max="13570" width="12.7109375" style="288" bestFit="1" customWidth="1"/>
    <col min="13571" max="13825" width="9.140625" style="288"/>
    <col min="13826" max="13826" width="12.7109375" style="288" bestFit="1" customWidth="1"/>
    <col min="13827" max="14081" width="9.140625" style="288"/>
    <col min="14082" max="14082" width="12.7109375" style="288" bestFit="1" customWidth="1"/>
    <col min="14083" max="14337" width="9.140625" style="288"/>
    <col min="14338" max="14338" width="12.7109375" style="288" bestFit="1" customWidth="1"/>
    <col min="14339" max="14593" width="9.140625" style="288"/>
    <col min="14594" max="14594" width="12.7109375" style="288" bestFit="1" customWidth="1"/>
    <col min="14595" max="14849" width="9.140625" style="288"/>
    <col min="14850" max="14850" width="12.7109375" style="288" bestFit="1" customWidth="1"/>
    <col min="14851" max="15105" width="9.140625" style="288"/>
    <col min="15106" max="15106" width="12.7109375" style="288" bestFit="1" customWidth="1"/>
    <col min="15107" max="15361" width="9.140625" style="288"/>
    <col min="15362" max="15362" width="12.7109375" style="288" bestFit="1" customWidth="1"/>
    <col min="15363" max="15617" width="9.140625" style="288"/>
    <col min="15618" max="15618" width="12.7109375" style="288" bestFit="1" customWidth="1"/>
    <col min="15619" max="15873" width="9.140625" style="288"/>
    <col min="15874" max="15874" width="12.7109375" style="288" bestFit="1" customWidth="1"/>
    <col min="15875" max="16129" width="9.140625" style="288"/>
    <col min="16130" max="16130" width="12.7109375" style="288" bestFit="1" customWidth="1"/>
    <col min="16131" max="16384" width="9.140625" style="288"/>
  </cols>
  <sheetData>
    <row r="16" spans="1:3">
      <c r="A16" s="706"/>
      <c r="B16" s="707" t="s">
        <v>213</v>
      </c>
      <c r="C16" s="708" t="s">
        <v>214</v>
      </c>
    </row>
    <row r="17" spans="1:4">
      <c r="A17" s="709" t="s">
        <v>335</v>
      </c>
      <c r="B17" s="710"/>
      <c r="C17" s="711"/>
    </row>
    <row r="18" spans="1:4">
      <c r="A18" s="712" t="s">
        <v>20</v>
      </c>
      <c r="B18" s="713" t="e">
        <f>B17-C18</f>
        <v>#DIV/0!</v>
      </c>
      <c r="C18" s="711" t="e">
        <f>C33</f>
        <v>#DIV/0!</v>
      </c>
    </row>
    <row r="19" spans="1:4">
      <c r="A19" s="710" t="s">
        <v>21</v>
      </c>
      <c r="B19" s="713" t="e">
        <f>B18-C19</f>
        <v>#DIV/0!</v>
      </c>
      <c r="C19" s="711" t="e">
        <f t="shared" ref="C19:C26" si="0">C34</f>
        <v>#DIV/0!</v>
      </c>
    </row>
    <row r="20" spans="1:4">
      <c r="A20" s="712" t="s">
        <v>146</v>
      </c>
      <c r="B20" s="713" t="e">
        <f>B19-C20</f>
        <v>#DIV/0!</v>
      </c>
      <c r="C20" s="711" t="e">
        <f t="shared" si="0"/>
        <v>#DIV/0!</v>
      </c>
    </row>
    <row r="21" spans="1:4">
      <c r="A21" s="712" t="s">
        <v>142</v>
      </c>
      <c r="B21" s="713" t="e">
        <f t="shared" ref="B21:B26" si="1">B20-C21</f>
        <v>#DIV/0!</v>
      </c>
      <c r="C21" s="711" t="e">
        <f t="shared" si="0"/>
        <v>#DIV/0!</v>
      </c>
    </row>
    <row r="22" spans="1:4">
      <c r="A22" s="710" t="s">
        <v>144</v>
      </c>
      <c r="B22" s="713" t="e">
        <f t="shared" si="1"/>
        <v>#DIV/0!</v>
      </c>
      <c r="C22" s="711" t="e">
        <f t="shared" si="0"/>
        <v>#DIV/0!</v>
      </c>
    </row>
    <row r="23" spans="1:4">
      <c r="A23" s="710" t="s">
        <v>143</v>
      </c>
      <c r="B23" s="713" t="e">
        <f t="shared" si="1"/>
        <v>#DIV/0!</v>
      </c>
      <c r="C23" s="711" t="e">
        <f t="shared" si="0"/>
        <v>#DIV/0!</v>
      </c>
    </row>
    <row r="24" spans="1:4">
      <c r="A24" s="712" t="s">
        <v>336</v>
      </c>
      <c r="B24" s="713" t="e">
        <f t="shared" si="1"/>
        <v>#DIV/0!</v>
      </c>
      <c r="C24" s="711" t="e">
        <f t="shared" si="0"/>
        <v>#DIV/0!</v>
      </c>
    </row>
    <row r="25" spans="1:4">
      <c r="A25" s="712" t="s">
        <v>22</v>
      </c>
      <c r="B25" s="713" t="e">
        <f t="shared" si="1"/>
        <v>#DIV/0!</v>
      </c>
      <c r="C25" s="711" t="e">
        <f t="shared" si="0"/>
        <v>#DIV/0!</v>
      </c>
    </row>
    <row r="26" spans="1:4">
      <c r="A26" s="712" t="s">
        <v>145</v>
      </c>
      <c r="B26" s="713" t="e">
        <f t="shared" si="1"/>
        <v>#DIV/0!</v>
      </c>
      <c r="C26" s="711" t="e">
        <f t="shared" si="0"/>
        <v>#DIV/0!</v>
      </c>
    </row>
    <row r="27" spans="1:4">
      <c r="A27" s="714"/>
      <c r="B27" s="715"/>
      <c r="C27" s="716" t="e">
        <f>SUM(C18:C26)</f>
        <v>#DIV/0!</v>
      </c>
    </row>
    <row r="28" spans="1:4">
      <c r="A28" s="459" t="s">
        <v>215</v>
      </c>
      <c r="B28" s="459"/>
      <c r="C28" s="459"/>
    </row>
    <row r="29" spans="1:4">
      <c r="A29" s="288" t="s">
        <v>216</v>
      </c>
    </row>
    <row r="32" spans="1:4">
      <c r="A32" s="717" t="s">
        <v>1136</v>
      </c>
      <c r="B32" s="718">
        <v>43862</v>
      </c>
      <c r="C32" s="719"/>
      <c r="D32" s="720"/>
    </row>
    <row r="33" spans="1:7">
      <c r="A33" s="712" t="s">
        <v>20</v>
      </c>
      <c r="B33" s="460"/>
      <c r="C33" s="710" t="e">
        <f t="shared" ref="C33:C41" si="2">B33/SUM($B$33:$B$41)*100</f>
        <v>#DIV/0!</v>
      </c>
      <c r="D33" s="721" t="e">
        <f>B33/SUM($B$33:$B$40)*100</f>
        <v>#DIV/0!</v>
      </c>
    </row>
    <row r="34" spans="1:7">
      <c r="A34" s="710" t="s">
        <v>21</v>
      </c>
      <c r="B34" s="460"/>
      <c r="C34" s="710" t="e">
        <f t="shared" si="2"/>
        <v>#DIV/0!</v>
      </c>
      <c r="D34" s="721" t="e">
        <f>B34/SUM($B$33:$B$40)*100</f>
        <v>#DIV/0!</v>
      </c>
    </row>
    <row r="35" spans="1:7">
      <c r="A35" s="712" t="s">
        <v>146</v>
      </c>
      <c r="B35" s="460"/>
      <c r="C35" s="710" t="e">
        <f t="shared" si="2"/>
        <v>#DIV/0!</v>
      </c>
      <c r="D35" s="721" t="e">
        <f t="shared" ref="D35:D40" si="3">B35/SUM($B$33:$B$40)*100</f>
        <v>#DIV/0!</v>
      </c>
    </row>
    <row r="36" spans="1:7">
      <c r="A36" s="712" t="s">
        <v>142</v>
      </c>
      <c r="B36" s="460"/>
      <c r="C36" s="710" t="e">
        <f t="shared" si="2"/>
        <v>#DIV/0!</v>
      </c>
      <c r="D36" s="721" t="e">
        <f t="shared" si="3"/>
        <v>#DIV/0!</v>
      </c>
    </row>
    <row r="37" spans="1:7">
      <c r="A37" s="712" t="s">
        <v>144</v>
      </c>
      <c r="B37" s="460">
        <f>'Tab 3.Count of usual residence'!J216</f>
        <v>0</v>
      </c>
      <c r="C37" s="710" t="e">
        <f t="shared" si="2"/>
        <v>#DIV/0!</v>
      </c>
      <c r="D37" s="721" t="e">
        <f t="shared" si="3"/>
        <v>#DIV/0!</v>
      </c>
    </row>
    <row r="38" spans="1:7">
      <c r="A38" s="710" t="s">
        <v>143</v>
      </c>
      <c r="B38" s="460">
        <f>'Tab 3.Count of usual residence'!N216</f>
        <v>0</v>
      </c>
      <c r="C38" s="710" t="e">
        <f t="shared" si="2"/>
        <v>#DIV/0!</v>
      </c>
      <c r="D38" s="721" t="e">
        <f t="shared" si="3"/>
        <v>#DIV/0!</v>
      </c>
    </row>
    <row r="39" spans="1:7">
      <c r="A39" s="712" t="s">
        <v>336</v>
      </c>
      <c r="B39" s="460">
        <f>'Tab 3.Count of usual residence'!R216</f>
        <v>0</v>
      </c>
      <c r="C39" s="710" t="e">
        <f t="shared" si="2"/>
        <v>#DIV/0!</v>
      </c>
      <c r="D39" s="721" t="e">
        <f t="shared" si="3"/>
        <v>#DIV/0!</v>
      </c>
    </row>
    <row r="40" spans="1:7">
      <c r="A40" s="712" t="s">
        <v>22</v>
      </c>
      <c r="B40" s="460">
        <f>'Tab 3.Count of usual residence'!R216</f>
        <v>0</v>
      </c>
      <c r="C40" s="710" t="e">
        <f t="shared" si="2"/>
        <v>#DIV/0!</v>
      </c>
      <c r="D40" s="721" t="e">
        <f t="shared" si="3"/>
        <v>#DIV/0!</v>
      </c>
    </row>
    <row r="41" spans="1:7">
      <c r="A41" s="712" t="s">
        <v>145</v>
      </c>
      <c r="B41" s="460">
        <f>'Tab 3.Count of usual residence'!P216</f>
        <v>0</v>
      </c>
      <c r="C41" s="710" t="e">
        <f t="shared" si="2"/>
        <v>#DIV/0!</v>
      </c>
      <c r="D41" s="721"/>
    </row>
    <row r="42" spans="1:7">
      <c r="A42" s="714"/>
      <c r="B42" s="722"/>
      <c r="C42" s="715"/>
      <c r="D42" s="723" t="e">
        <f>SUM(D33:D40)</f>
        <v>#DIV/0!</v>
      </c>
    </row>
    <row r="44" spans="1:7">
      <c r="A44" s="288" t="s">
        <v>217</v>
      </c>
    </row>
    <row r="46" spans="1:7">
      <c r="G46" s="358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40625" defaultRowHeight="15"/>
  <cols>
    <col min="1" max="1" width="5.85546875" style="384" customWidth="1"/>
    <col min="2" max="2" width="10.7109375" style="384" customWidth="1"/>
    <col min="3" max="3" width="6.5703125" style="384" customWidth="1"/>
    <col min="4" max="5" width="5.85546875" style="384" customWidth="1"/>
    <col min="6" max="6" width="7.42578125" style="384" bestFit="1" customWidth="1"/>
    <col min="7" max="8" width="5.85546875" style="384" customWidth="1"/>
    <col min="9" max="9" width="7.42578125" style="384" customWidth="1"/>
    <col min="10" max="10" width="10.28515625" style="384" customWidth="1"/>
    <col min="11" max="11" width="7.140625" style="384" bestFit="1" customWidth="1"/>
    <col min="12" max="12" width="7" style="384" customWidth="1"/>
    <col min="13" max="13" width="4.5703125" style="384" customWidth="1"/>
    <col min="14" max="14" width="15" style="384" customWidth="1"/>
    <col min="15" max="15" width="21.140625" style="384" bestFit="1" customWidth="1"/>
    <col min="16" max="16384" width="9.140625" style="384"/>
  </cols>
  <sheetData>
    <row r="2" spans="1:12">
      <c r="A2" s="509" t="s">
        <v>259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</row>
    <row r="3" spans="1:12" ht="21" customHeight="1">
      <c r="A3" s="511"/>
      <c r="B3" s="512"/>
      <c r="C3" s="1315" t="s">
        <v>240</v>
      </c>
      <c r="D3" s="1316"/>
      <c r="E3" s="1316"/>
      <c r="F3" s="1316"/>
      <c r="G3" s="1316"/>
      <c r="H3" s="1317"/>
      <c r="I3" s="512"/>
      <c r="J3" s="1318" t="s">
        <v>244</v>
      </c>
      <c r="K3" s="1320" t="s">
        <v>242</v>
      </c>
      <c r="L3" s="1322" t="s">
        <v>245</v>
      </c>
    </row>
    <row r="4" spans="1:12" ht="19.5" customHeight="1">
      <c r="A4" s="513" t="s">
        <v>75</v>
      </c>
      <c r="B4" s="666" t="s">
        <v>120</v>
      </c>
      <c r="C4" s="514" t="s">
        <v>234</v>
      </c>
      <c r="D4" s="514" t="s">
        <v>233</v>
      </c>
      <c r="E4" s="514" t="s">
        <v>232</v>
      </c>
      <c r="F4" s="514" t="s">
        <v>235</v>
      </c>
      <c r="G4" s="514" t="s">
        <v>236</v>
      </c>
      <c r="H4" s="514" t="s">
        <v>237</v>
      </c>
      <c r="I4" s="515" t="s">
        <v>14</v>
      </c>
      <c r="J4" s="1319"/>
      <c r="K4" s="1321"/>
      <c r="L4" s="1323"/>
    </row>
    <row r="5" spans="1:12">
      <c r="A5" s="516">
        <v>2014</v>
      </c>
      <c r="B5" s="667" t="s">
        <v>4</v>
      </c>
      <c r="C5" s="663">
        <v>14</v>
      </c>
      <c r="D5" s="663">
        <v>384</v>
      </c>
      <c r="E5" s="663">
        <v>73</v>
      </c>
      <c r="F5" s="663">
        <v>79</v>
      </c>
      <c r="G5" s="663">
        <v>129</v>
      </c>
      <c r="H5" s="663">
        <v>456</v>
      </c>
      <c r="I5" s="517">
        <f>SUM(C5:H5)</f>
        <v>1135</v>
      </c>
      <c r="J5" s="740">
        <f>'Table 1 Summary'!N142</f>
        <v>7812</v>
      </c>
      <c r="K5" s="664">
        <f>I5/J5*100</f>
        <v>14.528929851510497</v>
      </c>
      <c r="L5" s="518">
        <f>I5/J5</f>
        <v>0.14528929851510497</v>
      </c>
    </row>
    <row r="6" spans="1:12" hidden="1">
      <c r="A6" s="519"/>
      <c r="B6" s="531" t="s">
        <v>30</v>
      </c>
      <c r="C6" s="520">
        <v>40</v>
      </c>
      <c r="D6" s="520">
        <v>756</v>
      </c>
      <c r="E6" s="520">
        <v>108</v>
      </c>
      <c r="F6" s="520">
        <v>139</v>
      </c>
      <c r="G6" s="520">
        <v>238</v>
      </c>
      <c r="H6" s="520">
        <v>961</v>
      </c>
      <c r="I6" s="521">
        <f t="shared" ref="I6:I42" si="0">SUM(C6:H6)</f>
        <v>2242</v>
      </c>
      <c r="J6" s="741">
        <f>'Table 1 Summary'!N143</f>
        <v>10917</v>
      </c>
      <c r="K6" s="522">
        <f t="shared" ref="K6:K15" si="1">I6/J6*100</f>
        <v>20.536777502977007</v>
      </c>
      <c r="L6" s="523">
        <f t="shared" ref="L6:L15" si="2">I6/J6</f>
        <v>0.20536777502977008</v>
      </c>
    </row>
    <row r="7" spans="1:12" hidden="1">
      <c r="A7" s="519"/>
      <c r="B7" s="531" t="s">
        <v>36</v>
      </c>
      <c r="C7" s="520">
        <v>33</v>
      </c>
      <c r="D7" s="524">
        <v>1082</v>
      </c>
      <c r="E7" s="520">
        <v>118</v>
      </c>
      <c r="F7" s="520">
        <v>191</v>
      </c>
      <c r="G7" s="520">
        <v>309</v>
      </c>
      <c r="H7" s="524">
        <v>1393</v>
      </c>
      <c r="I7" s="521">
        <f t="shared" si="0"/>
        <v>3126</v>
      </c>
      <c r="J7" s="741">
        <f>'Table 1 Summary'!N144</f>
        <v>11446</v>
      </c>
      <c r="K7" s="522">
        <f t="shared" si="1"/>
        <v>27.310850952297745</v>
      </c>
      <c r="L7" s="523">
        <f t="shared" si="2"/>
        <v>0.27310850952297744</v>
      </c>
    </row>
    <row r="8" spans="1:12" hidden="1">
      <c r="A8" s="519"/>
      <c r="B8" s="531" t="s">
        <v>37</v>
      </c>
      <c r="C8" s="520">
        <v>40</v>
      </c>
      <c r="D8" s="520">
        <v>890</v>
      </c>
      <c r="E8" s="520">
        <v>59</v>
      </c>
      <c r="F8" s="520">
        <v>265</v>
      </c>
      <c r="G8" s="520">
        <v>357</v>
      </c>
      <c r="H8" s="524">
        <v>1348</v>
      </c>
      <c r="I8" s="521">
        <f t="shared" si="0"/>
        <v>2959</v>
      </c>
      <c r="J8" s="741">
        <f>'Table 1 Summary'!N145</f>
        <v>11865</v>
      </c>
      <c r="K8" s="522">
        <f t="shared" si="1"/>
        <v>24.938895912347238</v>
      </c>
      <c r="L8" s="523">
        <f t="shared" si="2"/>
        <v>0.24938895912347239</v>
      </c>
    </row>
    <row r="9" spans="1:12" hidden="1">
      <c r="A9" s="519"/>
      <c r="B9" s="531" t="s">
        <v>31</v>
      </c>
      <c r="C9" s="520">
        <v>26</v>
      </c>
      <c r="D9" s="520">
        <v>563</v>
      </c>
      <c r="E9" s="520">
        <v>123</v>
      </c>
      <c r="F9" s="520">
        <v>207</v>
      </c>
      <c r="G9" s="520">
        <v>239</v>
      </c>
      <c r="H9" s="520">
        <v>780</v>
      </c>
      <c r="I9" s="521">
        <f t="shared" si="0"/>
        <v>1938</v>
      </c>
      <c r="J9" s="741">
        <f>'Table 1 Summary'!N146</f>
        <v>11288</v>
      </c>
      <c r="K9" s="522">
        <f t="shared" si="1"/>
        <v>17.168674698795179</v>
      </c>
      <c r="L9" s="523">
        <f t="shared" si="2"/>
        <v>0.1716867469879518</v>
      </c>
    </row>
    <row r="10" spans="1:12" hidden="1">
      <c r="A10" s="519"/>
      <c r="B10" s="531" t="s">
        <v>38</v>
      </c>
      <c r="C10" s="520">
        <v>50</v>
      </c>
      <c r="D10" s="520">
        <v>744</v>
      </c>
      <c r="E10" s="520">
        <v>95</v>
      </c>
      <c r="F10" s="520">
        <v>144</v>
      </c>
      <c r="G10" s="520">
        <v>205</v>
      </c>
      <c r="H10" s="520">
        <v>978</v>
      </c>
      <c r="I10" s="521">
        <f t="shared" si="0"/>
        <v>2216</v>
      </c>
      <c r="J10" s="741">
        <f>'Table 1 Summary'!N147</f>
        <v>10533</v>
      </c>
      <c r="K10" s="522">
        <f t="shared" si="1"/>
        <v>21.038640463305804</v>
      </c>
      <c r="L10" s="523">
        <f t="shared" si="2"/>
        <v>0.21038640463305802</v>
      </c>
    </row>
    <row r="11" spans="1:12" hidden="1">
      <c r="A11" s="519"/>
      <c r="B11" s="531" t="s">
        <v>39</v>
      </c>
      <c r="C11" s="520">
        <v>39</v>
      </c>
      <c r="D11" s="520">
        <v>426</v>
      </c>
      <c r="E11" s="520">
        <v>26</v>
      </c>
      <c r="F11" s="520">
        <v>119</v>
      </c>
      <c r="G11" s="520">
        <v>232</v>
      </c>
      <c r="H11" s="520">
        <v>547</v>
      </c>
      <c r="I11" s="521">
        <f t="shared" si="0"/>
        <v>1389</v>
      </c>
      <c r="J11" s="741">
        <f>'Table 1 Summary'!N148</f>
        <v>7996</v>
      </c>
      <c r="K11" s="522">
        <f t="shared" si="1"/>
        <v>17.371185592796397</v>
      </c>
      <c r="L11" s="523">
        <f t="shared" si="2"/>
        <v>0.17371185592796398</v>
      </c>
    </row>
    <row r="12" spans="1:12" hidden="1">
      <c r="A12" s="519"/>
      <c r="B12" s="531" t="s">
        <v>32</v>
      </c>
      <c r="C12" s="520">
        <v>16</v>
      </c>
      <c r="D12" s="520">
        <v>379</v>
      </c>
      <c r="E12" s="520">
        <v>29</v>
      </c>
      <c r="F12" s="520">
        <v>51</v>
      </c>
      <c r="G12" s="520">
        <v>156</v>
      </c>
      <c r="H12" s="520">
        <v>449</v>
      </c>
      <c r="I12" s="521">
        <f t="shared" si="0"/>
        <v>1080</v>
      </c>
      <c r="J12" s="741">
        <f>'Table 1 Summary'!N149</f>
        <v>10315</v>
      </c>
      <c r="K12" s="522">
        <f t="shared" si="1"/>
        <v>10.47018904507998</v>
      </c>
      <c r="L12" s="523">
        <f t="shared" si="2"/>
        <v>0.10470189045079981</v>
      </c>
    </row>
    <row r="13" spans="1:12" hidden="1">
      <c r="A13" s="519">
        <v>2015</v>
      </c>
      <c r="B13" s="531" t="s">
        <v>33</v>
      </c>
      <c r="C13" s="520">
        <v>24</v>
      </c>
      <c r="D13" s="520">
        <v>485</v>
      </c>
      <c r="E13" s="520">
        <v>20</v>
      </c>
      <c r="F13" s="520">
        <v>84</v>
      </c>
      <c r="G13" s="520">
        <v>235</v>
      </c>
      <c r="H13" s="520">
        <v>640</v>
      </c>
      <c r="I13" s="521">
        <f t="shared" si="0"/>
        <v>1488</v>
      </c>
      <c r="J13" s="741">
        <f>'Table 1 Summary'!N150</f>
        <v>8524</v>
      </c>
      <c r="K13" s="522">
        <f t="shared" si="1"/>
        <v>17.456593148756454</v>
      </c>
      <c r="L13" s="523">
        <f t="shared" si="2"/>
        <v>0.17456593148756452</v>
      </c>
    </row>
    <row r="14" spans="1:12" hidden="1">
      <c r="A14" s="519"/>
      <c r="B14" s="531" t="s">
        <v>34</v>
      </c>
      <c r="C14" s="525">
        <v>20</v>
      </c>
      <c r="D14" s="525">
        <v>230</v>
      </c>
      <c r="E14" s="525">
        <v>26</v>
      </c>
      <c r="F14" s="525">
        <v>52</v>
      </c>
      <c r="G14" s="525">
        <v>40</v>
      </c>
      <c r="H14" s="525">
        <v>278</v>
      </c>
      <c r="I14" s="521">
        <f t="shared" si="0"/>
        <v>646</v>
      </c>
      <c r="J14" s="741">
        <f>'Table 1 Summary'!N151</f>
        <v>5389</v>
      </c>
      <c r="K14" s="522">
        <f t="shared" si="1"/>
        <v>11.987381703470032</v>
      </c>
      <c r="L14" s="523">
        <f t="shared" si="2"/>
        <v>0.11987381703470032</v>
      </c>
    </row>
    <row r="15" spans="1:12" hidden="1">
      <c r="A15" s="519"/>
      <c r="B15" s="531" t="s">
        <v>29</v>
      </c>
      <c r="C15" s="525">
        <v>5</v>
      </c>
      <c r="D15" s="525">
        <v>274</v>
      </c>
      <c r="E15" s="525">
        <v>36</v>
      </c>
      <c r="F15" s="525">
        <v>58</v>
      </c>
      <c r="G15" s="525">
        <v>139</v>
      </c>
      <c r="H15" s="525">
        <v>271</v>
      </c>
      <c r="I15" s="521">
        <f t="shared" si="0"/>
        <v>783</v>
      </c>
      <c r="J15" s="741">
        <f>'Table 1 Summary'!N152</f>
        <v>4837</v>
      </c>
      <c r="K15" s="522">
        <f t="shared" si="1"/>
        <v>16.187719660946868</v>
      </c>
      <c r="L15" s="523">
        <f t="shared" si="2"/>
        <v>0.16187719660946867</v>
      </c>
    </row>
    <row r="16" spans="1:12" hidden="1">
      <c r="A16" s="519"/>
      <c r="B16" s="531" t="s">
        <v>35</v>
      </c>
      <c r="C16" s="526">
        <v>11</v>
      </c>
      <c r="D16" s="526">
        <v>395</v>
      </c>
      <c r="E16" s="526">
        <v>75</v>
      </c>
      <c r="F16" s="526">
        <v>76</v>
      </c>
      <c r="G16" s="526">
        <v>252</v>
      </c>
      <c r="H16" s="526">
        <v>387</v>
      </c>
      <c r="I16" s="521">
        <f t="shared" si="0"/>
        <v>1196</v>
      </c>
      <c r="J16" s="741">
        <f>'Table 1 Summary'!N153</f>
        <v>4578</v>
      </c>
      <c r="K16" s="522">
        <f t="shared" ref="K16:K21" si="3">I16/J16*100</f>
        <v>26.124945391000438</v>
      </c>
      <c r="L16" s="523">
        <f>I16/J16</f>
        <v>0.26124945391000437</v>
      </c>
    </row>
    <row r="17" spans="1:12" hidden="1">
      <c r="A17" s="519"/>
      <c r="B17" s="531" t="s">
        <v>4</v>
      </c>
      <c r="C17" s="526">
        <v>24</v>
      </c>
      <c r="D17" s="526">
        <v>426</v>
      </c>
      <c r="E17" s="526">
        <v>51</v>
      </c>
      <c r="F17" s="526">
        <v>83</v>
      </c>
      <c r="G17" s="526">
        <v>257</v>
      </c>
      <c r="H17" s="526">
        <v>377</v>
      </c>
      <c r="I17" s="521">
        <f t="shared" si="0"/>
        <v>1218</v>
      </c>
      <c r="J17" s="741">
        <f>'Table 1 Summary'!N154</f>
        <v>5787</v>
      </c>
      <c r="K17" s="522">
        <f t="shared" si="3"/>
        <v>21.047174701918092</v>
      </c>
      <c r="L17" s="523">
        <f>I17/J17</f>
        <v>0.21047174701918092</v>
      </c>
    </row>
    <row r="18" spans="1:12" hidden="1">
      <c r="A18" s="519"/>
      <c r="B18" s="531" t="s">
        <v>30</v>
      </c>
      <c r="C18" s="526">
        <v>31</v>
      </c>
      <c r="D18" s="526">
        <v>659</v>
      </c>
      <c r="E18" s="526">
        <v>94</v>
      </c>
      <c r="F18" s="526">
        <v>161</v>
      </c>
      <c r="G18" s="526">
        <v>339</v>
      </c>
      <c r="H18" s="526">
        <v>504</v>
      </c>
      <c r="I18" s="521">
        <f t="shared" si="0"/>
        <v>1788</v>
      </c>
      <c r="J18" s="741">
        <f>'Table 1 Summary'!N155</f>
        <v>8289</v>
      </c>
      <c r="K18" s="522">
        <f t="shared" si="3"/>
        <v>21.570756424176622</v>
      </c>
      <c r="L18" s="523">
        <f>I18/J18</f>
        <v>0.21570756424176621</v>
      </c>
    </row>
    <row r="19" spans="1:12" hidden="1">
      <c r="A19" s="519"/>
      <c r="B19" s="531" t="s">
        <v>36</v>
      </c>
      <c r="C19" s="526">
        <v>57</v>
      </c>
      <c r="D19" s="526">
        <v>780</v>
      </c>
      <c r="E19" s="526">
        <v>65</v>
      </c>
      <c r="F19" s="526">
        <v>170</v>
      </c>
      <c r="G19" s="526">
        <v>533</v>
      </c>
      <c r="H19" s="526">
        <v>691</v>
      </c>
      <c r="I19" s="521">
        <f t="shared" si="0"/>
        <v>2296</v>
      </c>
      <c r="J19" s="741">
        <f>'Table 1 Summary'!N156</f>
        <v>10031</v>
      </c>
      <c r="K19" s="522">
        <f t="shared" si="3"/>
        <v>22.889043963712492</v>
      </c>
      <c r="L19" s="523">
        <f>I19/J19</f>
        <v>0.22889043963712491</v>
      </c>
    </row>
    <row r="20" spans="1:12" hidden="1">
      <c r="A20" s="519"/>
      <c r="B20" s="531" t="s">
        <v>37</v>
      </c>
      <c r="C20" s="526">
        <v>52</v>
      </c>
      <c r="D20" s="526">
        <v>761</v>
      </c>
      <c r="E20" s="526">
        <v>72</v>
      </c>
      <c r="F20" s="526">
        <v>255</v>
      </c>
      <c r="G20" s="526">
        <v>324</v>
      </c>
      <c r="H20" s="526">
        <v>672</v>
      </c>
      <c r="I20" s="521">
        <f t="shared" si="0"/>
        <v>2136</v>
      </c>
      <c r="J20" s="741">
        <f>'Table 1 Summary'!N157</f>
        <v>8390</v>
      </c>
      <c r="K20" s="522">
        <f t="shared" si="3"/>
        <v>25.458879618593567</v>
      </c>
      <c r="L20" s="523">
        <f>I20/J20</f>
        <v>0.25458879618593566</v>
      </c>
    </row>
    <row r="21" spans="1:12" hidden="1">
      <c r="A21" s="519"/>
      <c r="B21" s="531" t="s">
        <v>31</v>
      </c>
      <c r="C21" s="526">
        <v>31</v>
      </c>
      <c r="D21" s="526">
        <v>522</v>
      </c>
      <c r="E21" s="526">
        <v>40</v>
      </c>
      <c r="F21" s="526">
        <v>145</v>
      </c>
      <c r="G21" s="526">
        <v>395</v>
      </c>
      <c r="H21" s="526">
        <v>530</v>
      </c>
      <c r="I21" s="521">
        <f t="shared" si="0"/>
        <v>1663</v>
      </c>
      <c r="J21" s="741">
        <f>'Table 1 Summary'!N158</f>
        <v>9171</v>
      </c>
      <c r="K21" s="522">
        <f t="shared" si="3"/>
        <v>18.133246101842765</v>
      </c>
      <c r="L21" s="523">
        <f t="shared" ref="L21:L26" si="4">I21/J21</f>
        <v>0.18133246101842765</v>
      </c>
    </row>
    <row r="22" spans="1:12" hidden="1">
      <c r="A22" s="519"/>
      <c r="B22" s="531" t="s">
        <v>38</v>
      </c>
      <c r="C22" s="526">
        <v>28</v>
      </c>
      <c r="D22" s="526">
        <v>784</v>
      </c>
      <c r="E22" s="526">
        <v>56</v>
      </c>
      <c r="F22" s="526">
        <v>200</v>
      </c>
      <c r="G22" s="526">
        <v>543</v>
      </c>
      <c r="H22" s="526">
        <v>661</v>
      </c>
      <c r="I22" s="521">
        <f t="shared" si="0"/>
        <v>2272</v>
      </c>
      <c r="J22" s="741">
        <f>'Table 1 Summary'!N159</f>
        <v>8533</v>
      </c>
      <c r="K22" s="522">
        <f t="shared" ref="K22:K27" si="5">I22/J22*100</f>
        <v>26.626040079690611</v>
      </c>
      <c r="L22" s="523">
        <f t="shared" si="4"/>
        <v>0.2662604007969061</v>
      </c>
    </row>
    <row r="23" spans="1:12" hidden="1">
      <c r="A23" s="519"/>
      <c r="B23" s="531" t="s">
        <v>39</v>
      </c>
      <c r="C23" s="526">
        <v>31</v>
      </c>
      <c r="D23" s="526">
        <v>514</v>
      </c>
      <c r="E23" s="526">
        <v>21</v>
      </c>
      <c r="F23" s="526">
        <v>143</v>
      </c>
      <c r="G23" s="526">
        <v>337</v>
      </c>
      <c r="H23" s="526">
        <v>426</v>
      </c>
      <c r="I23" s="521">
        <f t="shared" si="0"/>
        <v>1472</v>
      </c>
      <c r="J23" s="741">
        <f>'Table 1 Summary'!N160</f>
        <v>7275</v>
      </c>
      <c r="K23" s="522">
        <f t="shared" si="5"/>
        <v>20.233676975945016</v>
      </c>
      <c r="L23" s="523">
        <f t="shared" si="4"/>
        <v>0.20233676975945017</v>
      </c>
    </row>
    <row r="24" spans="1:12" hidden="1">
      <c r="A24" s="519"/>
      <c r="B24" s="531" t="s">
        <v>32</v>
      </c>
      <c r="C24" s="526">
        <v>15</v>
      </c>
      <c r="D24" s="526">
        <v>405</v>
      </c>
      <c r="E24" s="526">
        <v>40</v>
      </c>
      <c r="F24" s="526">
        <v>62</v>
      </c>
      <c r="G24" s="526">
        <v>174</v>
      </c>
      <c r="H24" s="526">
        <v>378</v>
      </c>
      <c r="I24" s="521">
        <f t="shared" si="0"/>
        <v>1074</v>
      </c>
      <c r="J24" s="741">
        <f>'Table 1 Summary'!N161</f>
        <v>9148</v>
      </c>
      <c r="K24" s="522">
        <f t="shared" si="5"/>
        <v>11.740271097507652</v>
      </c>
      <c r="L24" s="523">
        <f t="shared" si="4"/>
        <v>0.11740271097507651</v>
      </c>
    </row>
    <row r="25" spans="1:12" hidden="1">
      <c r="A25" s="519">
        <v>2016</v>
      </c>
      <c r="B25" s="531" t="s">
        <v>33</v>
      </c>
      <c r="C25" s="526">
        <v>12</v>
      </c>
      <c r="D25" s="526">
        <v>347</v>
      </c>
      <c r="E25" s="526">
        <v>22</v>
      </c>
      <c r="F25" s="526">
        <v>47</v>
      </c>
      <c r="G25" s="526">
        <v>161</v>
      </c>
      <c r="H25" s="526">
        <v>225</v>
      </c>
      <c r="I25" s="521">
        <f t="shared" si="0"/>
        <v>814</v>
      </c>
      <c r="J25" s="741">
        <f>'Table 1 Summary'!N162</f>
        <v>8479</v>
      </c>
      <c r="K25" s="522">
        <f t="shared" si="5"/>
        <v>9.6001887014978173</v>
      </c>
      <c r="L25" s="523">
        <f t="shared" si="4"/>
        <v>9.6001887014978179E-2</v>
      </c>
    </row>
    <row r="26" spans="1:12" hidden="1">
      <c r="A26" s="519"/>
      <c r="B26" s="531" t="s">
        <v>34</v>
      </c>
      <c r="C26" s="526">
        <v>18</v>
      </c>
      <c r="D26" s="526">
        <v>374</v>
      </c>
      <c r="E26" s="526">
        <v>27</v>
      </c>
      <c r="F26" s="526">
        <v>76</v>
      </c>
      <c r="G26" s="526">
        <v>200</v>
      </c>
      <c r="H26" s="526">
        <v>361</v>
      </c>
      <c r="I26" s="521">
        <f t="shared" si="0"/>
        <v>1056</v>
      </c>
      <c r="J26" s="741">
        <f>'Table 1 Summary'!N163</f>
        <v>4274</v>
      </c>
      <c r="K26" s="527">
        <f t="shared" si="5"/>
        <v>24.707533926064578</v>
      </c>
      <c r="L26" s="523">
        <f t="shared" si="4"/>
        <v>0.24707533926064576</v>
      </c>
    </row>
    <row r="27" spans="1:12" hidden="1">
      <c r="A27" s="519"/>
      <c r="B27" s="531" t="s">
        <v>29</v>
      </c>
      <c r="C27" s="526">
        <v>3</v>
      </c>
      <c r="D27" s="526">
        <v>128</v>
      </c>
      <c r="E27" s="526">
        <v>12</v>
      </c>
      <c r="F27" s="526">
        <v>32</v>
      </c>
      <c r="G27" s="526">
        <v>83</v>
      </c>
      <c r="H27" s="526">
        <v>101</v>
      </c>
      <c r="I27" s="521">
        <f t="shared" si="0"/>
        <v>359</v>
      </c>
      <c r="J27" s="741">
        <f>'Table 1 Summary'!N164</f>
        <v>4155</v>
      </c>
      <c r="K27" s="527">
        <f t="shared" si="5"/>
        <v>8.6401925391095062</v>
      </c>
      <c r="L27" s="523">
        <f>I27/J27</f>
        <v>8.6401925391095064E-2</v>
      </c>
    </row>
    <row r="28" spans="1:12" hidden="1">
      <c r="A28" s="519"/>
      <c r="B28" s="531" t="s">
        <v>35</v>
      </c>
      <c r="C28" s="526">
        <v>15</v>
      </c>
      <c r="D28" s="526">
        <v>626</v>
      </c>
      <c r="E28" s="526">
        <v>62</v>
      </c>
      <c r="F28" s="526">
        <v>101</v>
      </c>
      <c r="G28" s="526">
        <v>321</v>
      </c>
      <c r="H28" s="526">
        <v>581</v>
      </c>
      <c r="I28" s="521">
        <f t="shared" si="0"/>
        <v>1706</v>
      </c>
      <c r="J28" s="741">
        <f>'Table 1 Summary'!N165</f>
        <v>6083</v>
      </c>
      <c r="K28" s="527">
        <f t="shared" ref="K28:K33" si="6">I28/J28*100</f>
        <v>28.045372349169817</v>
      </c>
      <c r="L28" s="523">
        <f t="shared" ref="L28:L34" si="7">I28/J28</f>
        <v>0.28045372349169817</v>
      </c>
    </row>
    <row r="29" spans="1:12" hidden="1">
      <c r="A29" s="519"/>
      <c r="B29" s="531" t="s">
        <v>4</v>
      </c>
      <c r="C29" s="526">
        <v>20</v>
      </c>
      <c r="D29" s="526">
        <v>609</v>
      </c>
      <c r="E29" s="526">
        <v>103</v>
      </c>
      <c r="F29" s="526">
        <v>133</v>
      </c>
      <c r="G29" s="526">
        <v>270</v>
      </c>
      <c r="H29" s="526">
        <v>606</v>
      </c>
      <c r="I29" s="521">
        <f t="shared" si="0"/>
        <v>1741</v>
      </c>
      <c r="J29" s="741">
        <f>'Table 1 Summary'!N166</f>
        <v>5742</v>
      </c>
      <c r="K29" s="527">
        <f t="shared" si="6"/>
        <v>30.320445837687217</v>
      </c>
      <c r="L29" s="523">
        <f t="shared" si="7"/>
        <v>0.30320445837687215</v>
      </c>
    </row>
    <row r="30" spans="1:12" hidden="1">
      <c r="A30" s="519"/>
      <c r="B30" s="531" t="s">
        <v>30</v>
      </c>
      <c r="C30" s="526">
        <v>46</v>
      </c>
      <c r="D30" s="526">
        <v>816</v>
      </c>
      <c r="E30" s="526">
        <v>242</v>
      </c>
      <c r="F30" s="526">
        <v>225</v>
      </c>
      <c r="G30" s="526">
        <v>490</v>
      </c>
      <c r="H30" s="526">
        <v>867</v>
      </c>
      <c r="I30" s="521">
        <f t="shared" si="0"/>
        <v>2686</v>
      </c>
      <c r="J30" s="741">
        <f>'Table 1 Summary'!N167</f>
        <v>9158</v>
      </c>
      <c r="K30" s="527">
        <f t="shared" si="6"/>
        <v>29.329547936230615</v>
      </c>
      <c r="L30" s="523">
        <f t="shared" si="7"/>
        <v>0.29329547936230616</v>
      </c>
    </row>
    <row r="31" spans="1:12" hidden="1">
      <c r="A31" s="519"/>
      <c r="B31" s="531" t="s">
        <v>36</v>
      </c>
      <c r="C31" s="526">
        <v>55</v>
      </c>
      <c r="D31" s="526">
        <v>1432</v>
      </c>
      <c r="E31" s="526">
        <v>116</v>
      </c>
      <c r="F31" s="526">
        <v>254</v>
      </c>
      <c r="G31" s="526">
        <v>896</v>
      </c>
      <c r="H31" s="526">
        <v>1330</v>
      </c>
      <c r="I31" s="521">
        <f t="shared" si="0"/>
        <v>4083</v>
      </c>
      <c r="J31" s="741">
        <f>'Table 1 Summary'!N168</f>
        <v>10864</v>
      </c>
      <c r="K31" s="527">
        <f t="shared" si="6"/>
        <v>37.582842415316641</v>
      </c>
      <c r="L31" s="523">
        <f t="shared" si="7"/>
        <v>0.37582842415316642</v>
      </c>
    </row>
    <row r="32" spans="1:12" hidden="1">
      <c r="A32" s="519"/>
      <c r="B32" s="531" t="s">
        <v>37</v>
      </c>
      <c r="C32" s="526">
        <v>64</v>
      </c>
      <c r="D32" s="526">
        <v>1085</v>
      </c>
      <c r="E32" s="526">
        <v>130</v>
      </c>
      <c r="F32" s="526">
        <v>263</v>
      </c>
      <c r="G32" s="526">
        <v>527</v>
      </c>
      <c r="H32" s="526">
        <v>1140</v>
      </c>
      <c r="I32" s="521">
        <f t="shared" si="0"/>
        <v>3209</v>
      </c>
      <c r="J32" s="741">
        <f>'Table 1 Summary'!N169</f>
        <v>9819</v>
      </c>
      <c r="K32" s="527">
        <f t="shared" si="6"/>
        <v>32.681535797942765</v>
      </c>
      <c r="L32" s="523">
        <f t="shared" si="7"/>
        <v>0.32681535797942762</v>
      </c>
    </row>
    <row r="33" spans="1:14" hidden="1">
      <c r="A33" s="519"/>
      <c r="B33" s="531" t="s">
        <v>31</v>
      </c>
      <c r="C33" s="526">
        <v>64</v>
      </c>
      <c r="D33" s="526">
        <v>1001</v>
      </c>
      <c r="E33" s="526">
        <v>65</v>
      </c>
      <c r="F33" s="526">
        <v>185</v>
      </c>
      <c r="G33" s="526">
        <v>579</v>
      </c>
      <c r="H33" s="526">
        <v>898</v>
      </c>
      <c r="I33" s="521">
        <f t="shared" si="0"/>
        <v>2792</v>
      </c>
      <c r="J33" s="741">
        <f>'Table 1 Summary'!N170</f>
        <v>9672</v>
      </c>
      <c r="K33" s="527">
        <f t="shared" si="6"/>
        <v>28.866832092638546</v>
      </c>
      <c r="L33" s="523">
        <f t="shared" si="7"/>
        <v>0.28866832092638545</v>
      </c>
    </row>
    <row r="34" spans="1:14" hidden="1">
      <c r="A34" s="519"/>
      <c r="B34" s="531" t="s">
        <v>38</v>
      </c>
      <c r="C34" s="526">
        <v>44</v>
      </c>
      <c r="D34" s="526">
        <v>384</v>
      </c>
      <c r="E34" s="526">
        <v>29</v>
      </c>
      <c r="F34" s="526">
        <v>85</v>
      </c>
      <c r="G34" s="526">
        <v>235</v>
      </c>
      <c r="H34" s="526">
        <v>407</v>
      </c>
      <c r="I34" s="521">
        <f t="shared" si="0"/>
        <v>1184</v>
      </c>
      <c r="J34" s="741">
        <f>'Table 1 Summary'!N171</f>
        <v>9611</v>
      </c>
      <c r="K34" s="527">
        <f t="shared" ref="K34:K39" si="8">I34/J34*100</f>
        <v>12.319217563208824</v>
      </c>
      <c r="L34" s="523">
        <f t="shared" si="7"/>
        <v>0.12319217563208823</v>
      </c>
    </row>
    <row r="35" spans="1:14" hidden="1">
      <c r="A35" s="519"/>
      <c r="B35" s="531" t="s">
        <v>39</v>
      </c>
      <c r="C35" s="526">
        <v>18</v>
      </c>
      <c r="D35" s="526">
        <v>604</v>
      </c>
      <c r="E35" s="526">
        <v>43</v>
      </c>
      <c r="F35" s="526">
        <v>103</v>
      </c>
      <c r="G35" s="526">
        <v>301</v>
      </c>
      <c r="H35" s="526">
        <v>536</v>
      </c>
      <c r="I35" s="521">
        <f t="shared" si="0"/>
        <v>1605</v>
      </c>
      <c r="J35" s="741">
        <f>'Table 1 Summary'!N172</f>
        <v>7511</v>
      </c>
      <c r="K35" s="527">
        <f t="shared" si="8"/>
        <v>21.368659299693782</v>
      </c>
      <c r="L35" s="523">
        <f>I35/J35</f>
        <v>0.21368659299693782</v>
      </c>
    </row>
    <row r="36" spans="1:14" hidden="1">
      <c r="A36" s="528">
        <v>2016</v>
      </c>
      <c r="B36" s="531" t="s">
        <v>32</v>
      </c>
      <c r="C36" s="526">
        <v>38</v>
      </c>
      <c r="D36" s="526">
        <v>422</v>
      </c>
      <c r="E36" s="526">
        <v>28</v>
      </c>
      <c r="F36" s="526">
        <v>210</v>
      </c>
      <c r="G36" s="526">
        <v>252</v>
      </c>
      <c r="H36" s="526">
        <v>582</v>
      </c>
      <c r="I36" s="521">
        <f t="shared" si="0"/>
        <v>1532</v>
      </c>
      <c r="J36" s="741">
        <v>9749</v>
      </c>
      <c r="K36" s="527">
        <f t="shared" si="8"/>
        <v>15.714432249461483</v>
      </c>
      <c r="L36" s="523">
        <f>I36/J36</f>
        <v>0.15714432249461482</v>
      </c>
    </row>
    <row r="37" spans="1:14" hidden="1">
      <c r="A37" s="519"/>
      <c r="B37" s="531" t="s">
        <v>33</v>
      </c>
      <c r="C37" s="526">
        <v>29</v>
      </c>
      <c r="D37" s="526">
        <v>732</v>
      </c>
      <c r="E37" s="526">
        <v>29</v>
      </c>
      <c r="F37" s="526">
        <v>118</v>
      </c>
      <c r="G37" s="526">
        <v>138</v>
      </c>
      <c r="H37" s="526">
        <v>743</v>
      </c>
      <c r="I37" s="521">
        <f t="shared" si="0"/>
        <v>1789</v>
      </c>
      <c r="J37" s="741">
        <f>'Table 1 Summary'!N174</f>
        <v>8957</v>
      </c>
      <c r="K37" s="527">
        <f t="shared" si="8"/>
        <v>19.973205314279337</v>
      </c>
      <c r="L37" s="523">
        <f>I37/J37</f>
        <v>0.19973205314279335</v>
      </c>
    </row>
    <row r="38" spans="1:14" hidden="1">
      <c r="A38" s="528"/>
      <c r="B38" s="531" t="s">
        <v>34</v>
      </c>
      <c r="C38" s="526">
        <v>41</v>
      </c>
      <c r="D38" s="526">
        <v>323</v>
      </c>
      <c r="E38" s="526">
        <v>18</v>
      </c>
      <c r="F38" s="526">
        <v>62</v>
      </c>
      <c r="G38" s="526">
        <v>65</v>
      </c>
      <c r="H38" s="526">
        <v>356</v>
      </c>
      <c r="I38" s="521">
        <f t="shared" si="0"/>
        <v>865</v>
      </c>
      <c r="J38" s="741">
        <f>'Table 1 Summary'!N175</f>
        <v>5610</v>
      </c>
      <c r="K38" s="527">
        <f t="shared" si="8"/>
        <v>15.418894830659536</v>
      </c>
      <c r="L38" s="523">
        <f>I38/J38</f>
        <v>0.15418894830659535</v>
      </c>
    </row>
    <row r="39" spans="1:14" hidden="1">
      <c r="A39" s="519"/>
      <c r="B39" s="531" t="s">
        <v>29</v>
      </c>
      <c r="C39" s="526">
        <v>14</v>
      </c>
      <c r="D39" s="526">
        <v>552</v>
      </c>
      <c r="E39" s="526">
        <v>15</v>
      </c>
      <c r="F39" s="526">
        <v>112</v>
      </c>
      <c r="G39" s="526">
        <v>185</v>
      </c>
      <c r="H39" s="526">
        <v>516</v>
      </c>
      <c r="I39" s="521">
        <f t="shared" si="0"/>
        <v>1394</v>
      </c>
      <c r="J39" s="741">
        <f>'Table 1 Summary'!N176</f>
        <v>6356</v>
      </c>
      <c r="K39" s="527">
        <f t="shared" si="8"/>
        <v>21.932032724984264</v>
      </c>
      <c r="L39" s="523">
        <f>I39/J39</f>
        <v>0.21932032724984266</v>
      </c>
    </row>
    <row r="40" spans="1:14" hidden="1">
      <c r="A40" s="519"/>
      <c r="B40" s="531" t="s">
        <v>35</v>
      </c>
      <c r="C40" s="526">
        <v>49</v>
      </c>
      <c r="D40" s="526">
        <v>686</v>
      </c>
      <c r="E40" s="526">
        <v>99</v>
      </c>
      <c r="F40" s="526">
        <v>127</v>
      </c>
      <c r="G40" s="526">
        <v>379</v>
      </c>
      <c r="H40" s="526">
        <v>895</v>
      </c>
      <c r="I40" s="521">
        <f t="shared" si="0"/>
        <v>2235</v>
      </c>
      <c r="J40" s="741">
        <f>'Table 1 Summary'!N177</f>
        <v>8935</v>
      </c>
      <c r="K40" s="527">
        <f t="shared" ref="K40:K45" si="9">I40/J40*100</f>
        <v>25.013989927252378</v>
      </c>
      <c r="L40" s="523">
        <f t="shared" ref="L40:L45" si="10">I40/J40</f>
        <v>0.25013989927252378</v>
      </c>
    </row>
    <row r="41" spans="1:14" hidden="1">
      <c r="A41" s="519"/>
      <c r="B41" s="531" t="s">
        <v>4</v>
      </c>
      <c r="C41" s="526">
        <v>52</v>
      </c>
      <c r="D41" s="526">
        <v>740</v>
      </c>
      <c r="E41" s="526">
        <v>188</v>
      </c>
      <c r="F41" s="526">
        <v>144</v>
      </c>
      <c r="G41" s="526">
        <v>299</v>
      </c>
      <c r="H41" s="526">
        <v>811</v>
      </c>
      <c r="I41" s="521">
        <f t="shared" si="0"/>
        <v>2234</v>
      </c>
      <c r="J41" s="741">
        <f>'Table 1 Summary'!N178</f>
        <v>7179</v>
      </c>
      <c r="K41" s="527">
        <f t="shared" si="9"/>
        <v>31.118540186655526</v>
      </c>
      <c r="L41" s="523">
        <f t="shared" si="10"/>
        <v>0.31118540186655524</v>
      </c>
    </row>
    <row r="42" spans="1:14" hidden="1">
      <c r="A42" s="519"/>
      <c r="B42" s="531" t="s">
        <v>30</v>
      </c>
      <c r="C42" s="526">
        <v>88</v>
      </c>
      <c r="D42" s="529">
        <v>940</v>
      </c>
      <c r="E42" s="529">
        <v>152</v>
      </c>
      <c r="F42" s="529">
        <v>192</v>
      </c>
      <c r="G42" s="529">
        <v>397</v>
      </c>
      <c r="H42" s="529">
        <v>1006</v>
      </c>
      <c r="I42" s="521">
        <f t="shared" si="0"/>
        <v>2775</v>
      </c>
      <c r="J42" s="741">
        <f>'Table 1 Summary'!N179</f>
        <v>9500</v>
      </c>
      <c r="K42" s="527">
        <f t="shared" si="9"/>
        <v>29.210526315789476</v>
      </c>
      <c r="L42" s="523">
        <f t="shared" si="10"/>
        <v>0.29210526315789476</v>
      </c>
    </row>
    <row r="43" spans="1:14" hidden="1">
      <c r="A43" s="519"/>
      <c r="B43" s="531" t="s">
        <v>36</v>
      </c>
      <c r="C43" s="526">
        <v>112</v>
      </c>
      <c r="D43" s="526">
        <v>1473</v>
      </c>
      <c r="E43" s="526">
        <v>102</v>
      </c>
      <c r="F43" s="526">
        <v>243</v>
      </c>
      <c r="G43" s="526">
        <v>541</v>
      </c>
      <c r="H43" s="526">
        <v>1516</v>
      </c>
      <c r="I43" s="521">
        <f t="shared" ref="I43:I48" si="11">SUM(C43:H43)</f>
        <v>3987</v>
      </c>
      <c r="J43" s="741">
        <f>'Table 1 Summary'!N180</f>
        <v>12055</v>
      </c>
      <c r="K43" s="527">
        <f t="shared" si="9"/>
        <v>33.073413521360436</v>
      </c>
      <c r="L43" s="523">
        <f t="shared" si="10"/>
        <v>0.33073413521360434</v>
      </c>
    </row>
    <row r="44" spans="1:14" hidden="1">
      <c r="A44" s="519"/>
      <c r="B44" s="531" t="s">
        <v>37</v>
      </c>
      <c r="C44" s="526">
        <v>52</v>
      </c>
      <c r="D44" s="526">
        <v>609</v>
      </c>
      <c r="E44" s="526">
        <v>103</v>
      </c>
      <c r="F44" s="526">
        <v>133</v>
      </c>
      <c r="G44" s="526">
        <v>270</v>
      </c>
      <c r="H44" s="526">
        <v>606</v>
      </c>
      <c r="I44" s="521">
        <f t="shared" si="11"/>
        <v>1773</v>
      </c>
      <c r="J44" s="741">
        <f>'Table 1 Summary'!N181</f>
        <v>8301</v>
      </c>
      <c r="K44" s="527">
        <f t="shared" si="9"/>
        <v>21.358872425009036</v>
      </c>
      <c r="L44" s="523">
        <f t="shared" si="10"/>
        <v>0.21358872425009034</v>
      </c>
    </row>
    <row r="45" spans="1:14" hidden="1">
      <c r="A45" s="519"/>
      <c r="B45" s="531" t="s">
        <v>31</v>
      </c>
      <c r="C45" s="526">
        <v>65</v>
      </c>
      <c r="D45" s="526">
        <v>816</v>
      </c>
      <c r="E45" s="526">
        <v>114</v>
      </c>
      <c r="F45" s="526">
        <v>202</v>
      </c>
      <c r="G45" s="526">
        <v>274</v>
      </c>
      <c r="H45" s="526">
        <v>867</v>
      </c>
      <c r="I45" s="521">
        <f t="shared" si="11"/>
        <v>2338</v>
      </c>
      <c r="J45" s="741">
        <f>'Table 1 Summary'!N182</f>
        <v>10877</v>
      </c>
      <c r="K45" s="527">
        <f t="shared" si="9"/>
        <v>21.49489749011676</v>
      </c>
      <c r="L45" s="523">
        <f t="shared" si="10"/>
        <v>0.2149489749011676</v>
      </c>
      <c r="N45" s="386"/>
    </row>
    <row r="46" spans="1:14" hidden="1">
      <c r="A46" s="519">
        <v>2017</v>
      </c>
      <c r="B46" s="531" t="s">
        <v>38</v>
      </c>
      <c r="C46" s="526">
        <v>87</v>
      </c>
      <c r="D46" s="526">
        <v>947</v>
      </c>
      <c r="E46" s="526">
        <v>99</v>
      </c>
      <c r="F46" s="526">
        <v>297</v>
      </c>
      <c r="G46" s="526">
        <v>317</v>
      </c>
      <c r="H46" s="526">
        <v>1150</v>
      </c>
      <c r="I46" s="521">
        <f t="shared" si="11"/>
        <v>2897</v>
      </c>
      <c r="J46" s="741">
        <f>'Table 1 Summary'!N183</f>
        <v>10611</v>
      </c>
      <c r="K46" s="527">
        <f t="shared" ref="K46:K61" si="12">I46/J46*100</f>
        <v>27.301856563943076</v>
      </c>
      <c r="L46" s="523">
        <f t="shared" ref="L46:L61" si="13">I46/J46</f>
        <v>0.27301856563943078</v>
      </c>
    </row>
    <row r="47" spans="1:14" hidden="1">
      <c r="A47" s="519">
        <v>2017</v>
      </c>
      <c r="B47" s="531" t="s">
        <v>39</v>
      </c>
      <c r="C47" s="526">
        <v>52</v>
      </c>
      <c r="D47" s="526">
        <v>770</v>
      </c>
      <c r="E47" s="526">
        <v>47</v>
      </c>
      <c r="F47" s="526">
        <v>145</v>
      </c>
      <c r="G47" s="526">
        <v>226</v>
      </c>
      <c r="H47" s="526">
        <v>769</v>
      </c>
      <c r="I47" s="521">
        <f t="shared" si="11"/>
        <v>2009</v>
      </c>
      <c r="J47" s="741">
        <f>'Table 1 Summary'!N184</f>
        <v>8506</v>
      </c>
      <c r="K47" s="527">
        <f t="shared" si="12"/>
        <v>23.618622149071243</v>
      </c>
      <c r="L47" s="523">
        <f t="shared" si="13"/>
        <v>0.23618622149071244</v>
      </c>
      <c r="N47" s="387"/>
    </row>
    <row r="48" spans="1:14" hidden="1">
      <c r="A48" s="519">
        <v>2017</v>
      </c>
      <c r="B48" s="531" t="s">
        <v>32</v>
      </c>
      <c r="C48" s="526">
        <v>16</v>
      </c>
      <c r="D48" s="526">
        <v>711</v>
      </c>
      <c r="E48" s="526">
        <v>56</v>
      </c>
      <c r="F48" s="526">
        <v>127</v>
      </c>
      <c r="G48" s="526">
        <v>119</v>
      </c>
      <c r="H48" s="526">
        <v>874</v>
      </c>
      <c r="I48" s="521">
        <f t="shared" si="11"/>
        <v>1903</v>
      </c>
      <c r="J48" s="741">
        <f>'Table 1 Summary'!N185</f>
        <v>12283</v>
      </c>
      <c r="K48" s="527">
        <f t="shared" si="12"/>
        <v>15.492957746478872</v>
      </c>
      <c r="L48" s="523">
        <f t="shared" si="13"/>
        <v>0.15492957746478872</v>
      </c>
    </row>
    <row r="49" spans="1:12">
      <c r="A49" s="519">
        <v>2018</v>
      </c>
      <c r="B49" s="531" t="s">
        <v>33</v>
      </c>
      <c r="C49" s="526">
        <v>31</v>
      </c>
      <c r="D49" s="526">
        <v>1186</v>
      </c>
      <c r="E49" s="526">
        <v>22</v>
      </c>
      <c r="F49" s="526">
        <v>154</v>
      </c>
      <c r="G49" s="526">
        <v>209</v>
      </c>
      <c r="H49" s="526">
        <v>1114</v>
      </c>
      <c r="I49" s="521">
        <f t="shared" ref="I49:I54" si="14">SUM(C49:H49)</f>
        <v>2716</v>
      </c>
      <c r="J49" s="741">
        <f>'Table 1 Summary'!N186</f>
        <v>10130</v>
      </c>
      <c r="K49" s="527">
        <f t="shared" si="12"/>
        <v>26.811451135241853</v>
      </c>
      <c r="L49" s="523">
        <f t="shared" si="13"/>
        <v>0.26811451135241854</v>
      </c>
    </row>
    <row r="50" spans="1:12">
      <c r="A50" s="519"/>
      <c r="B50" s="531" t="s">
        <v>34</v>
      </c>
      <c r="C50" s="526">
        <v>10</v>
      </c>
      <c r="D50" s="526">
        <v>524</v>
      </c>
      <c r="E50" s="526">
        <v>33</v>
      </c>
      <c r="F50" s="526">
        <v>78</v>
      </c>
      <c r="G50" s="526">
        <v>142</v>
      </c>
      <c r="H50" s="526">
        <v>623</v>
      </c>
      <c r="I50" s="521">
        <f>SUM(C50:H50)</f>
        <v>1410</v>
      </c>
      <c r="J50" s="741">
        <f>'Table 1 Summary'!N187</f>
        <v>6266</v>
      </c>
      <c r="K50" s="527">
        <f t="shared" si="12"/>
        <v>22.502393871688479</v>
      </c>
      <c r="L50" s="523">
        <f t="shared" si="13"/>
        <v>0.22502393871688478</v>
      </c>
    </row>
    <row r="51" spans="1:12">
      <c r="A51" s="519"/>
      <c r="B51" s="668" t="s">
        <v>29</v>
      </c>
      <c r="C51" s="530">
        <v>30</v>
      </c>
      <c r="D51" s="530">
        <v>473</v>
      </c>
      <c r="E51" s="530">
        <v>33</v>
      </c>
      <c r="F51" s="530">
        <v>61</v>
      </c>
      <c r="G51" s="530">
        <v>112</v>
      </c>
      <c r="H51" s="530">
        <v>441</v>
      </c>
      <c r="I51" s="665">
        <f t="shared" si="14"/>
        <v>1150</v>
      </c>
      <c r="J51" s="741">
        <f>'Table 1 Summary'!N188</f>
        <v>7116</v>
      </c>
      <c r="K51" s="527">
        <f t="shared" si="12"/>
        <v>16.160764474423832</v>
      </c>
      <c r="L51" s="523">
        <f t="shared" si="13"/>
        <v>0.16160764474423833</v>
      </c>
    </row>
    <row r="52" spans="1:12">
      <c r="A52" s="519"/>
      <c r="B52" s="531" t="s">
        <v>35</v>
      </c>
      <c r="C52" s="526">
        <v>22</v>
      </c>
      <c r="D52" s="526">
        <v>821</v>
      </c>
      <c r="E52" s="526">
        <v>74</v>
      </c>
      <c r="F52" s="526">
        <v>119</v>
      </c>
      <c r="G52" s="526">
        <v>365</v>
      </c>
      <c r="H52" s="526">
        <v>943</v>
      </c>
      <c r="I52" s="521">
        <f>SUM(C52:H52)</f>
        <v>2344</v>
      </c>
      <c r="J52" s="741">
        <f>'Table 1 Summary'!N189</f>
        <v>9193</v>
      </c>
      <c r="K52" s="527">
        <f t="shared" si="12"/>
        <v>25.497661264005224</v>
      </c>
      <c r="L52" s="523">
        <f t="shared" si="13"/>
        <v>0.25497661264005222</v>
      </c>
    </row>
    <row r="53" spans="1:12">
      <c r="A53" s="519"/>
      <c r="B53" s="531" t="s">
        <v>4</v>
      </c>
      <c r="C53" s="526">
        <v>46</v>
      </c>
      <c r="D53" s="526">
        <v>935</v>
      </c>
      <c r="E53" s="526">
        <v>143</v>
      </c>
      <c r="F53" s="526">
        <v>204</v>
      </c>
      <c r="G53" s="526">
        <v>485</v>
      </c>
      <c r="H53" s="526">
        <v>1050</v>
      </c>
      <c r="I53" s="521">
        <f t="shared" si="14"/>
        <v>2863</v>
      </c>
      <c r="J53" s="741">
        <f>'Table 1 Summary'!N190</f>
        <v>8853</v>
      </c>
      <c r="K53" s="527">
        <f t="shared" si="12"/>
        <v>32.339320004518243</v>
      </c>
      <c r="L53" s="523">
        <f t="shared" si="13"/>
        <v>0.32339320004518241</v>
      </c>
    </row>
    <row r="54" spans="1:12">
      <c r="A54" s="519"/>
      <c r="B54" s="531" t="s">
        <v>30</v>
      </c>
      <c r="C54" s="526">
        <v>36</v>
      </c>
      <c r="D54" s="526">
        <v>900</v>
      </c>
      <c r="E54" s="526">
        <v>112</v>
      </c>
      <c r="F54" s="526">
        <v>200</v>
      </c>
      <c r="G54" s="526">
        <v>244</v>
      </c>
      <c r="H54" s="526">
        <v>998</v>
      </c>
      <c r="I54" s="521">
        <f t="shared" si="14"/>
        <v>2490</v>
      </c>
      <c r="J54" s="741">
        <f>'Table 1 Summary'!N191</f>
        <v>10573</v>
      </c>
      <c r="K54" s="527">
        <f t="shared" si="12"/>
        <v>23.550553296131657</v>
      </c>
      <c r="L54" s="523">
        <f t="shared" si="13"/>
        <v>0.23550553296131657</v>
      </c>
    </row>
    <row r="55" spans="1:12">
      <c r="A55" s="519"/>
      <c r="B55" s="531" t="s">
        <v>36</v>
      </c>
      <c r="C55" s="526">
        <v>57</v>
      </c>
      <c r="D55" s="526">
        <v>1732</v>
      </c>
      <c r="E55" s="526">
        <v>112</v>
      </c>
      <c r="F55" s="526">
        <v>317</v>
      </c>
      <c r="G55" s="526">
        <v>576</v>
      </c>
      <c r="H55" s="526">
        <v>1659</v>
      </c>
      <c r="I55" s="521">
        <f t="shared" ref="I55:I61" si="15">SUM(C55:H55)</f>
        <v>4453</v>
      </c>
      <c r="J55" s="741">
        <f>'Table 1 Summary'!N192</f>
        <v>13184</v>
      </c>
      <c r="K55" s="527">
        <f t="shared" si="12"/>
        <v>33.775788834951456</v>
      </c>
      <c r="L55" s="523">
        <f t="shared" si="13"/>
        <v>0.33775788834951459</v>
      </c>
    </row>
    <row r="56" spans="1:12">
      <c r="A56" s="519"/>
      <c r="B56" s="531" t="s">
        <v>37</v>
      </c>
      <c r="C56" s="526">
        <v>62</v>
      </c>
      <c r="D56" s="526">
        <v>1405</v>
      </c>
      <c r="E56" s="526">
        <v>62</v>
      </c>
      <c r="F56" s="526">
        <v>349</v>
      </c>
      <c r="G56" s="526">
        <v>478</v>
      </c>
      <c r="H56" s="526">
        <v>1566</v>
      </c>
      <c r="I56" s="521">
        <f t="shared" si="15"/>
        <v>3922</v>
      </c>
      <c r="J56" s="741">
        <f>'Table 1 Summary'!N193</f>
        <v>8972</v>
      </c>
      <c r="K56" s="527">
        <f t="shared" si="12"/>
        <v>43.713776192599198</v>
      </c>
      <c r="L56" s="523">
        <f t="shared" si="13"/>
        <v>0.43713776192599196</v>
      </c>
    </row>
    <row r="57" spans="1:12">
      <c r="A57" s="519">
        <v>2018</v>
      </c>
      <c r="B57" s="531" t="s">
        <v>31</v>
      </c>
      <c r="C57" s="526">
        <v>32</v>
      </c>
      <c r="D57" s="526">
        <v>1058</v>
      </c>
      <c r="E57" s="526">
        <v>82</v>
      </c>
      <c r="F57" s="526">
        <v>260</v>
      </c>
      <c r="G57" s="526">
        <v>548</v>
      </c>
      <c r="H57" s="526">
        <v>1172</v>
      </c>
      <c r="I57" s="521">
        <f t="shared" si="15"/>
        <v>3152</v>
      </c>
      <c r="J57" s="741">
        <f>'Table 1 Summary'!N194</f>
        <v>11426</v>
      </c>
      <c r="K57" s="527">
        <f t="shared" si="12"/>
        <v>27.586206896551722</v>
      </c>
      <c r="L57" s="523">
        <f t="shared" si="13"/>
        <v>0.27586206896551724</v>
      </c>
    </row>
    <row r="58" spans="1:12">
      <c r="A58" s="519"/>
      <c r="B58" s="531" t="s">
        <v>38</v>
      </c>
      <c r="C58" s="526">
        <v>88</v>
      </c>
      <c r="D58" s="526">
        <v>1377</v>
      </c>
      <c r="E58" s="526">
        <v>64</v>
      </c>
      <c r="F58" s="526">
        <v>298</v>
      </c>
      <c r="G58" s="526">
        <v>501</v>
      </c>
      <c r="H58" s="526">
        <v>1361</v>
      </c>
      <c r="I58" s="521">
        <f t="shared" si="15"/>
        <v>3689</v>
      </c>
      <c r="J58" s="741">
        <f>'Table 1 Summary'!N195</f>
        <v>10409</v>
      </c>
      <c r="K58" s="527">
        <f t="shared" si="12"/>
        <v>35.44048419636853</v>
      </c>
      <c r="L58" s="523">
        <f t="shared" si="13"/>
        <v>0.35440484196368527</v>
      </c>
    </row>
    <row r="59" spans="1:12">
      <c r="A59" s="519"/>
      <c r="B59" s="531" t="s">
        <v>39</v>
      </c>
      <c r="C59" s="526">
        <v>39</v>
      </c>
      <c r="D59" s="526">
        <v>755</v>
      </c>
      <c r="E59" s="526">
        <v>51</v>
      </c>
      <c r="F59" s="526">
        <v>141</v>
      </c>
      <c r="G59" s="526">
        <v>273</v>
      </c>
      <c r="H59" s="526">
        <v>783</v>
      </c>
      <c r="I59" s="521">
        <f t="shared" si="15"/>
        <v>2042</v>
      </c>
      <c r="J59" s="741">
        <f>'Table 1 Summary'!N196</f>
        <v>9044</v>
      </c>
      <c r="K59" s="527">
        <f t="shared" si="12"/>
        <v>22.578505086245023</v>
      </c>
      <c r="L59" s="523">
        <f t="shared" si="13"/>
        <v>0.22578505086245024</v>
      </c>
    </row>
    <row r="60" spans="1:12" hidden="1">
      <c r="A60" s="519">
        <v>2018</v>
      </c>
      <c r="B60" s="531" t="s">
        <v>32</v>
      </c>
      <c r="C60" s="526">
        <v>18</v>
      </c>
      <c r="D60" s="526">
        <v>357</v>
      </c>
      <c r="E60" s="526">
        <v>7</v>
      </c>
      <c r="F60" s="526">
        <v>38</v>
      </c>
      <c r="G60" s="526">
        <v>76</v>
      </c>
      <c r="H60" s="526">
        <v>380</v>
      </c>
      <c r="I60" s="521">
        <f t="shared" si="15"/>
        <v>876</v>
      </c>
      <c r="J60" s="741">
        <f>'Table 1 Summary'!N197</f>
        <v>10468</v>
      </c>
      <c r="K60" s="527">
        <f t="shared" si="12"/>
        <v>8.3683607183798241</v>
      </c>
      <c r="L60" s="523">
        <f t="shared" si="13"/>
        <v>8.3683607183798248E-2</v>
      </c>
    </row>
    <row r="61" spans="1:12" hidden="1">
      <c r="A61" s="519">
        <v>2019</v>
      </c>
      <c r="B61" s="531" t="s">
        <v>33</v>
      </c>
      <c r="C61" s="526">
        <v>20</v>
      </c>
      <c r="D61" s="526">
        <v>965</v>
      </c>
      <c r="E61" s="526">
        <v>47</v>
      </c>
      <c r="F61" s="526">
        <v>66</v>
      </c>
      <c r="G61" s="526">
        <v>192</v>
      </c>
      <c r="H61" s="526">
        <v>789</v>
      </c>
      <c r="I61" s="521">
        <f t="shared" si="15"/>
        <v>2079</v>
      </c>
      <c r="J61" s="741">
        <f>'Table 1 Summary'!N198</f>
        <v>9548</v>
      </c>
      <c r="K61" s="527">
        <f t="shared" si="12"/>
        <v>21.774193548387096</v>
      </c>
      <c r="L61" s="523">
        <f t="shared" si="13"/>
        <v>0.21774193548387097</v>
      </c>
    </row>
    <row r="62" spans="1:12" hidden="1">
      <c r="A62" s="519">
        <v>2019</v>
      </c>
      <c r="B62" s="531" t="s">
        <v>34</v>
      </c>
      <c r="C62" s="526">
        <v>19</v>
      </c>
      <c r="D62" s="526">
        <v>399</v>
      </c>
      <c r="E62" s="526">
        <v>13</v>
      </c>
      <c r="F62" s="526">
        <v>41</v>
      </c>
      <c r="G62" s="526">
        <v>236</v>
      </c>
      <c r="H62" s="526">
        <v>514</v>
      </c>
      <c r="I62" s="521">
        <f t="shared" ref="I62:I67" si="16">SUM(C62:H62)</f>
        <v>1222</v>
      </c>
      <c r="J62" s="741">
        <f>'Table 1 Summary'!N199</f>
        <v>5835</v>
      </c>
      <c r="K62" s="527">
        <f>I62/J62*100</f>
        <v>20.942587832047987</v>
      </c>
      <c r="L62" s="523">
        <f>I62/J62</f>
        <v>0.20942587832047987</v>
      </c>
    </row>
    <row r="63" spans="1:12" hidden="1">
      <c r="A63" s="519">
        <v>2019</v>
      </c>
      <c r="B63" s="531" t="s">
        <v>29</v>
      </c>
      <c r="C63" s="526">
        <v>28</v>
      </c>
      <c r="D63" s="526">
        <v>599</v>
      </c>
      <c r="E63" s="526">
        <v>21</v>
      </c>
      <c r="F63" s="526">
        <v>94</v>
      </c>
      <c r="G63" s="526">
        <v>292</v>
      </c>
      <c r="H63" s="526">
        <v>508</v>
      </c>
      <c r="I63" s="521">
        <f t="shared" si="16"/>
        <v>1542</v>
      </c>
      <c r="J63" s="741">
        <f>'Table 1 Summary'!N200</f>
        <v>7026</v>
      </c>
      <c r="K63" s="527">
        <f t="shared" ref="K63:K68" si="17">I63/J63*100</f>
        <v>21.947053800170792</v>
      </c>
      <c r="L63" s="523">
        <f t="shared" ref="L63:L68" si="18">I63/J63</f>
        <v>0.21947053800170793</v>
      </c>
    </row>
    <row r="64" spans="1:12" hidden="1">
      <c r="A64" s="519">
        <v>2019</v>
      </c>
      <c r="B64" s="531" t="s">
        <v>35</v>
      </c>
      <c r="C64" s="526">
        <v>109</v>
      </c>
      <c r="D64" s="526">
        <v>1085</v>
      </c>
      <c r="E64" s="526">
        <v>38</v>
      </c>
      <c r="F64" s="526">
        <v>127</v>
      </c>
      <c r="G64" s="526">
        <v>531</v>
      </c>
      <c r="H64" s="526">
        <v>1018</v>
      </c>
      <c r="I64" s="521">
        <f t="shared" si="16"/>
        <v>2908</v>
      </c>
      <c r="J64" s="741">
        <f>'Table 1 Summary'!N201</f>
        <v>9445</v>
      </c>
      <c r="K64" s="527">
        <f t="shared" si="17"/>
        <v>30.788777130757015</v>
      </c>
      <c r="L64" s="523">
        <f t="shared" si="18"/>
        <v>0.30788777130757017</v>
      </c>
    </row>
    <row r="65" spans="1:13" hidden="1">
      <c r="A65" s="519">
        <v>2019</v>
      </c>
      <c r="B65" s="531" t="s">
        <v>4</v>
      </c>
      <c r="C65" s="526">
        <v>162</v>
      </c>
      <c r="D65" s="526">
        <v>1061</v>
      </c>
      <c r="E65" s="526">
        <v>47</v>
      </c>
      <c r="F65" s="526">
        <v>134</v>
      </c>
      <c r="G65" s="526">
        <v>352</v>
      </c>
      <c r="H65" s="526">
        <v>946</v>
      </c>
      <c r="I65" s="521">
        <f t="shared" si="16"/>
        <v>2702</v>
      </c>
      <c r="J65" s="741">
        <f>'Table 1 Summary'!N202</f>
        <v>8359</v>
      </c>
      <c r="K65" s="527">
        <f t="shared" si="17"/>
        <v>32.324440722574472</v>
      </c>
      <c r="L65" s="523">
        <f t="shared" si="18"/>
        <v>0.32324440722574471</v>
      </c>
    </row>
    <row r="66" spans="1:13">
      <c r="A66" s="519">
        <v>2019</v>
      </c>
      <c r="B66" s="531" t="s">
        <v>30</v>
      </c>
      <c r="C66" s="526">
        <v>124</v>
      </c>
      <c r="D66" s="526">
        <v>898</v>
      </c>
      <c r="E66" s="526">
        <v>35</v>
      </c>
      <c r="F66" s="526">
        <v>158</v>
      </c>
      <c r="G66" s="526">
        <v>385</v>
      </c>
      <c r="H66" s="526">
        <v>926</v>
      </c>
      <c r="I66" s="521">
        <f t="shared" si="16"/>
        <v>2526</v>
      </c>
      <c r="J66" s="741">
        <f>'Table 1 Summary'!N203</f>
        <v>10607</v>
      </c>
      <c r="K66" s="527">
        <f t="shared" si="17"/>
        <v>23.814462147638352</v>
      </c>
      <c r="L66" s="523">
        <f t="shared" si="18"/>
        <v>0.23814462147638352</v>
      </c>
    </row>
    <row r="67" spans="1:13">
      <c r="A67" s="519">
        <v>2019</v>
      </c>
      <c r="B67" s="531" t="s">
        <v>36</v>
      </c>
      <c r="C67" s="526">
        <v>83</v>
      </c>
      <c r="D67" s="526">
        <v>1860</v>
      </c>
      <c r="E67" s="526">
        <v>53</v>
      </c>
      <c r="F67" s="526">
        <v>186</v>
      </c>
      <c r="G67" s="526">
        <v>906</v>
      </c>
      <c r="H67" s="526">
        <v>1648</v>
      </c>
      <c r="I67" s="521">
        <f t="shared" si="16"/>
        <v>4736</v>
      </c>
      <c r="J67" s="741">
        <f>'Table 1 Summary'!N204</f>
        <v>12612</v>
      </c>
      <c r="K67" s="527">
        <f t="shared" si="17"/>
        <v>37.551538217570567</v>
      </c>
      <c r="L67" s="523">
        <f t="shared" si="18"/>
        <v>0.37551538217570568</v>
      </c>
    </row>
    <row r="68" spans="1:13">
      <c r="A68" s="519"/>
      <c r="B68" s="531" t="s">
        <v>37</v>
      </c>
      <c r="C68" s="526">
        <v>109</v>
      </c>
      <c r="D68" s="526">
        <v>1085</v>
      </c>
      <c r="E68" s="526">
        <v>38</v>
      </c>
      <c r="F68" s="526">
        <v>127</v>
      </c>
      <c r="G68" s="526">
        <v>531</v>
      </c>
      <c r="H68" s="526">
        <v>1018</v>
      </c>
      <c r="I68" s="521">
        <f>SUM(C68:H68)</f>
        <v>2908</v>
      </c>
      <c r="J68" s="741">
        <f>'Table 1 Summary'!N205</f>
        <v>12275</v>
      </c>
      <c r="K68" s="527">
        <f t="shared" si="17"/>
        <v>23.690427698574336</v>
      </c>
      <c r="L68" s="523">
        <f t="shared" si="18"/>
        <v>0.23690427698574337</v>
      </c>
    </row>
    <row r="69" spans="1:13">
      <c r="A69" s="519"/>
      <c r="B69" s="531" t="s">
        <v>31</v>
      </c>
      <c r="C69" s="526">
        <v>48</v>
      </c>
      <c r="D69" s="526">
        <v>1123</v>
      </c>
      <c r="E69" s="526">
        <v>43</v>
      </c>
      <c r="F69" s="526">
        <v>124</v>
      </c>
      <c r="G69" s="526">
        <v>376</v>
      </c>
      <c r="H69" s="526">
        <v>1053</v>
      </c>
      <c r="I69" s="521">
        <f>SUM(C69:H69)</f>
        <v>2767</v>
      </c>
      <c r="J69" s="741">
        <f>'Table 1 Summary'!N206</f>
        <v>11700</v>
      </c>
      <c r="K69" s="527">
        <f>I69/J69*100</f>
        <v>23.649572649572651</v>
      </c>
      <c r="L69" s="523">
        <f>I69/J69</f>
        <v>0.2364957264957265</v>
      </c>
    </row>
    <row r="70" spans="1:13">
      <c r="A70" s="519"/>
      <c r="B70" s="531" t="s">
        <v>38</v>
      </c>
      <c r="C70" s="526">
        <v>54</v>
      </c>
      <c r="D70" s="526">
        <v>1234</v>
      </c>
      <c r="E70" s="526">
        <v>52</v>
      </c>
      <c r="F70" s="526">
        <v>126</v>
      </c>
      <c r="G70" s="526">
        <v>418</v>
      </c>
      <c r="H70" s="526">
        <v>1073</v>
      </c>
      <c r="I70" s="521">
        <f>SUM(C70:H70)</f>
        <v>2957</v>
      </c>
      <c r="J70" s="741">
        <f>'Table 1 Summary'!N207</f>
        <v>10880</v>
      </c>
      <c r="K70" s="527">
        <f>I70/J70*100</f>
        <v>27.178308823529413</v>
      </c>
      <c r="L70" s="523">
        <f>I70/J70</f>
        <v>0.27178308823529412</v>
      </c>
    </row>
    <row r="71" spans="1:13">
      <c r="A71" s="519"/>
      <c r="B71" s="531" t="s">
        <v>39</v>
      </c>
      <c r="C71" s="526">
        <v>20</v>
      </c>
      <c r="D71" s="526">
        <v>790</v>
      </c>
      <c r="E71" s="526">
        <v>26</v>
      </c>
      <c r="F71" s="526">
        <v>86</v>
      </c>
      <c r="G71" s="526">
        <v>282</v>
      </c>
      <c r="H71" s="526">
        <v>861</v>
      </c>
      <c r="I71" s="521">
        <v>2065</v>
      </c>
      <c r="J71" s="741">
        <f>'Table 1 Summary'!N208</f>
        <v>9860</v>
      </c>
      <c r="K71" s="527">
        <f>I71/J71*100</f>
        <v>20.943204868154158</v>
      </c>
      <c r="L71" s="523">
        <f>I71/J71</f>
        <v>0.20943204868154158</v>
      </c>
    </row>
    <row r="72" spans="1:13">
      <c r="A72" s="519"/>
      <c r="B72" s="531" t="s">
        <v>32</v>
      </c>
      <c r="C72" s="526">
        <v>23</v>
      </c>
      <c r="D72" s="526">
        <v>706</v>
      </c>
      <c r="E72" s="526">
        <v>27</v>
      </c>
      <c r="F72" s="526">
        <v>108</v>
      </c>
      <c r="G72" s="526">
        <v>238</v>
      </c>
      <c r="H72" s="526">
        <v>745</v>
      </c>
      <c r="I72" s="521">
        <f t="shared" ref="I72:I77" si="19">SUM(C72:H72)</f>
        <v>1847</v>
      </c>
      <c r="J72" s="741">
        <f>'Table 1 Summary'!N209</f>
        <v>12481</v>
      </c>
      <c r="K72" s="527">
        <f>I72/J72*100</f>
        <v>14.798493710439869</v>
      </c>
      <c r="L72" s="523">
        <f>I72/J72</f>
        <v>0.14798493710439869</v>
      </c>
    </row>
    <row r="73" spans="1:13">
      <c r="A73" s="519">
        <v>2020</v>
      </c>
      <c r="B73" s="531" t="s">
        <v>33</v>
      </c>
      <c r="C73" s="526">
        <v>47</v>
      </c>
      <c r="D73" s="526">
        <v>1387</v>
      </c>
      <c r="E73" s="526">
        <v>55</v>
      </c>
      <c r="F73" s="526">
        <v>106</v>
      </c>
      <c r="G73" s="526">
        <v>350</v>
      </c>
      <c r="H73" s="526">
        <v>1346</v>
      </c>
      <c r="I73" s="521">
        <f t="shared" si="19"/>
        <v>3291</v>
      </c>
      <c r="J73" s="741">
        <f>'Table 1 Summary'!N210</f>
        <v>11933</v>
      </c>
      <c r="K73" s="527">
        <f>I73/J73*100</f>
        <v>27.578982653146738</v>
      </c>
      <c r="L73" s="523">
        <f>I73/J73</f>
        <v>0.27578982653146739</v>
      </c>
    </row>
    <row r="74" spans="1:13">
      <c r="A74" s="519"/>
      <c r="B74" s="531" t="s">
        <v>34</v>
      </c>
      <c r="C74" s="526">
        <v>23</v>
      </c>
      <c r="D74" s="526">
        <v>703</v>
      </c>
      <c r="E74" s="526">
        <v>35</v>
      </c>
      <c r="F74" s="526">
        <v>73</v>
      </c>
      <c r="G74" s="526">
        <v>115</v>
      </c>
      <c r="H74" s="526">
        <v>605</v>
      </c>
      <c r="I74" s="521">
        <f t="shared" si="19"/>
        <v>1554</v>
      </c>
      <c r="J74" s="741">
        <f>'Table 1 Summary'!N211</f>
        <v>6594</v>
      </c>
      <c r="K74" s="527">
        <f t="shared" ref="K74:K79" si="20">I74/J74*100</f>
        <v>23.566878980891719</v>
      </c>
      <c r="L74" s="523">
        <f t="shared" ref="L74:L79" si="21">I74/J74</f>
        <v>0.2356687898089172</v>
      </c>
    </row>
    <row r="75" spans="1:13">
      <c r="A75" s="519"/>
      <c r="B75" s="531" t="s">
        <v>29</v>
      </c>
      <c r="C75" s="526">
        <v>20</v>
      </c>
      <c r="D75" s="526">
        <v>572</v>
      </c>
      <c r="E75" s="526">
        <v>28</v>
      </c>
      <c r="F75" s="526">
        <v>67</v>
      </c>
      <c r="G75" s="526">
        <v>167</v>
      </c>
      <c r="H75" s="526">
        <v>313</v>
      </c>
      <c r="I75" s="521">
        <f t="shared" si="19"/>
        <v>1167</v>
      </c>
      <c r="J75" s="741">
        <f>'Table 1 Summary'!X212</f>
        <v>4795</v>
      </c>
      <c r="K75" s="527">
        <f t="shared" si="20"/>
        <v>24.337851929092803</v>
      </c>
      <c r="L75" s="523">
        <f t="shared" si="21"/>
        <v>0.24337851929092805</v>
      </c>
    </row>
    <row r="76" spans="1:13">
      <c r="A76" s="519"/>
      <c r="B76" s="531" t="s">
        <v>35</v>
      </c>
      <c r="C76" s="679">
        <v>0</v>
      </c>
      <c r="D76" s="526">
        <v>82</v>
      </c>
      <c r="E76" s="526">
        <v>14</v>
      </c>
      <c r="F76" s="526">
        <v>19</v>
      </c>
      <c r="G76" s="526">
        <v>1</v>
      </c>
      <c r="H76" s="526">
        <v>35</v>
      </c>
      <c r="I76" s="521">
        <f t="shared" si="19"/>
        <v>151</v>
      </c>
      <c r="J76" s="741">
        <f>'Table 1 Summary'!N213</f>
        <v>0</v>
      </c>
      <c r="K76" s="680" t="e">
        <f t="shared" si="20"/>
        <v>#DIV/0!</v>
      </c>
      <c r="L76" s="523" t="e">
        <f t="shared" si="21"/>
        <v>#DIV/0!</v>
      </c>
    </row>
    <row r="77" spans="1:13" ht="18" customHeight="1">
      <c r="A77" s="519"/>
      <c r="B77" s="531" t="s">
        <v>4</v>
      </c>
      <c r="C77" s="679">
        <v>2</v>
      </c>
      <c r="D77" s="526">
        <v>13</v>
      </c>
      <c r="E77" s="526">
        <v>5</v>
      </c>
      <c r="F77" s="526">
        <v>2</v>
      </c>
      <c r="G77" s="526" t="s">
        <v>43</v>
      </c>
      <c r="H77" s="526">
        <v>4</v>
      </c>
      <c r="I77" s="521">
        <f t="shared" si="19"/>
        <v>26</v>
      </c>
      <c r="J77" s="741">
        <f>'Table 1 Summary'!N214</f>
        <v>0</v>
      </c>
      <c r="K77" s="680" t="e">
        <f t="shared" si="20"/>
        <v>#DIV/0!</v>
      </c>
      <c r="L77" s="523" t="e">
        <f t="shared" si="21"/>
        <v>#DIV/0!</v>
      </c>
    </row>
    <row r="78" spans="1:13" ht="18" customHeight="1">
      <c r="A78" s="519"/>
      <c r="B78" s="531" t="s">
        <v>30</v>
      </c>
      <c r="C78" s="679">
        <v>4</v>
      </c>
      <c r="D78" s="526">
        <v>22</v>
      </c>
      <c r="E78" s="526">
        <v>1</v>
      </c>
      <c r="F78" s="526">
        <v>1</v>
      </c>
      <c r="G78" s="526">
        <v>1</v>
      </c>
      <c r="H78" s="526">
        <v>10</v>
      </c>
      <c r="I78" s="521">
        <f>SUM(C78:H78)</f>
        <v>39</v>
      </c>
      <c r="J78" s="741">
        <f>'Table 1 Summary'!N215</f>
        <v>0</v>
      </c>
      <c r="K78" s="680" t="e">
        <f t="shared" si="20"/>
        <v>#DIV/0!</v>
      </c>
      <c r="L78" s="523" t="e">
        <f t="shared" si="21"/>
        <v>#DIV/0!</v>
      </c>
    </row>
    <row r="79" spans="1:13" ht="18" customHeight="1">
      <c r="A79" s="733"/>
      <c r="B79" s="738" t="s">
        <v>36</v>
      </c>
      <c r="C79" s="734">
        <v>0</v>
      </c>
      <c r="D79" s="735">
        <v>5</v>
      </c>
      <c r="E79" s="735" t="s">
        <v>345</v>
      </c>
      <c r="F79" s="735">
        <v>1</v>
      </c>
      <c r="G79" s="735" t="s">
        <v>43</v>
      </c>
      <c r="H79" s="735" t="s">
        <v>43</v>
      </c>
      <c r="I79" s="739">
        <f>SUM(C79:H79)</f>
        <v>6</v>
      </c>
      <c r="J79" s="742">
        <f>'Table 1 Summary'!N216</f>
        <v>0</v>
      </c>
      <c r="K79" s="736" t="e">
        <f t="shared" si="20"/>
        <v>#DIV/0!</v>
      </c>
      <c r="L79" s="737" t="e">
        <f t="shared" si="21"/>
        <v>#DIV/0!</v>
      </c>
    </row>
    <row r="80" spans="1:13" s="316" customFormat="1">
      <c r="A80" s="388" t="s">
        <v>224</v>
      </c>
      <c r="B80" s="389" t="s">
        <v>262</v>
      </c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</row>
    <row r="81" spans="1:13" s="394" customFormat="1" ht="10.5">
      <c r="A81" s="391"/>
      <c r="B81" s="392"/>
      <c r="C81" s="393" t="s">
        <v>234</v>
      </c>
      <c r="D81" s="393" t="s">
        <v>233</v>
      </c>
      <c r="E81" s="393" t="s">
        <v>232</v>
      </c>
      <c r="F81" s="393" t="s">
        <v>235</v>
      </c>
      <c r="G81" s="393" t="s">
        <v>236</v>
      </c>
      <c r="H81" s="393" t="s">
        <v>237</v>
      </c>
      <c r="I81" s="393"/>
      <c r="J81" s="393"/>
      <c r="K81" s="393"/>
      <c r="L81" s="393"/>
      <c r="M81" s="393"/>
    </row>
    <row r="82" spans="1:13" s="385" customFormat="1" ht="12.75">
      <c r="A82" s="395" t="s">
        <v>241</v>
      </c>
      <c r="C82" s="401">
        <f>C79/$I79*100</f>
        <v>0</v>
      </c>
      <c r="D82" s="401">
        <f t="shared" ref="D82:I82" si="22">D79/$I79*100</f>
        <v>83.333333333333343</v>
      </c>
      <c r="E82" s="401" t="e">
        <f>E79/$I79*100</f>
        <v>#VALUE!</v>
      </c>
      <c r="F82" s="401">
        <f t="shared" si="22"/>
        <v>16.666666666666664</v>
      </c>
      <c r="G82" s="401" t="e">
        <f>G79/$I79*100</f>
        <v>#VALUE!</v>
      </c>
      <c r="H82" s="401" t="e">
        <f>H79/$I79*100</f>
        <v>#VALUE!</v>
      </c>
      <c r="I82" s="401">
        <f t="shared" si="22"/>
        <v>100</v>
      </c>
      <c r="K82" s="396"/>
      <c r="L82" s="397"/>
    </row>
    <row r="83" spans="1:13">
      <c r="C83" s="398">
        <f>C79/$I79</f>
        <v>0</v>
      </c>
      <c r="D83" s="398">
        <f t="shared" ref="D83:I83" si="23">D79/$I79</f>
        <v>0.83333333333333337</v>
      </c>
      <c r="E83" s="398" t="e">
        <f t="shared" si="23"/>
        <v>#VALUE!</v>
      </c>
      <c r="F83" s="398">
        <f t="shared" si="23"/>
        <v>0.16666666666666666</v>
      </c>
      <c r="G83" s="398" t="e">
        <f t="shared" si="23"/>
        <v>#VALUE!</v>
      </c>
      <c r="H83" s="398" t="e">
        <f>H79/$I79</f>
        <v>#VALUE!</v>
      </c>
      <c r="I83" s="398">
        <f t="shared" si="23"/>
        <v>1</v>
      </c>
      <c r="J83" s="399"/>
      <c r="K83" s="397"/>
      <c r="L83" s="385"/>
      <c r="M83" s="399"/>
    </row>
    <row r="85" spans="1:13">
      <c r="L85" s="400" t="s">
        <v>240</v>
      </c>
      <c r="M85" s="400" t="s">
        <v>267</v>
      </c>
    </row>
    <row r="86" spans="1:13">
      <c r="L86" s="393" t="s">
        <v>233</v>
      </c>
      <c r="M86" s="401">
        <f>D82</f>
        <v>83.333333333333343</v>
      </c>
    </row>
    <row r="87" spans="1:13">
      <c r="L87" s="393" t="s">
        <v>237</v>
      </c>
      <c r="M87" s="401" t="e">
        <f>H82</f>
        <v>#VALUE!</v>
      </c>
    </row>
    <row r="88" spans="1:13">
      <c r="L88" s="393" t="s">
        <v>236</v>
      </c>
      <c r="M88" s="401" t="e">
        <f>G82</f>
        <v>#VALUE!</v>
      </c>
    </row>
    <row r="89" spans="1:13">
      <c r="L89" s="393" t="s">
        <v>235</v>
      </c>
      <c r="M89" s="401">
        <f>F82</f>
        <v>16.666666666666664</v>
      </c>
    </row>
    <row r="90" spans="1:13">
      <c r="L90" s="393" t="s">
        <v>234</v>
      </c>
      <c r="M90" s="401">
        <f>C82</f>
        <v>0</v>
      </c>
    </row>
    <row r="91" spans="1:13">
      <c r="L91" s="393" t="s">
        <v>232</v>
      </c>
      <c r="M91" s="401" t="e">
        <f>E82</f>
        <v>#VALUE!</v>
      </c>
    </row>
    <row r="92" spans="1:13">
      <c r="L92" s="395"/>
    </row>
    <row r="98" spans="8:12">
      <c r="L98" s="409" t="s">
        <v>270</v>
      </c>
    </row>
    <row r="101" spans="8:12">
      <c r="H101" s="402"/>
      <c r="I101" s="403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5546875" defaultRowHeight="15"/>
  <cols>
    <col min="1" max="1" width="19.7109375" style="506" bestFit="1" customWidth="1"/>
    <col min="2" max="2" width="10.28515625" style="506" bestFit="1" customWidth="1"/>
    <col min="3" max="3" width="8.7109375" style="506" bestFit="1" customWidth="1"/>
    <col min="4" max="4" width="7.5703125" style="506" bestFit="1" customWidth="1"/>
    <col min="5" max="8" width="7.42578125" style="506" bestFit="1" customWidth="1"/>
    <col min="9" max="16384" width="8.85546875" style="506"/>
  </cols>
  <sheetData>
    <row r="3" spans="1:8">
      <c r="A3" s="549" t="s">
        <v>334</v>
      </c>
      <c r="B3" s="549" t="s">
        <v>320</v>
      </c>
      <c r="C3" s="549" t="s">
        <v>321</v>
      </c>
      <c r="D3" s="549" t="s">
        <v>322</v>
      </c>
      <c r="E3" s="549" t="s">
        <v>323</v>
      </c>
      <c r="F3" s="549" t="s">
        <v>324</v>
      </c>
      <c r="G3" s="549" t="s">
        <v>327</v>
      </c>
      <c r="H3" s="549" t="s">
        <v>14</v>
      </c>
    </row>
    <row r="4" spans="1:8">
      <c r="A4" s="506" t="s">
        <v>20</v>
      </c>
      <c r="B4" s="508">
        <v>0</v>
      </c>
      <c r="C4" s="508">
        <v>0</v>
      </c>
      <c r="D4" s="508">
        <v>0</v>
      </c>
      <c r="E4" s="508">
        <v>0</v>
      </c>
      <c r="F4" s="508"/>
      <c r="G4" s="508"/>
      <c r="H4" s="508">
        <v>0</v>
      </c>
    </row>
    <row r="5" spans="1:8">
      <c r="A5" s="506" t="s">
        <v>238</v>
      </c>
      <c r="B5" s="508">
        <v>0</v>
      </c>
      <c r="C5" s="508">
        <v>0</v>
      </c>
      <c r="D5" s="508">
        <v>0</v>
      </c>
      <c r="E5" s="508">
        <v>0</v>
      </c>
      <c r="F5" s="508">
        <v>0</v>
      </c>
      <c r="G5" s="508">
        <v>0</v>
      </c>
      <c r="H5" s="508">
        <f t="shared" ref="H5:H11" si="0">SUM(B5:G5)</f>
        <v>0</v>
      </c>
    </row>
    <row r="6" spans="1:8">
      <c r="A6" s="506" t="s">
        <v>21</v>
      </c>
      <c r="B6" s="508">
        <v>0</v>
      </c>
      <c r="C6" s="508">
        <v>0</v>
      </c>
      <c r="D6" s="508">
        <v>0</v>
      </c>
      <c r="E6" s="508">
        <v>0</v>
      </c>
      <c r="F6" s="508">
        <v>0</v>
      </c>
      <c r="G6" s="508">
        <v>0</v>
      </c>
      <c r="H6" s="508">
        <v>0</v>
      </c>
    </row>
    <row r="7" spans="1:8">
      <c r="A7" s="506" t="s">
        <v>22</v>
      </c>
      <c r="B7" s="508">
        <v>0</v>
      </c>
      <c r="C7" s="508">
        <v>0</v>
      </c>
      <c r="D7" s="508">
        <v>0</v>
      </c>
      <c r="E7" s="508">
        <v>0</v>
      </c>
      <c r="F7" s="508">
        <v>0</v>
      </c>
      <c r="G7" s="508">
        <v>0</v>
      </c>
      <c r="H7" s="508">
        <f t="shared" si="0"/>
        <v>0</v>
      </c>
    </row>
    <row r="8" spans="1:8">
      <c r="A8" s="506" t="s">
        <v>143</v>
      </c>
      <c r="B8" s="508">
        <v>0</v>
      </c>
      <c r="C8" s="508">
        <v>0</v>
      </c>
      <c r="D8" s="508">
        <v>0</v>
      </c>
      <c r="E8" s="508">
        <v>0</v>
      </c>
      <c r="F8" s="508">
        <v>0</v>
      </c>
      <c r="G8" s="508">
        <v>0</v>
      </c>
      <c r="H8" s="508">
        <f t="shared" si="0"/>
        <v>0</v>
      </c>
    </row>
    <row r="9" spans="1:8">
      <c r="A9" s="506" t="s">
        <v>142</v>
      </c>
      <c r="B9" s="508">
        <v>0</v>
      </c>
      <c r="C9" s="508">
        <v>0</v>
      </c>
      <c r="D9" s="508">
        <v>0</v>
      </c>
      <c r="E9" s="508">
        <v>0</v>
      </c>
      <c r="F9" s="508">
        <v>0</v>
      </c>
      <c r="G9" s="508">
        <v>0</v>
      </c>
      <c r="H9" s="508">
        <f>SUM(B9:G9)</f>
        <v>0</v>
      </c>
    </row>
    <row r="10" spans="1:8">
      <c r="A10" s="506" t="s">
        <v>145</v>
      </c>
      <c r="B10" s="508">
        <v>0</v>
      </c>
      <c r="C10" s="508">
        <v>0</v>
      </c>
      <c r="D10" s="508">
        <v>0</v>
      </c>
      <c r="E10" s="508">
        <v>0</v>
      </c>
      <c r="F10" s="508">
        <v>0</v>
      </c>
      <c r="G10" s="508">
        <v>0</v>
      </c>
      <c r="H10" s="508">
        <f t="shared" si="0"/>
        <v>0</v>
      </c>
    </row>
    <row r="11" spans="1:8">
      <c r="A11" s="506" t="s">
        <v>268</v>
      </c>
      <c r="B11" s="508">
        <v>0</v>
      </c>
      <c r="C11" s="508">
        <v>0</v>
      </c>
      <c r="D11" s="508">
        <v>0</v>
      </c>
      <c r="E11" s="508">
        <v>0</v>
      </c>
      <c r="F11" s="508">
        <v>0</v>
      </c>
      <c r="G11" s="508">
        <v>0</v>
      </c>
      <c r="H11" s="508">
        <f t="shared" si="0"/>
        <v>0</v>
      </c>
    </row>
    <row r="12" spans="1:8">
      <c r="A12" s="506" t="s">
        <v>285</v>
      </c>
      <c r="B12" s="508">
        <v>1</v>
      </c>
      <c r="C12" s="508">
        <v>0</v>
      </c>
      <c r="D12" s="508">
        <v>5</v>
      </c>
      <c r="E12" s="508">
        <v>0</v>
      </c>
      <c r="F12" s="508"/>
      <c r="G12" s="508">
        <v>0</v>
      </c>
      <c r="H12" s="508">
        <f>SUM(B12:G12)</f>
        <v>6</v>
      </c>
    </row>
    <row r="13" spans="1:8">
      <c r="A13" s="507" t="s">
        <v>319</v>
      </c>
      <c r="B13" s="548">
        <f t="shared" ref="B13:H13" si="1">SUM(B4:B12)</f>
        <v>1</v>
      </c>
      <c r="C13" s="548">
        <f t="shared" si="1"/>
        <v>0</v>
      </c>
      <c r="D13" s="548">
        <f t="shared" si="1"/>
        <v>5</v>
      </c>
      <c r="E13" s="548">
        <f t="shared" si="1"/>
        <v>0</v>
      </c>
      <c r="F13" s="548">
        <f t="shared" si="1"/>
        <v>0</v>
      </c>
      <c r="G13" s="548">
        <f t="shared" si="1"/>
        <v>0</v>
      </c>
      <c r="H13" s="508">
        <f t="shared" si="1"/>
        <v>6</v>
      </c>
    </row>
    <row r="14" spans="1:8">
      <c r="A14" s="507"/>
      <c r="B14" s="548"/>
      <c r="C14" s="548"/>
      <c r="D14" s="548"/>
      <c r="E14" s="548"/>
      <c r="F14" s="548"/>
      <c r="G14" s="548"/>
      <c r="H14" s="548"/>
    </row>
    <row r="16" spans="1:8">
      <c r="A16" s="534"/>
      <c r="B16" s="1324" t="s">
        <v>240</v>
      </c>
      <c r="C16" s="1324"/>
      <c r="D16" s="1324"/>
      <c r="E16" s="1324"/>
      <c r="F16" s="1324"/>
      <c r="G16" s="1324"/>
      <c r="H16" s="534"/>
    </row>
    <row r="17" spans="1:8" ht="24">
      <c r="A17" s="535" t="s">
        <v>277</v>
      </c>
      <c r="B17" s="536" t="s">
        <v>235</v>
      </c>
      <c r="C17" s="536" t="s">
        <v>234</v>
      </c>
      <c r="D17" s="536" t="s">
        <v>233</v>
      </c>
      <c r="E17" s="536" t="s">
        <v>236</v>
      </c>
      <c r="F17" s="536" t="s">
        <v>237</v>
      </c>
      <c r="G17" s="536" t="s">
        <v>232</v>
      </c>
      <c r="H17" s="537" t="s">
        <v>19</v>
      </c>
    </row>
    <row r="18" spans="1:8" ht="3.6" customHeight="1">
      <c r="A18" s="538"/>
      <c r="B18" s="539"/>
      <c r="C18" s="539"/>
      <c r="D18" s="539"/>
      <c r="E18" s="539"/>
      <c r="F18" s="539"/>
      <c r="G18" s="539"/>
      <c r="H18" s="540"/>
    </row>
    <row r="19" spans="1:8">
      <c r="A19" s="541" t="s">
        <v>20</v>
      </c>
      <c r="B19" s="542" t="e">
        <f>B4/$H$4</f>
        <v>#DIV/0!</v>
      </c>
      <c r="C19" s="542" t="e">
        <f t="shared" ref="C19:H19" si="2">C4/$H$4</f>
        <v>#DIV/0!</v>
      </c>
      <c r="D19" s="542" t="e">
        <f>D4/$H$4</f>
        <v>#DIV/0!</v>
      </c>
      <c r="E19" s="542" t="e">
        <f t="shared" si="2"/>
        <v>#DIV/0!</v>
      </c>
      <c r="F19" s="542" t="e">
        <f t="shared" si="2"/>
        <v>#DIV/0!</v>
      </c>
      <c r="G19" s="670" t="e">
        <f t="shared" si="2"/>
        <v>#DIV/0!</v>
      </c>
      <c r="H19" s="542" t="e">
        <f t="shared" si="2"/>
        <v>#DIV/0!</v>
      </c>
    </row>
    <row r="20" spans="1:8">
      <c r="A20" s="541" t="s">
        <v>238</v>
      </c>
      <c r="B20" s="542" t="e">
        <f t="shared" ref="B20:H20" si="3">B5/$H$5</f>
        <v>#DIV/0!</v>
      </c>
      <c r="C20" s="542" t="e">
        <f t="shared" si="3"/>
        <v>#DIV/0!</v>
      </c>
      <c r="D20" s="542" t="e">
        <f t="shared" si="3"/>
        <v>#DIV/0!</v>
      </c>
      <c r="E20" s="542" t="e">
        <f t="shared" si="3"/>
        <v>#DIV/0!</v>
      </c>
      <c r="F20" s="542" t="e">
        <f t="shared" si="3"/>
        <v>#DIV/0!</v>
      </c>
      <c r="G20" s="542" t="e">
        <f t="shared" si="3"/>
        <v>#DIV/0!</v>
      </c>
      <c r="H20" s="543" t="e">
        <f t="shared" si="3"/>
        <v>#DIV/0!</v>
      </c>
    </row>
    <row r="21" spans="1:8">
      <c r="A21" s="541" t="s">
        <v>21</v>
      </c>
      <c r="B21" s="542" t="e">
        <f t="shared" ref="B21:H21" si="4">B6/$H$6</f>
        <v>#DIV/0!</v>
      </c>
      <c r="C21" s="542" t="e">
        <f t="shared" si="4"/>
        <v>#DIV/0!</v>
      </c>
      <c r="D21" s="542" t="e">
        <f t="shared" si="4"/>
        <v>#DIV/0!</v>
      </c>
      <c r="E21" s="542" t="e">
        <f t="shared" si="4"/>
        <v>#DIV/0!</v>
      </c>
      <c r="F21" s="542" t="e">
        <f t="shared" si="4"/>
        <v>#DIV/0!</v>
      </c>
      <c r="G21" s="542" t="e">
        <f t="shared" si="4"/>
        <v>#DIV/0!</v>
      </c>
      <c r="H21" s="543" t="e">
        <f t="shared" si="4"/>
        <v>#DIV/0!</v>
      </c>
    </row>
    <row r="22" spans="1:8">
      <c r="A22" s="541" t="s">
        <v>22</v>
      </c>
      <c r="B22" s="542" t="e">
        <f>B7/$H$7</f>
        <v>#DIV/0!</v>
      </c>
      <c r="C22" s="542" t="e">
        <f t="shared" ref="C22:H22" si="5">C7/$H$7</f>
        <v>#DIV/0!</v>
      </c>
      <c r="D22" s="542" t="e">
        <f t="shared" si="5"/>
        <v>#DIV/0!</v>
      </c>
      <c r="E22" s="542" t="e">
        <f t="shared" si="5"/>
        <v>#DIV/0!</v>
      </c>
      <c r="F22" s="542" t="e">
        <f t="shared" si="5"/>
        <v>#DIV/0!</v>
      </c>
      <c r="G22" s="542" t="e">
        <f t="shared" si="5"/>
        <v>#DIV/0!</v>
      </c>
      <c r="H22" s="543" t="e">
        <f t="shared" si="5"/>
        <v>#DIV/0!</v>
      </c>
    </row>
    <row r="23" spans="1:8">
      <c r="A23" s="541" t="s">
        <v>143</v>
      </c>
      <c r="B23" s="542" t="e">
        <f>B8/$H$8</f>
        <v>#DIV/0!</v>
      </c>
      <c r="C23" s="542" t="e">
        <f t="shared" ref="C23:H23" si="6">C8/$H$8</f>
        <v>#DIV/0!</v>
      </c>
      <c r="D23" s="542" t="e">
        <f t="shared" si="6"/>
        <v>#DIV/0!</v>
      </c>
      <c r="E23" s="542" t="e">
        <f t="shared" si="6"/>
        <v>#DIV/0!</v>
      </c>
      <c r="F23" s="542" t="e">
        <f t="shared" si="6"/>
        <v>#DIV/0!</v>
      </c>
      <c r="G23" s="542" t="e">
        <f t="shared" si="6"/>
        <v>#DIV/0!</v>
      </c>
      <c r="H23" s="543" t="e">
        <f t="shared" si="6"/>
        <v>#DIV/0!</v>
      </c>
    </row>
    <row r="24" spans="1:8">
      <c r="A24" s="541" t="s">
        <v>142</v>
      </c>
      <c r="B24" s="542" t="e">
        <f>B9/$H$9</f>
        <v>#DIV/0!</v>
      </c>
      <c r="C24" s="542" t="e">
        <f t="shared" ref="C24:H24" si="7">C9/$H$9</f>
        <v>#DIV/0!</v>
      </c>
      <c r="D24" s="542" t="e">
        <f t="shared" si="7"/>
        <v>#DIV/0!</v>
      </c>
      <c r="E24" s="542" t="e">
        <f>E9/$H$9</f>
        <v>#DIV/0!</v>
      </c>
      <c r="F24" s="542" t="e">
        <f t="shared" si="7"/>
        <v>#DIV/0!</v>
      </c>
      <c r="G24" s="542" t="e">
        <f>G9/$H$9</f>
        <v>#DIV/0!</v>
      </c>
      <c r="H24" s="543" t="e">
        <f t="shared" si="7"/>
        <v>#DIV/0!</v>
      </c>
    </row>
    <row r="25" spans="1:8">
      <c r="A25" s="541" t="s">
        <v>145</v>
      </c>
      <c r="B25" s="542" t="e">
        <f>B10/$H$10</f>
        <v>#DIV/0!</v>
      </c>
      <c r="C25" s="542" t="e">
        <f t="shared" ref="C25:H25" si="8">C10/$H$10</f>
        <v>#DIV/0!</v>
      </c>
      <c r="D25" s="542" t="e">
        <f t="shared" si="8"/>
        <v>#DIV/0!</v>
      </c>
      <c r="E25" s="542" t="e">
        <f t="shared" si="8"/>
        <v>#DIV/0!</v>
      </c>
      <c r="F25" s="542" t="e">
        <f t="shared" si="8"/>
        <v>#DIV/0!</v>
      </c>
      <c r="G25" s="542" t="e">
        <f t="shared" si="8"/>
        <v>#DIV/0!</v>
      </c>
      <c r="H25" s="543" t="e">
        <f t="shared" si="8"/>
        <v>#DIV/0!</v>
      </c>
    </row>
    <row r="26" spans="1:8">
      <c r="A26" s="541" t="s">
        <v>268</v>
      </c>
      <c r="B26" s="542" t="e">
        <f>B11/$H$11</f>
        <v>#DIV/0!</v>
      </c>
      <c r="C26" s="542" t="e">
        <f t="shared" ref="C26:H26" si="9">C11/$H$11</f>
        <v>#DIV/0!</v>
      </c>
      <c r="D26" s="542" t="e">
        <f t="shared" si="9"/>
        <v>#DIV/0!</v>
      </c>
      <c r="E26" s="542" t="e">
        <f t="shared" si="9"/>
        <v>#DIV/0!</v>
      </c>
      <c r="F26" s="542" t="e">
        <f t="shared" si="9"/>
        <v>#DIV/0!</v>
      </c>
      <c r="G26" s="542" t="e">
        <f t="shared" si="9"/>
        <v>#DIV/0!</v>
      </c>
      <c r="H26" s="543" t="e">
        <f t="shared" si="9"/>
        <v>#DIV/0!</v>
      </c>
    </row>
    <row r="27" spans="1:8">
      <c r="A27" s="541" t="s">
        <v>285</v>
      </c>
      <c r="B27" s="542">
        <f t="shared" ref="B27:H27" si="10">B12/$H$12</f>
        <v>0.16666666666666666</v>
      </c>
      <c r="C27" s="542">
        <f t="shared" si="10"/>
        <v>0</v>
      </c>
      <c r="D27" s="542">
        <f t="shared" si="10"/>
        <v>0.83333333333333337</v>
      </c>
      <c r="E27" s="542">
        <f t="shared" si="10"/>
        <v>0</v>
      </c>
      <c r="F27" s="542">
        <f t="shared" si="10"/>
        <v>0</v>
      </c>
      <c r="G27" s="542">
        <f t="shared" si="10"/>
        <v>0</v>
      </c>
      <c r="H27" s="543">
        <f t="shared" si="10"/>
        <v>1</v>
      </c>
    </row>
    <row r="28" spans="1:8" ht="4.1500000000000004" customHeight="1">
      <c r="A28" s="544"/>
      <c r="B28" s="545"/>
      <c r="C28" s="545"/>
      <c r="D28" s="545"/>
      <c r="E28" s="545"/>
      <c r="F28" s="545"/>
      <c r="G28" s="545"/>
      <c r="H28" s="546"/>
    </row>
  </sheetData>
  <mergeCells count="1">
    <mergeCell ref="B16:G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2.75"/>
  <cols>
    <col min="1" max="1" width="9.5703125" customWidth="1"/>
    <col min="2" max="2" width="7.28515625" customWidth="1"/>
    <col min="3" max="4" width="14.85546875" customWidth="1"/>
    <col min="5" max="5" width="1.7109375" customWidth="1"/>
    <col min="6" max="6" width="12.42578125" customWidth="1"/>
    <col min="7" max="7" width="1.7109375" customWidth="1"/>
    <col min="8" max="8" width="12.85546875" customWidth="1"/>
    <col min="9" max="9" width="1.7109375" customWidth="1"/>
    <col min="10" max="10" width="14.85546875" customWidth="1"/>
    <col min="11" max="11" width="1.7109375" customWidth="1"/>
    <col min="12" max="12" width="14.7109375" customWidth="1"/>
    <col min="13" max="13" width="0.28515625" hidden="1" customWidth="1"/>
    <col min="14" max="14" width="14.85546875" customWidth="1"/>
  </cols>
  <sheetData>
    <row r="2" spans="1:14" ht="18.75">
      <c r="A2" s="373" t="s">
        <v>342</v>
      </c>
      <c r="B2" s="296"/>
      <c r="C2" s="296"/>
      <c r="D2" s="296"/>
      <c r="E2" s="296"/>
      <c r="F2" s="309"/>
      <c r="G2" s="309"/>
      <c r="H2" s="296"/>
      <c r="I2" s="296"/>
      <c r="J2" s="296"/>
      <c r="K2" s="296"/>
      <c r="L2" s="296"/>
      <c r="M2" s="296"/>
      <c r="N2" s="296"/>
    </row>
    <row r="3" spans="1:14" ht="20.100000000000001" customHeight="1">
      <c r="A3" s="1325" t="s">
        <v>75</v>
      </c>
      <c r="B3" s="1330" t="s">
        <v>120</v>
      </c>
      <c r="C3" s="1325" t="s">
        <v>240</v>
      </c>
      <c r="D3" s="1326"/>
      <c r="E3" s="1326"/>
      <c r="F3" s="1326"/>
      <c r="G3" s="1326"/>
      <c r="H3" s="1326"/>
      <c r="I3" s="1326"/>
      <c r="J3" s="1326"/>
      <c r="K3" s="1326"/>
      <c r="L3" s="1327"/>
      <c r="M3" s="724"/>
      <c r="N3" s="1328" t="s">
        <v>19</v>
      </c>
    </row>
    <row r="4" spans="1:14" ht="20.100000000000001" customHeight="1">
      <c r="A4" s="1332"/>
      <c r="B4" s="1331"/>
      <c r="C4" s="438" t="s">
        <v>232</v>
      </c>
      <c r="D4" s="439" t="s">
        <v>233</v>
      </c>
      <c r="E4" s="439"/>
      <c r="F4" s="439" t="s">
        <v>234</v>
      </c>
      <c r="G4" s="439"/>
      <c r="H4" s="439" t="s">
        <v>235</v>
      </c>
      <c r="I4" s="439"/>
      <c r="J4" s="439" t="s">
        <v>236</v>
      </c>
      <c r="K4" s="439"/>
      <c r="L4" s="632" t="s">
        <v>237</v>
      </c>
      <c r="M4" s="339"/>
      <c r="N4" s="1329"/>
    </row>
    <row r="5" spans="1:14" hidden="1">
      <c r="A5" s="333">
        <v>2014</v>
      </c>
      <c r="B5" s="631" t="s">
        <v>68</v>
      </c>
      <c r="C5" s="334">
        <v>4.6428571428571432</v>
      </c>
      <c r="D5" s="326">
        <v>5.416666666666667</v>
      </c>
      <c r="E5" s="326"/>
      <c r="F5" s="326">
        <v>4.2608695652173916</v>
      </c>
      <c r="G5" s="326"/>
      <c r="H5" s="326">
        <v>5.833333333333333</v>
      </c>
      <c r="I5" s="326"/>
      <c r="J5" s="326">
        <v>1.4645669291338583</v>
      </c>
      <c r="K5" s="326"/>
      <c r="L5" s="633">
        <v>2.8355263157894739</v>
      </c>
      <c r="M5" s="326"/>
      <c r="N5" s="446">
        <f t="shared" ref="N5:N12" si="0">AVERAGE(C5:L5)</f>
        <v>4.0756366588329778</v>
      </c>
    </row>
    <row r="6" spans="1:14" ht="15" hidden="1">
      <c r="A6" s="331"/>
      <c r="B6" s="631" t="s">
        <v>30</v>
      </c>
      <c r="C6" s="334">
        <v>5.5641025641025639</v>
      </c>
      <c r="D6" s="326">
        <v>5.4140211640211637</v>
      </c>
      <c r="E6" s="326"/>
      <c r="F6" s="326">
        <v>4.0185185185185182</v>
      </c>
      <c r="G6" s="326"/>
      <c r="H6" s="326">
        <v>5.6330935251798557</v>
      </c>
      <c r="I6" s="326"/>
      <c r="J6" s="326">
        <v>2.0472103004291844</v>
      </c>
      <c r="K6" s="326"/>
      <c r="L6" s="633">
        <v>2.5</v>
      </c>
      <c r="M6" s="326"/>
      <c r="N6" s="446">
        <f t="shared" si="0"/>
        <v>4.1961576787085475</v>
      </c>
    </row>
    <row r="7" spans="1:14" ht="15" hidden="1">
      <c r="A7" s="331"/>
      <c r="B7" s="631" t="s">
        <v>36</v>
      </c>
      <c r="C7" s="334">
        <v>5.9375</v>
      </c>
      <c r="D7" s="326">
        <v>5.9460966542750926</v>
      </c>
      <c r="E7" s="326"/>
      <c r="F7" s="326">
        <v>9.8482142857142865</v>
      </c>
      <c r="G7" s="326"/>
      <c r="H7" s="326">
        <v>4.7880434782608692</v>
      </c>
      <c r="I7" s="326"/>
      <c r="J7" s="326">
        <v>1.5201342281879195</v>
      </c>
      <c r="K7" s="326"/>
      <c r="L7" s="633">
        <v>3.694683908045977</v>
      </c>
      <c r="M7" s="326"/>
      <c r="N7" s="446">
        <f t="shared" si="0"/>
        <v>5.2891120924140242</v>
      </c>
    </row>
    <row r="8" spans="1:14" ht="15" hidden="1">
      <c r="A8" s="331"/>
      <c r="B8" s="631" t="s">
        <v>37</v>
      </c>
      <c r="C8" s="334">
        <v>4.6500000000000004</v>
      </c>
      <c r="D8" s="326">
        <v>5.9359550561797754</v>
      </c>
      <c r="E8" s="326"/>
      <c r="F8" s="326">
        <v>7.4576271186440675</v>
      </c>
      <c r="G8" s="326"/>
      <c r="H8" s="326">
        <v>6.1018867924528299</v>
      </c>
      <c r="I8" s="326"/>
      <c r="J8" s="326">
        <v>2.2106741573033708</v>
      </c>
      <c r="K8" s="326"/>
      <c r="L8" s="633">
        <v>2.5237388724035608</v>
      </c>
      <c r="M8" s="326"/>
      <c r="N8" s="446">
        <f t="shared" si="0"/>
        <v>4.8133136661639346</v>
      </c>
    </row>
    <row r="9" spans="1:14" ht="15" hidden="1">
      <c r="A9" s="331"/>
      <c r="B9" s="631" t="s">
        <v>31</v>
      </c>
      <c r="C9" s="334">
        <v>3.7307692307692308</v>
      </c>
      <c r="D9" s="326">
        <v>7.0287253141831236</v>
      </c>
      <c r="E9" s="326"/>
      <c r="F9" s="326">
        <v>4.9512195121951219</v>
      </c>
      <c r="G9" s="326"/>
      <c r="H9" s="326">
        <v>4.7317073170731705</v>
      </c>
      <c r="I9" s="326"/>
      <c r="J9" s="326">
        <v>3.5815899581589958</v>
      </c>
      <c r="K9" s="326"/>
      <c r="L9" s="633">
        <v>3.1058064516129034</v>
      </c>
      <c r="M9" s="326"/>
      <c r="N9" s="446">
        <f t="shared" si="0"/>
        <v>4.5216362973320914</v>
      </c>
    </row>
    <row r="10" spans="1:14" hidden="1">
      <c r="A10" s="332"/>
      <c r="B10" s="631" t="s">
        <v>38</v>
      </c>
      <c r="C10" s="334">
        <v>4.58</v>
      </c>
      <c r="D10" s="326">
        <v>5.545698924731183</v>
      </c>
      <c r="E10" s="326"/>
      <c r="F10" s="326">
        <v>5.1263157894736846</v>
      </c>
      <c r="G10" s="326"/>
      <c r="H10" s="326">
        <v>5.020833333333333</v>
      </c>
      <c r="I10" s="326"/>
      <c r="J10" s="326">
        <v>3.7024390243902441</v>
      </c>
      <c r="K10" s="326"/>
      <c r="L10" s="633">
        <v>2.8415132924335378</v>
      </c>
      <c r="M10" s="326"/>
      <c r="N10" s="446">
        <f t="shared" si="0"/>
        <v>4.4694667273936632</v>
      </c>
    </row>
    <row r="11" spans="1:14" ht="15" hidden="1">
      <c r="A11" s="331"/>
      <c r="B11" s="631" t="s">
        <v>39</v>
      </c>
      <c r="C11" s="334">
        <v>7.7105263157894735</v>
      </c>
      <c r="D11" s="326">
        <v>6.187793427230047</v>
      </c>
      <c r="E11" s="326"/>
      <c r="F11" s="326">
        <v>5.115384615384615</v>
      </c>
      <c r="G11" s="326"/>
      <c r="H11" s="326">
        <v>5.579831932773109</v>
      </c>
      <c r="I11" s="326"/>
      <c r="J11" s="326">
        <v>2.3116883116883118</v>
      </c>
      <c r="K11" s="326"/>
      <c r="L11" s="633">
        <v>3.3180987202925047</v>
      </c>
      <c r="M11" s="326"/>
      <c r="N11" s="446">
        <f t="shared" si="0"/>
        <v>5.0372205538596768</v>
      </c>
    </row>
    <row r="12" spans="1:14" ht="15" hidden="1">
      <c r="A12" s="331"/>
      <c r="B12" s="631" t="s">
        <v>32</v>
      </c>
      <c r="C12" s="334">
        <v>5.4375</v>
      </c>
      <c r="D12" s="326">
        <v>6.8232189973614776</v>
      </c>
      <c r="E12" s="326"/>
      <c r="F12" s="326">
        <v>13.607142857142858</v>
      </c>
      <c r="G12" s="326"/>
      <c r="H12" s="326">
        <v>9.6666666666666661</v>
      </c>
      <c r="I12" s="326"/>
      <c r="J12" s="326">
        <v>1.6923076923076923</v>
      </c>
      <c r="K12" s="326"/>
      <c r="L12" s="633">
        <v>3.376391982182628</v>
      </c>
      <c r="M12" s="326"/>
      <c r="N12" s="446">
        <f t="shared" si="0"/>
        <v>6.7672046992768857</v>
      </c>
    </row>
    <row r="13" spans="1:14" hidden="1">
      <c r="A13" s="333">
        <v>2015</v>
      </c>
      <c r="B13" s="631" t="s">
        <v>33</v>
      </c>
      <c r="C13" s="334">
        <v>6.833333333333333</v>
      </c>
      <c r="D13" s="326">
        <v>5.9152892561983474</v>
      </c>
      <c r="E13" s="326"/>
      <c r="F13" s="326">
        <v>5.5</v>
      </c>
      <c r="G13" s="326"/>
      <c r="H13" s="326">
        <v>8.5975609756097562</v>
      </c>
      <c r="I13" s="326"/>
      <c r="J13" s="326">
        <v>2.5665236051502145</v>
      </c>
      <c r="K13" s="326"/>
      <c r="L13" s="633">
        <v>2.8669796557120502</v>
      </c>
      <c r="M13" s="326"/>
      <c r="N13" s="446">
        <f>AVERAGE(C13:L13)</f>
        <v>5.379947804333951</v>
      </c>
    </row>
    <row r="14" spans="1:14" hidden="1">
      <c r="A14" s="333"/>
      <c r="B14" s="631" t="s">
        <v>34</v>
      </c>
      <c r="C14" s="334">
        <v>7.25</v>
      </c>
      <c r="D14" s="326">
        <v>5.3086956521739133</v>
      </c>
      <c r="E14" s="326"/>
      <c r="F14" s="326">
        <v>7.4230769230769234</v>
      </c>
      <c r="G14" s="326"/>
      <c r="H14" s="326">
        <v>7.4807692307692308</v>
      </c>
      <c r="I14" s="326"/>
      <c r="J14" s="326">
        <v>3.35</v>
      </c>
      <c r="K14" s="326"/>
      <c r="L14" s="633">
        <v>2.8309352517985613</v>
      </c>
      <c r="M14" s="326"/>
      <c r="N14" s="446">
        <v>5.6072461763031001</v>
      </c>
    </row>
    <row r="15" spans="1:14" hidden="1">
      <c r="A15" s="333"/>
      <c r="B15" s="631" t="s">
        <v>29</v>
      </c>
      <c r="C15" s="335">
        <v>22.4</v>
      </c>
      <c r="D15" s="327">
        <v>5.6842105263157894</v>
      </c>
      <c r="E15" s="327"/>
      <c r="F15" s="327">
        <v>11.875</v>
      </c>
      <c r="G15" s="327"/>
      <c r="H15" s="326">
        <v>5.784313725490196</v>
      </c>
      <c r="I15" s="326"/>
      <c r="J15" s="326">
        <v>8.1538461538461533</v>
      </c>
      <c r="K15" s="326"/>
      <c r="L15" s="633">
        <v>3.2231075697211153</v>
      </c>
      <c r="M15" s="326"/>
      <c r="N15" s="446">
        <v>9.5200796625622086</v>
      </c>
    </row>
    <row r="16" spans="1:14" hidden="1">
      <c r="A16" s="62"/>
      <c r="B16" s="631" t="s">
        <v>35</v>
      </c>
      <c r="C16" s="336">
        <v>9</v>
      </c>
      <c r="D16" s="328">
        <v>5.9413265306122449</v>
      </c>
      <c r="E16" s="328"/>
      <c r="F16" s="328">
        <v>2.12</v>
      </c>
      <c r="G16" s="328"/>
      <c r="H16" s="328">
        <v>6.5</v>
      </c>
      <c r="I16" s="328"/>
      <c r="J16" s="328">
        <v>2.9007936507936507</v>
      </c>
      <c r="K16" s="328"/>
      <c r="L16" s="634">
        <v>5.2409326424870466</v>
      </c>
      <c r="M16" s="328"/>
      <c r="N16" s="447">
        <v>5.2838421373154905</v>
      </c>
    </row>
    <row r="17" spans="1:14" hidden="1">
      <c r="A17" s="62"/>
      <c r="B17" s="631" t="s">
        <v>4</v>
      </c>
      <c r="C17" s="336">
        <v>3.652173913043478</v>
      </c>
      <c r="D17" s="328">
        <v>6.0095238095238095</v>
      </c>
      <c r="E17" s="328"/>
      <c r="F17" s="328">
        <v>6.12</v>
      </c>
      <c r="G17" s="328"/>
      <c r="H17" s="328">
        <v>9.5180722891566258</v>
      </c>
      <c r="I17" s="328"/>
      <c r="J17" s="328">
        <v>9.945525291828794</v>
      </c>
      <c r="K17" s="328"/>
      <c r="L17" s="634">
        <v>4.1538461538461542</v>
      </c>
      <c r="M17" s="328"/>
      <c r="N17" s="447">
        <v>6.5665235762331422</v>
      </c>
    </row>
    <row r="18" spans="1:14" hidden="1">
      <c r="A18" s="62"/>
      <c r="B18" s="631" t="s">
        <v>30</v>
      </c>
      <c r="C18" s="336">
        <v>6.290322580645161</v>
      </c>
      <c r="D18" s="328">
        <v>5.576631259484067</v>
      </c>
      <c r="E18" s="328"/>
      <c r="F18" s="328">
        <v>4.9148936170212769</v>
      </c>
      <c r="G18" s="328"/>
      <c r="H18" s="328">
        <v>5.2111801242236027</v>
      </c>
      <c r="I18" s="328"/>
      <c r="J18" s="328">
        <v>2.5811209439528024</v>
      </c>
      <c r="K18" s="328"/>
      <c r="L18" s="634">
        <v>3.9841269841269842</v>
      </c>
      <c r="M18" s="328"/>
      <c r="N18" s="448">
        <v>4.759712584908983</v>
      </c>
    </row>
    <row r="19" spans="1:14" hidden="1">
      <c r="A19" s="62"/>
      <c r="B19" s="631" t="s">
        <v>36</v>
      </c>
      <c r="C19" s="336">
        <v>4.6842105263157894</v>
      </c>
      <c r="D19" s="328">
        <v>6.2836970474967906</v>
      </c>
      <c r="E19" s="328"/>
      <c r="F19" s="328">
        <v>13.507692307692308</v>
      </c>
      <c r="G19" s="328"/>
      <c r="H19" s="328">
        <v>6.0647058823529409</v>
      </c>
      <c r="I19" s="328"/>
      <c r="J19" s="328">
        <v>3.9605263157894739</v>
      </c>
      <c r="K19" s="328"/>
      <c r="L19" s="634">
        <v>3.4182344428364688</v>
      </c>
      <c r="M19" s="328"/>
      <c r="N19" s="448">
        <v>6.3198444204139621</v>
      </c>
    </row>
    <row r="20" spans="1:14" ht="12" hidden="1" customHeight="1">
      <c r="A20" s="62"/>
      <c r="B20" s="631" t="s">
        <v>37</v>
      </c>
      <c r="C20" s="337">
        <v>10.98076923076923</v>
      </c>
      <c r="D20" s="329">
        <v>8.7490144546649145</v>
      </c>
      <c r="E20" s="329"/>
      <c r="F20" s="329">
        <v>18.138888888888889</v>
      </c>
      <c r="G20" s="329"/>
      <c r="H20" s="329">
        <v>9.87843137254902</v>
      </c>
      <c r="I20" s="329"/>
      <c r="J20" s="329">
        <v>3.1857585139318885</v>
      </c>
      <c r="K20" s="329"/>
      <c r="L20" s="629">
        <v>4.5897435897435894</v>
      </c>
      <c r="M20" s="329"/>
      <c r="N20" s="449">
        <v>9.2537676750912556</v>
      </c>
    </row>
    <row r="21" spans="1:14" hidden="1">
      <c r="A21" s="62"/>
      <c r="B21" s="631" t="s">
        <v>31</v>
      </c>
      <c r="C21" s="337">
        <v>6.8965517241379306</v>
      </c>
      <c r="D21" s="329">
        <v>6.3340206185567007</v>
      </c>
      <c r="E21" s="329"/>
      <c r="F21" s="329">
        <v>19.263157894736842</v>
      </c>
      <c r="G21" s="329"/>
      <c r="H21" s="329">
        <v>9.2959999999999994</v>
      </c>
      <c r="I21" s="329"/>
      <c r="J21" s="329">
        <v>4.3358490566037737</v>
      </c>
      <c r="K21" s="329"/>
      <c r="L21" s="629">
        <v>3.2732919254658386</v>
      </c>
      <c r="M21" s="329"/>
      <c r="N21" s="450">
        <v>8.2331452032501815</v>
      </c>
    </row>
    <row r="22" spans="1:14" hidden="1">
      <c r="A22" s="11"/>
      <c r="B22" s="76" t="s">
        <v>38</v>
      </c>
      <c r="C22" s="338">
        <v>7.2962962962962967</v>
      </c>
      <c r="D22" s="330">
        <v>5.853424657534247</v>
      </c>
      <c r="E22" s="330"/>
      <c r="F22" s="330">
        <v>4.9821428571428568</v>
      </c>
      <c r="G22" s="330"/>
      <c r="H22" s="330">
        <v>6.3299492385786804</v>
      </c>
      <c r="I22" s="330"/>
      <c r="J22" s="330">
        <v>4.5463917525773194</v>
      </c>
      <c r="K22" s="330"/>
      <c r="L22" s="635">
        <v>2.8961937716262978</v>
      </c>
      <c r="M22" s="330"/>
      <c r="N22" s="450">
        <f>AVERAGE(C22:L22)</f>
        <v>5.3173997622926157</v>
      </c>
    </row>
    <row r="23" spans="1:14" hidden="1">
      <c r="A23" s="11"/>
      <c r="B23" s="594" t="s">
        <v>39</v>
      </c>
      <c r="C23" s="337">
        <v>11.466666666666667</v>
      </c>
      <c r="D23" s="329">
        <v>6.3270440251572326</v>
      </c>
      <c r="E23" s="329"/>
      <c r="F23" s="329">
        <v>12.380952380952381</v>
      </c>
      <c r="G23" s="329"/>
      <c r="H23" s="329">
        <v>7.5735294117647056</v>
      </c>
      <c r="I23" s="329"/>
      <c r="J23" s="329">
        <v>4.1487603305785123</v>
      </c>
      <c r="K23" s="329"/>
      <c r="L23" s="629">
        <v>3.976923076923077</v>
      </c>
      <c r="M23" s="329"/>
      <c r="N23" s="450">
        <f>AVERAGE(C23:L23)</f>
        <v>7.6456459820070961</v>
      </c>
    </row>
    <row r="24" spans="1:14" hidden="1">
      <c r="A24" s="68"/>
      <c r="B24" s="76" t="s">
        <v>32</v>
      </c>
      <c r="C24" s="337">
        <v>6.5333333333333332</v>
      </c>
      <c r="D24" s="329">
        <v>9.7356020942408374</v>
      </c>
      <c r="E24" s="329"/>
      <c r="F24" s="329">
        <v>5.2631578947368425</v>
      </c>
      <c r="G24" s="329"/>
      <c r="H24" s="329">
        <v>6.5901639344262293</v>
      </c>
      <c r="I24" s="329"/>
      <c r="J24" s="329">
        <v>3.9271523178807946</v>
      </c>
      <c r="K24" s="329"/>
      <c r="L24" s="629">
        <v>4.9247910863509752</v>
      </c>
      <c r="M24" s="329"/>
      <c r="N24" s="450">
        <f>AVERAGE(C24:L24)</f>
        <v>6.1623667768281694</v>
      </c>
    </row>
    <row r="25" spans="1:14" hidden="1">
      <c r="A25" s="404">
        <v>2016</v>
      </c>
      <c r="B25" s="407" t="s">
        <v>260</v>
      </c>
      <c r="C25" s="337">
        <v>9.3333333333333339</v>
      </c>
      <c r="D25" s="329">
        <v>7.1545454545454543</v>
      </c>
      <c r="E25" s="329"/>
      <c r="F25" s="329">
        <v>21.238095238095237</v>
      </c>
      <c r="G25" s="329"/>
      <c r="H25" s="329">
        <v>5.2444444444444445</v>
      </c>
      <c r="I25" s="329"/>
      <c r="J25" s="329">
        <v>3.8461538461538463</v>
      </c>
      <c r="K25" s="329"/>
      <c r="L25" s="629">
        <v>3.6746411483253589</v>
      </c>
      <c r="M25" s="329"/>
      <c r="N25" s="449">
        <v>8.4152022441496133</v>
      </c>
    </row>
    <row r="26" spans="1:14" hidden="1">
      <c r="A26" s="405"/>
      <c r="B26" s="407" t="s">
        <v>34</v>
      </c>
      <c r="C26" s="337">
        <v>7.7647058823529411</v>
      </c>
      <c r="D26" s="329">
        <v>8.1937321937321936</v>
      </c>
      <c r="E26" s="329"/>
      <c r="F26" s="329">
        <v>15.2</v>
      </c>
      <c r="G26" s="329"/>
      <c r="H26" s="329">
        <v>8.7878787878787872</v>
      </c>
      <c r="I26" s="329"/>
      <c r="J26" s="329">
        <v>4.2012987012987013</v>
      </c>
      <c r="K26" s="329"/>
      <c r="L26" s="629">
        <v>3.4272445820433437</v>
      </c>
      <c r="M26" s="329"/>
      <c r="N26" s="449">
        <v>7.9291433578843282</v>
      </c>
    </row>
    <row r="27" spans="1:14" ht="12" hidden="1" customHeight="1">
      <c r="A27" s="405"/>
      <c r="B27" s="407" t="s">
        <v>29</v>
      </c>
      <c r="C27" s="337">
        <v>10.333333333333334</v>
      </c>
      <c r="D27" s="329">
        <v>4.9609375</v>
      </c>
      <c r="E27" s="329"/>
      <c r="F27" s="329">
        <v>4.416666666666667</v>
      </c>
      <c r="G27" s="329"/>
      <c r="H27" s="329">
        <v>2.875</v>
      </c>
      <c r="I27" s="329"/>
      <c r="J27" s="329">
        <v>4.5542168674698793</v>
      </c>
      <c r="K27" s="329"/>
      <c r="L27" s="629">
        <v>3.8118811881188117</v>
      </c>
      <c r="M27" s="329"/>
      <c r="N27" s="449">
        <v>5.1586725925981156</v>
      </c>
    </row>
    <row r="28" spans="1:14" ht="14.25" hidden="1" customHeight="1">
      <c r="A28" s="405"/>
      <c r="B28" s="407" t="s">
        <v>35</v>
      </c>
      <c r="C28" s="337">
        <v>4.0869565217391308</v>
      </c>
      <c r="D28" s="329">
        <v>7.150918635170604</v>
      </c>
      <c r="E28" s="329"/>
      <c r="F28" s="329">
        <v>3.1959459459459461</v>
      </c>
      <c r="G28" s="329"/>
      <c r="H28" s="329">
        <v>6.2047619047619049</v>
      </c>
      <c r="I28" s="329"/>
      <c r="J28" s="329">
        <v>3.7236842105263159</v>
      </c>
      <c r="K28" s="329"/>
      <c r="L28" s="629">
        <v>4.1887755102040813</v>
      </c>
      <c r="M28" s="329"/>
      <c r="N28" s="449">
        <v>4.7585071213913297</v>
      </c>
    </row>
    <row r="29" spans="1:14" ht="14.25" hidden="1" customHeight="1">
      <c r="A29" s="405"/>
      <c r="B29" s="407" t="s">
        <v>4</v>
      </c>
      <c r="C29" s="337">
        <v>4.9259259259259256</v>
      </c>
      <c r="D29" s="329">
        <v>5.847433116413594</v>
      </c>
      <c r="E29" s="329"/>
      <c r="F29" s="329">
        <v>5.5</v>
      </c>
      <c r="G29" s="329"/>
      <c r="H29" s="329">
        <v>6.42914979757085</v>
      </c>
      <c r="I29" s="329"/>
      <c r="J29" s="329">
        <v>2.7588325652841781</v>
      </c>
      <c r="K29" s="329"/>
      <c r="L29" s="629">
        <v>3.9332797427652735</v>
      </c>
      <c r="M29" s="329"/>
      <c r="N29" s="449">
        <v>4.8991035246599699</v>
      </c>
    </row>
    <row r="30" spans="1:14" ht="14.25" hidden="1" customHeight="1">
      <c r="A30" s="405"/>
      <c r="B30" s="407" t="s">
        <v>30</v>
      </c>
      <c r="C30" s="337">
        <v>4.0869565217391308</v>
      </c>
      <c r="D30" s="329">
        <v>7.150918635170604</v>
      </c>
      <c r="E30" s="329"/>
      <c r="F30" s="329">
        <v>3.1959459459459461</v>
      </c>
      <c r="G30" s="329"/>
      <c r="H30" s="329">
        <v>6.2047619047619049</v>
      </c>
      <c r="I30" s="329"/>
      <c r="J30" s="329">
        <v>3.7236842105263159</v>
      </c>
      <c r="K30" s="329"/>
      <c r="L30" s="629">
        <v>4.1887755102040813</v>
      </c>
      <c r="M30" s="329"/>
      <c r="N30" s="449">
        <v>4.7585071213913297</v>
      </c>
    </row>
    <row r="31" spans="1:14" ht="14.25" hidden="1" customHeight="1">
      <c r="A31" s="405"/>
      <c r="B31" s="407" t="s">
        <v>36</v>
      </c>
      <c r="C31" s="337">
        <v>4.9259259259259256</v>
      </c>
      <c r="D31" s="329">
        <v>5.847433116413594</v>
      </c>
      <c r="E31" s="329"/>
      <c r="F31" s="329">
        <v>5.5</v>
      </c>
      <c r="G31" s="329"/>
      <c r="H31" s="329">
        <v>6.42914979757085</v>
      </c>
      <c r="I31" s="329"/>
      <c r="J31" s="329">
        <v>2.7588325652841781</v>
      </c>
      <c r="K31" s="329"/>
      <c r="L31" s="629">
        <v>3.9332797427652735</v>
      </c>
      <c r="M31" s="329"/>
      <c r="N31" s="449">
        <v>4.8991035246599699</v>
      </c>
    </row>
    <row r="32" spans="1:14" ht="14.25" hidden="1" customHeight="1">
      <c r="A32" s="405"/>
      <c r="B32" s="407" t="s">
        <v>37</v>
      </c>
      <c r="C32" s="337">
        <v>4.2</v>
      </c>
      <c r="D32" s="329">
        <v>7.5</v>
      </c>
      <c r="E32" s="329"/>
      <c r="F32" s="329">
        <v>6.4</v>
      </c>
      <c r="G32" s="329"/>
      <c r="H32" s="329">
        <v>10.1</v>
      </c>
      <c r="I32" s="329"/>
      <c r="J32" s="329">
        <v>4.3</v>
      </c>
      <c r="K32" s="329"/>
      <c r="L32" s="629">
        <v>4.2</v>
      </c>
      <c r="M32" s="329"/>
      <c r="N32" s="449">
        <v>4.2</v>
      </c>
    </row>
    <row r="33" spans="1:14" ht="14.25" hidden="1" customHeight="1">
      <c r="A33" s="405"/>
      <c r="B33" s="407" t="s">
        <v>31</v>
      </c>
      <c r="C33" s="337">
        <v>4.2</v>
      </c>
      <c r="D33" s="329">
        <v>7.4</v>
      </c>
      <c r="E33" s="329"/>
      <c r="F33" s="329">
        <v>5</v>
      </c>
      <c r="G33" s="329"/>
      <c r="H33" s="329">
        <v>5.9</v>
      </c>
      <c r="I33" s="329"/>
      <c r="J33" s="329">
        <v>4</v>
      </c>
      <c r="K33" s="329"/>
      <c r="L33" s="629">
        <v>4</v>
      </c>
      <c r="M33" s="329"/>
      <c r="N33" s="449">
        <v>5.0999999999999996</v>
      </c>
    </row>
    <row r="34" spans="1:14" ht="14.25" hidden="1" customHeight="1">
      <c r="A34" s="405"/>
      <c r="B34" s="407" t="s">
        <v>38</v>
      </c>
      <c r="C34" s="337">
        <v>4.2</v>
      </c>
      <c r="D34" s="329">
        <v>16.100000000000001</v>
      </c>
      <c r="E34" s="329"/>
      <c r="F34" s="329">
        <v>9.3699999999999992</v>
      </c>
      <c r="G34" s="329"/>
      <c r="H34" s="329">
        <v>5.96</v>
      </c>
      <c r="I34" s="329"/>
      <c r="J34" s="329">
        <v>5.38</v>
      </c>
      <c r="K34" s="329"/>
      <c r="L34" s="629">
        <v>3.42</v>
      </c>
      <c r="M34" s="329"/>
      <c r="N34" s="449">
        <v>7.46</v>
      </c>
    </row>
    <row r="35" spans="1:14" ht="14.25" hidden="1" customHeight="1">
      <c r="A35" s="405"/>
      <c r="B35" s="407" t="s">
        <v>39</v>
      </c>
      <c r="C35" s="337">
        <v>4.4400000000000004</v>
      </c>
      <c r="D35" s="329">
        <v>6.18</v>
      </c>
      <c r="E35" s="329"/>
      <c r="F35" s="329">
        <v>8.32</v>
      </c>
      <c r="G35" s="329"/>
      <c r="H35" s="329">
        <v>7.75</v>
      </c>
      <c r="I35" s="329"/>
      <c r="J35" s="329">
        <v>3.94</v>
      </c>
      <c r="K35" s="329"/>
      <c r="L35" s="629">
        <v>4.16</v>
      </c>
      <c r="M35" s="329"/>
      <c r="N35" s="449">
        <v>5.8</v>
      </c>
    </row>
    <row r="36" spans="1:14" ht="14.25" hidden="1" customHeight="1">
      <c r="A36" s="405"/>
      <c r="B36" s="407" t="s">
        <v>32</v>
      </c>
      <c r="C36" s="337">
        <v>10.5</v>
      </c>
      <c r="D36" s="329">
        <v>8.1</v>
      </c>
      <c r="E36" s="329"/>
      <c r="F36" s="329">
        <v>4.4000000000000004</v>
      </c>
      <c r="G36" s="329"/>
      <c r="H36" s="329">
        <v>4.5999999999999996</v>
      </c>
      <c r="I36" s="329"/>
      <c r="J36" s="329">
        <v>3.7</v>
      </c>
      <c r="K36" s="329"/>
      <c r="L36" s="629">
        <v>3.3</v>
      </c>
      <c r="M36" s="329"/>
      <c r="N36" s="449">
        <v>5.8</v>
      </c>
    </row>
    <row r="37" spans="1:14" ht="14.25" hidden="1" customHeight="1">
      <c r="A37" s="404">
        <v>2017</v>
      </c>
      <c r="B37" s="407" t="s">
        <v>33</v>
      </c>
      <c r="C37" s="337">
        <v>4.4400000000000004</v>
      </c>
      <c r="D37" s="329">
        <v>6.18</v>
      </c>
      <c r="E37" s="329"/>
      <c r="F37" s="329">
        <v>8.32</v>
      </c>
      <c r="G37" s="329"/>
      <c r="H37" s="329">
        <v>7.75</v>
      </c>
      <c r="I37" s="329"/>
      <c r="J37" s="329">
        <v>3.39</v>
      </c>
      <c r="K37" s="329"/>
      <c r="L37" s="629">
        <v>4.16</v>
      </c>
      <c r="M37" s="329"/>
      <c r="N37" s="449">
        <v>8.68</v>
      </c>
    </row>
    <row r="38" spans="1:14" ht="14.25" hidden="1" customHeight="1">
      <c r="A38" s="406"/>
      <c r="B38" s="407" t="s">
        <v>34</v>
      </c>
      <c r="C38" s="337">
        <v>6.975609756097561</v>
      </c>
      <c r="D38" s="329">
        <v>7.5341614906832302</v>
      </c>
      <c r="E38" s="329"/>
      <c r="F38" s="329">
        <v>9.8333333333333339</v>
      </c>
      <c r="G38" s="329"/>
      <c r="H38" s="329">
        <v>7.967741935483871</v>
      </c>
      <c r="I38" s="329"/>
      <c r="J38" s="329">
        <v>7.4923076923076923</v>
      </c>
      <c r="K38" s="329"/>
      <c r="L38" s="629">
        <v>3.6629213483146068</v>
      </c>
      <c r="M38" s="329"/>
      <c r="N38" s="449">
        <v>5.7333333333333334</v>
      </c>
    </row>
    <row r="39" spans="1:14" ht="14.25" hidden="1" customHeight="1">
      <c r="A39" s="406">
        <v>2017</v>
      </c>
      <c r="B39" s="407" t="s">
        <v>29</v>
      </c>
      <c r="C39" s="337">
        <v>4.6428571428571432</v>
      </c>
      <c r="D39" s="329">
        <v>7.1542857142857139</v>
      </c>
      <c r="E39" s="329"/>
      <c r="F39" s="329">
        <v>5.4285714285714288</v>
      </c>
      <c r="G39" s="329"/>
      <c r="H39" s="329">
        <v>6.9444444444444446</v>
      </c>
      <c r="I39" s="329"/>
      <c r="J39" s="329">
        <v>3.8453608247422681</v>
      </c>
      <c r="K39" s="329"/>
      <c r="L39" s="629">
        <v>3.6869369369369371</v>
      </c>
      <c r="M39" s="329"/>
      <c r="N39" s="449">
        <v>5.2837427486396562</v>
      </c>
    </row>
    <row r="40" spans="1:14" ht="14.25" hidden="1" customHeight="1">
      <c r="A40" s="406"/>
      <c r="B40" s="407" t="s">
        <v>35</v>
      </c>
      <c r="C40" s="337">
        <v>5.3061224489795915</v>
      </c>
      <c r="D40" s="329">
        <v>7.0538461538461537</v>
      </c>
      <c r="E40" s="329"/>
      <c r="F40" s="329">
        <v>5.90625</v>
      </c>
      <c r="G40" s="329"/>
      <c r="H40" s="329">
        <v>14.245762711864407</v>
      </c>
      <c r="I40" s="329"/>
      <c r="J40" s="329">
        <v>6.2850000000000001</v>
      </c>
      <c r="K40" s="329"/>
      <c r="L40" s="629">
        <v>3.6205191594561188</v>
      </c>
      <c r="M40" s="329"/>
      <c r="N40" s="449">
        <v>7.0695834123577121</v>
      </c>
    </row>
    <row r="41" spans="1:14" ht="14.25" hidden="1" customHeight="1">
      <c r="A41" s="406"/>
      <c r="B41" s="407" t="s">
        <v>4</v>
      </c>
      <c r="C41" s="337">
        <v>4.9000000000000004</v>
      </c>
      <c r="D41" s="329">
        <v>6.1388478581979324</v>
      </c>
      <c r="E41" s="329"/>
      <c r="F41" s="329">
        <v>3.1139240506329116</v>
      </c>
      <c r="G41" s="329"/>
      <c r="H41" s="329">
        <v>8.045045045045045</v>
      </c>
      <c r="I41" s="329"/>
      <c r="J41" s="329">
        <v>4.0170454545454541</v>
      </c>
      <c r="K41" s="329"/>
      <c r="L41" s="629">
        <v>3.6103723404255321</v>
      </c>
      <c r="M41" s="329"/>
      <c r="N41" s="449">
        <v>4.9708724581411454</v>
      </c>
    </row>
    <row r="42" spans="1:14" ht="14.25" hidden="1" customHeight="1">
      <c r="A42" s="406"/>
      <c r="B42" s="407" t="s">
        <v>30</v>
      </c>
      <c r="C42" s="337">
        <v>7.4204545454545459</v>
      </c>
      <c r="D42" s="329">
        <v>7.15</v>
      </c>
      <c r="E42" s="329"/>
      <c r="F42" s="329">
        <v>3.98</v>
      </c>
      <c r="G42" s="329"/>
      <c r="H42" s="329">
        <v>9.36</v>
      </c>
      <c r="I42" s="329"/>
      <c r="J42" s="329">
        <v>5.7</v>
      </c>
      <c r="K42" s="329"/>
      <c r="L42" s="629">
        <v>2.76</v>
      </c>
      <c r="M42" s="329"/>
      <c r="N42" s="449">
        <v>6.1391579811500137</v>
      </c>
    </row>
    <row r="43" spans="1:14" ht="14.25" hidden="1" customHeight="1">
      <c r="A43" s="406"/>
      <c r="B43" s="407" t="s">
        <v>36</v>
      </c>
      <c r="C43" s="337">
        <v>5.3873873873873874</v>
      </c>
      <c r="D43" s="329">
        <v>6.2817379497623893</v>
      </c>
      <c r="E43" s="329"/>
      <c r="F43" s="329">
        <v>6.0784313725490193</v>
      </c>
      <c r="G43" s="329"/>
      <c r="H43" s="329">
        <v>6.1701244813278011</v>
      </c>
      <c r="I43" s="329"/>
      <c r="J43" s="329">
        <v>4.8990654205607473</v>
      </c>
      <c r="K43" s="329"/>
      <c r="L43" s="629">
        <v>3.1874172185430463</v>
      </c>
      <c r="M43" s="329"/>
      <c r="N43" s="449">
        <v>5.3873873873873874</v>
      </c>
    </row>
    <row r="44" spans="1:14" ht="14.25" hidden="1" customHeight="1">
      <c r="A44" s="406"/>
      <c r="B44" s="407" t="s">
        <v>37</v>
      </c>
      <c r="C44" s="337">
        <v>8.0204081632653068</v>
      </c>
      <c r="D44" s="329">
        <v>6.34</v>
      </c>
      <c r="E44" s="329"/>
      <c r="F44" s="329">
        <v>4.5999999999999996</v>
      </c>
      <c r="G44" s="329"/>
      <c r="H44" s="329">
        <v>6.56</v>
      </c>
      <c r="I44" s="329"/>
      <c r="J44" s="329">
        <v>5.52</v>
      </c>
      <c r="K44" s="329"/>
      <c r="L44" s="629">
        <v>3.3</v>
      </c>
      <c r="M44" s="329"/>
      <c r="N44" s="449">
        <v>5.72</v>
      </c>
    </row>
    <row r="45" spans="1:14" ht="14.25" hidden="1" customHeight="1">
      <c r="A45" s="406"/>
      <c r="B45" s="407" t="s">
        <v>31</v>
      </c>
      <c r="C45" s="337">
        <v>4.4074074074074074</v>
      </c>
      <c r="D45" s="329">
        <v>7.1679306608884072</v>
      </c>
      <c r="E45" s="329"/>
      <c r="F45" s="329">
        <v>4.8878504672897201</v>
      </c>
      <c r="G45" s="329"/>
      <c r="H45" s="329">
        <v>3.989795918367347</v>
      </c>
      <c r="I45" s="329"/>
      <c r="J45" s="329">
        <v>4.1291512915129154</v>
      </c>
      <c r="K45" s="329"/>
      <c r="L45" s="629">
        <v>3.0162810625535563</v>
      </c>
      <c r="M45" s="329"/>
      <c r="N45" s="449">
        <v>4.6044526941743698</v>
      </c>
    </row>
    <row r="46" spans="1:14" ht="14.25" hidden="1" customHeight="1">
      <c r="A46" s="406"/>
      <c r="B46" s="407" t="s">
        <v>38</v>
      </c>
      <c r="C46" s="337">
        <v>7.4864864864864868</v>
      </c>
      <c r="D46" s="329">
        <v>5.1048728813559325</v>
      </c>
      <c r="E46" s="329"/>
      <c r="F46" s="329">
        <v>4.3478260869565215</v>
      </c>
      <c r="G46" s="329"/>
      <c r="H46" s="329">
        <v>4.2190812720848054</v>
      </c>
      <c r="I46" s="329"/>
      <c r="J46" s="329">
        <v>5.1978798586572434</v>
      </c>
      <c r="K46" s="329"/>
      <c r="L46" s="629">
        <v>3.5834068843777582</v>
      </c>
      <c r="M46" s="329"/>
      <c r="N46" s="449">
        <v>4.9899255783197916</v>
      </c>
    </row>
    <row r="47" spans="1:14" ht="14.25" hidden="1" customHeight="1">
      <c r="A47" s="406"/>
      <c r="B47" s="407" t="s">
        <v>39</v>
      </c>
      <c r="C47" s="337">
        <v>3.6538461538461537</v>
      </c>
      <c r="D47" s="329">
        <v>6.1428571428571432</v>
      </c>
      <c r="E47" s="329"/>
      <c r="F47" s="329">
        <v>4.7826086956521738</v>
      </c>
      <c r="G47" s="329"/>
      <c r="H47" s="329">
        <v>6.2413793103448274</v>
      </c>
      <c r="I47" s="329"/>
      <c r="J47" s="329">
        <v>3.71875</v>
      </c>
      <c r="K47" s="329"/>
      <c r="L47" s="629">
        <v>3.2881355932203391</v>
      </c>
      <c r="M47" s="329"/>
      <c r="N47" s="449">
        <v>4.6379294826534396</v>
      </c>
    </row>
    <row r="48" spans="1:14" hidden="1">
      <c r="A48" s="406"/>
      <c r="B48" s="407" t="s">
        <v>32</v>
      </c>
      <c r="C48" s="337">
        <v>12.0625</v>
      </c>
      <c r="D48" s="329">
        <v>6.7426160337552741</v>
      </c>
      <c r="E48" s="329"/>
      <c r="F48" s="329">
        <v>9.5892857142857135</v>
      </c>
      <c r="G48" s="329"/>
      <c r="H48" s="329">
        <v>9.3464566929133852</v>
      </c>
      <c r="I48" s="329"/>
      <c r="J48" s="329">
        <v>6.1008403361344534</v>
      </c>
      <c r="K48" s="329"/>
      <c r="L48" s="629">
        <v>3.7938144329896906</v>
      </c>
      <c r="M48" s="329"/>
      <c r="N48" s="449">
        <v>7.9392522016797535</v>
      </c>
    </row>
    <row r="49" spans="1:14">
      <c r="A49" s="404">
        <v>2018</v>
      </c>
      <c r="B49" s="407" t="s">
        <v>33</v>
      </c>
      <c r="C49" s="337">
        <v>25.06451612903226</v>
      </c>
      <c r="D49" s="329">
        <v>6.5809443507588536</v>
      </c>
      <c r="E49" s="329"/>
      <c r="F49" s="329">
        <v>17.136363636363637</v>
      </c>
      <c r="G49" s="329"/>
      <c r="H49" s="329">
        <v>7.3506493506493502</v>
      </c>
      <c r="I49" s="329"/>
      <c r="J49" s="329">
        <v>3.6363636363636362</v>
      </c>
      <c r="K49" s="329"/>
      <c r="L49" s="629">
        <v>3.7540394973070019</v>
      </c>
      <c r="M49" s="329"/>
      <c r="N49" s="449">
        <v>10.587146100079124</v>
      </c>
    </row>
    <row r="50" spans="1:14">
      <c r="A50" s="404"/>
      <c r="B50" s="407" t="s">
        <v>34</v>
      </c>
      <c r="C50" s="337">
        <v>5.7</v>
      </c>
      <c r="D50" s="329">
        <v>9.5487077534791247</v>
      </c>
      <c r="E50" s="329"/>
      <c r="F50" s="329">
        <v>12.424242424242424</v>
      </c>
      <c r="G50" s="329"/>
      <c r="H50" s="329">
        <v>13.844155844155845</v>
      </c>
      <c r="I50" s="329"/>
      <c r="J50" s="329">
        <v>3.3412698412698414</v>
      </c>
      <c r="K50" s="329"/>
      <c r="L50" s="629">
        <v>3.4392678868552413</v>
      </c>
      <c r="M50" s="329"/>
      <c r="N50" s="449">
        <v>8.0496072916670798</v>
      </c>
    </row>
    <row r="51" spans="1:14">
      <c r="A51" s="404"/>
      <c r="B51" s="407" t="s">
        <v>29</v>
      </c>
      <c r="C51" s="337">
        <v>1.8666666666666667</v>
      </c>
      <c r="D51" s="329">
        <v>7.5835140997830806</v>
      </c>
      <c r="E51" s="329"/>
      <c r="F51" s="329">
        <v>5.71875</v>
      </c>
      <c r="G51" s="329"/>
      <c r="H51" s="329">
        <v>5.333333333333333</v>
      </c>
      <c r="I51" s="329"/>
      <c r="J51" s="329">
        <v>13.279069767441861</v>
      </c>
      <c r="K51" s="329"/>
      <c r="L51" s="629">
        <v>4.3788235294117648</v>
      </c>
      <c r="M51" s="329"/>
      <c r="N51" s="449">
        <v>6.3600262327727846</v>
      </c>
    </row>
    <row r="52" spans="1:14">
      <c r="A52" s="404"/>
      <c r="B52" s="407" t="s">
        <v>35</v>
      </c>
      <c r="C52" s="337">
        <v>13.227272727272727</v>
      </c>
      <c r="D52" s="329">
        <v>6.2655440414507773</v>
      </c>
      <c r="E52" s="329"/>
      <c r="F52" s="329">
        <v>3.0370370370370372</v>
      </c>
      <c r="G52" s="329"/>
      <c r="H52" s="329">
        <v>9.3652173913043484</v>
      </c>
      <c r="I52" s="329"/>
      <c r="J52" s="329">
        <v>3.7938144329896906</v>
      </c>
      <c r="K52" s="329"/>
      <c r="L52" s="629">
        <v>3.7109283196239717</v>
      </c>
      <c r="M52" s="329"/>
      <c r="N52" s="449">
        <v>6.5666356582797585</v>
      </c>
    </row>
    <row r="53" spans="1:14">
      <c r="A53" s="404"/>
      <c r="B53" s="407" t="s">
        <v>4</v>
      </c>
      <c r="C53" s="337">
        <v>4.333333333333333</v>
      </c>
      <c r="D53" s="329">
        <v>6.7924528301886795</v>
      </c>
      <c r="E53" s="329"/>
      <c r="F53" s="329">
        <v>5.3888888888888893</v>
      </c>
      <c r="G53" s="329"/>
      <c r="H53" s="329">
        <v>5.2299465240641707</v>
      </c>
      <c r="I53" s="329"/>
      <c r="J53" s="329">
        <v>3.8018018018018016</v>
      </c>
      <c r="K53" s="329"/>
      <c r="L53" s="629">
        <v>3.7973921765295886</v>
      </c>
      <c r="M53" s="329"/>
      <c r="N53" s="449">
        <f>AVERAGE(C53:L53)</f>
        <v>4.8906359258010772</v>
      </c>
    </row>
    <row r="54" spans="1:14">
      <c r="A54" s="404"/>
      <c r="B54" s="407" t="s">
        <v>30</v>
      </c>
      <c r="C54" s="337">
        <v>4.1515151515151514</v>
      </c>
      <c r="D54" s="329">
        <v>7.0877598152424941</v>
      </c>
      <c r="E54" s="329"/>
      <c r="F54" s="329">
        <v>4.72463768115942</v>
      </c>
      <c r="G54" s="329"/>
      <c r="H54" s="329">
        <v>7.1263736263736268</v>
      </c>
      <c r="I54" s="329"/>
      <c r="J54" s="329">
        <v>4.1768292682926829</v>
      </c>
      <c r="K54" s="329"/>
      <c r="L54" s="629">
        <v>3.6907327586206895</v>
      </c>
      <c r="M54" s="329"/>
      <c r="N54" s="449">
        <v>5.1596413835340114</v>
      </c>
    </row>
    <row r="55" spans="1:14">
      <c r="A55" s="404"/>
      <c r="B55" s="407" t="s">
        <v>36</v>
      </c>
      <c r="C55" s="337">
        <v>21.403508771929825</v>
      </c>
      <c r="D55" s="329">
        <v>6.7789789789789792</v>
      </c>
      <c r="E55" s="329"/>
      <c r="F55" s="329">
        <v>4.5588235294117645</v>
      </c>
      <c r="G55" s="329"/>
      <c r="H55" s="329">
        <v>6.7766990291262132</v>
      </c>
      <c r="I55" s="329"/>
      <c r="J55" s="329">
        <v>4.5672823218997358</v>
      </c>
      <c r="K55" s="329"/>
      <c r="L55" s="629">
        <v>3.7335907335907335</v>
      </c>
      <c r="M55" s="329"/>
      <c r="N55" s="449">
        <v>7.969813894156208</v>
      </c>
    </row>
    <row r="56" spans="1:14">
      <c r="A56" s="404"/>
      <c r="B56" s="407" t="s">
        <v>37</v>
      </c>
      <c r="C56" s="337">
        <v>6.6271186440677967</v>
      </c>
      <c r="D56" s="329">
        <v>6.1874062968515746</v>
      </c>
      <c r="E56" s="329"/>
      <c r="F56" s="329">
        <v>5.5081967213114753</v>
      </c>
      <c r="G56" s="329"/>
      <c r="H56" s="329">
        <v>7.0147058823529411</v>
      </c>
      <c r="I56" s="329"/>
      <c r="J56" s="329">
        <v>4.7571428571428571</v>
      </c>
      <c r="K56" s="329"/>
      <c r="L56" s="629">
        <v>3.6885017421602786</v>
      </c>
      <c r="M56" s="329"/>
      <c r="N56" s="449">
        <v>5.6305120239811544</v>
      </c>
    </row>
    <row r="57" spans="1:14">
      <c r="A57" s="404"/>
      <c r="B57" s="407" t="s">
        <v>31</v>
      </c>
      <c r="C57" s="337">
        <v>3.918032786885246</v>
      </c>
      <c r="D57" s="329">
        <v>6.5845552297165204</v>
      </c>
      <c r="E57" s="329"/>
      <c r="F57" s="329">
        <v>6.9</v>
      </c>
      <c r="G57" s="329"/>
      <c r="H57" s="329">
        <v>5.7245762711864403</v>
      </c>
      <c r="I57" s="329"/>
      <c r="J57" s="329">
        <v>3.6412213740458017</v>
      </c>
      <c r="K57" s="329"/>
      <c r="L57" s="629">
        <v>3.6561679790026247</v>
      </c>
      <c r="M57" s="329"/>
      <c r="N57" s="449">
        <v>5.0707589401394388</v>
      </c>
    </row>
    <row r="58" spans="1:14">
      <c r="A58" s="404"/>
      <c r="B58" s="407" t="s">
        <v>38</v>
      </c>
      <c r="C58" s="337">
        <v>3.578125</v>
      </c>
      <c r="D58" s="329">
        <v>7.0428249436513903</v>
      </c>
      <c r="E58" s="329"/>
      <c r="F58" s="329">
        <v>9.8977272727272734</v>
      </c>
      <c r="G58" s="329"/>
      <c r="H58" s="329">
        <v>7.0479452054794525</v>
      </c>
      <c r="I58" s="329"/>
      <c r="J58" s="329">
        <v>5.1764705882352944</v>
      </c>
      <c r="K58" s="329"/>
      <c r="L58" s="629">
        <v>3.6474708171206225</v>
      </c>
      <c r="M58" s="329"/>
      <c r="N58" s="449">
        <v>6.0650939712023382</v>
      </c>
    </row>
    <row r="59" spans="1:14">
      <c r="A59" s="404"/>
      <c r="B59" s="407" t="s">
        <v>39</v>
      </c>
      <c r="C59" s="337">
        <v>6.1960784313725492</v>
      </c>
      <c r="D59" s="329">
        <v>6.375342465753425</v>
      </c>
      <c r="E59" s="329"/>
      <c r="F59" s="329">
        <v>14.243243243243244</v>
      </c>
      <c r="G59" s="329"/>
      <c r="H59" s="329">
        <v>6.3525179856115104</v>
      </c>
      <c r="I59" s="329"/>
      <c r="J59" s="329">
        <v>7.0811965811965809</v>
      </c>
      <c r="K59" s="329"/>
      <c r="L59" s="629">
        <v>3.4103896103896103</v>
      </c>
      <c r="M59" s="329"/>
      <c r="N59" s="449">
        <v>7.2764613862611531</v>
      </c>
    </row>
    <row r="60" spans="1:14">
      <c r="A60" s="404"/>
      <c r="B60" s="407" t="s">
        <v>32</v>
      </c>
      <c r="C60" s="337">
        <v>30</v>
      </c>
      <c r="D60" s="329">
        <v>5.8281627576403698</v>
      </c>
      <c r="E60" s="329"/>
      <c r="F60" s="329">
        <v>40.902777777777779</v>
      </c>
      <c r="G60" s="329"/>
      <c r="H60" s="329">
        <v>22.131336405529954</v>
      </c>
      <c r="I60" s="329"/>
      <c r="J60" s="329">
        <v>7.4363119336803551</v>
      </c>
      <c r="K60" s="329"/>
      <c r="L60" s="629">
        <v>6.0194559228650144</v>
      </c>
      <c r="M60" s="329"/>
      <c r="N60" s="449">
        <v>14.837075654644421</v>
      </c>
    </row>
    <row r="61" spans="1:14" hidden="1">
      <c r="A61" s="404">
        <v>2019</v>
      </c>
      <c r="B61" s="407" t="s">
        <v>33</v>
      </c>
      <c r="C61" s="337">
        <f>6.7</f>
        <v>6.7</v>
      </c>
      <c r="D61" s="329">
        <f>6.9</f>
        <v>6.9</v>
      </c>
      <c r="E61" s="329"/>
      <c r="F61" s="329">
        <v>10.9</v>
      </c>
      <c r="G61" s="329"/>
      <c r="H61" s="329">
        <v>9.9</v>
      </c>
      <c r="I61" s="329"/>
      <c r="J61" s="329">
        <v>4.2</v>
      </c>
      <c r="K61" s="329"/>
      <c r="L61" s="629">
        <v>3.3</v>
      </c>
      <c r="M61" s="329"/>
      <c r="N61" s="449">
        <v>5.4</v>
      </c>
    </row>
    <row r="62" spans="1:14" hidden="1">
      <c r="A62" s="404">
        <v>2019</v>
      </c>
      <c r="B62" s="407" t="s">
        <v>34</v>
      </c>
      <c r="C62" s="337">
        <v>7.25</v>
      </c>
      <c r="D62" s="329">
        <v>10.482196078431373</v>
      </c>
      <c r="E62" s="329"/>
      <c r="F62" s="329">
        <v>6.0178571428571432</v>
      </c>
      <c r="G62" s="329"/>
      <c r="H62" s="329">
        <v>8.5121951219512191</v>
      </c>
      <c r="I62" s="329"/>
      <c r="J62" s="329">
        <v>10.063112073112071</v>
      </c>
      <c r="K62" s="329"/>
      <c r="L62" s="629">
        <v>6.3890940073842657</v>
      </c>
      <c r="M62" s="329"/>
      <c r="N62" s="449">
        <v>8.8377693480508928</v>
      </c>
    </row>
    <row r="63" spans="1:14" s="321" customFormat="1" hidden="1">
      <c r="A63" s="678"/>
      <c r="B63" s="407" t="s">
        <v>29</v>
      </c>
      <c r="C63" s="337">
        <v>6.354166666666667</v>
      </c>
      <c r="D63" s="329">
        <v>4.2504063031900294</v>
      </c>
      <c r="E63" s="329"/>
      <c r="F63" s="329">
        <v>3.925925925925926</v>
      </c>
      <c r="G63" s="329"/>
      <c r="H63" s="329">
        <v>5.2714598997493738</v>
      </c>
      <c r="I63" s="329"/>
      <c r="J63" s="329">
        <v>2.218537894853684</v>
      </c>
      <c r="K63" s="329"/>
      <c r="L63" s="629">
        <v>3.6692911820260461</v>
      </c>
      <c r="M63" s="329"/>
      <c r="N63" s="449">
        <f>AVERAGE(C63:L63)</f>
        <v>4.2816313120686207</v>
      </c>
    </row>
    <row r="64" spans="1:14">
      <c r="A64" s="404">
        <v>2019</v>
      </c>
      <c r="B64" s="407" t="s">
        <v>35</v>
      </c>
      <c r="C64" s="337">
        <v>4.7105263157894735</v>
      </c>
      <c r="D64" s="329">
        <v>6.7718808193668529</v>
      </c>
      <c r="E64" s="329"/>
      <c r="F64" s="329">
        <v>3.9223300970873787</v>
      </c>
      <c r="G64" s="329"/>
      <c r="H64" s="329">
        <v>7.1496062992125982</v>
      </c>
      <c r="I64" s="329"/>
      <c r="J64" s="329">
        <v>2.073469387755102</v>
      </c>
      <c r="K64" s="329"/>
      <c r="L64" s="629">
        <v>2.9243027888446216</v>
      </c>
      <c r="M64" s="329"/>
      <c r="N64" s="449">
        <v>4.4837799717912556</v>
      </c>
    </row>
    <row r="65" spans="1:14">
      <c r="A65" s="404">
        <v>2019</v>
      </c>
      <c r="B65" s="407" t="s">
        <v>4</v>
      </c>
      <c r="C65" s="337">
        <v>5.1086956521739131</v>
      </c>
      <c r="D65" s="329">
        <v>6.7767083734359961</v>
      </c>
      <c r="E65" s="329"/>
      <c r="F65" s="329">
        <v>3.5350318471337578</v>
      </c>
      <c r="G65" s="329"/>
      <c r="H65" s="329">
        <v>8.1343283582089558</v>
      </c>
      <c r="I65" s="329"/>
      <c r="J65" s="329">
        <v>2.5043731778425657</v>
      </c>
      <c r="K65" s="329"/>
      <c r="L65" s="629">
        <v>3.1006423982869378</v>
      </c>
      <c r="M65" s="329"/>
      <c r="N65" s="449">
        <v>4.7779871843196382</v>
      </c>
    </row>
    <row r="66" spans="1:14">
      <c r="A66" s="404">
        <v>2019</v>
      </c>
      <c r="B66" s="407" t="s">
        <v>30</v>
      </c>
      <c r="C66" s="337">
        <v>4</v>
      </c>
      <c r="D66" s="329">
        <v>7.168728908886389</v>
      </c>
      <c r="E66" s="329"/>
      <c r="F66" s="329">
        <v>9.5042735042735043</v>
      </c>
      <c r="G66" s="329"/>
      <c r="H66" s="329">
        <v>13.320261437908497</v>
      </c>
      <c r="I66" s="329"/>
      <c r="J66" s="329">
        <v>1.9920634920634921</v>
      </c>
      <c r="K66" s="329"/>
      <c r="L66" s="629">
        <v>6.3344226579520697</v>
      </c>
      <c r="M66" s="329"/>
      <c r="N66" s="449">
        <v>6.520498392282958</v>
      </c>
    </row>
    <row r="67" spans="1:14">
      <c r="A67" s="404">
        <v>2019</v>
      </c>
      <c r="B67" s="407" t="s">
        <v>36</v>
      </c>
      <c r="C67" s="337">
        <v>5.3962264150943398</v>
      </c>
      <c r="D67" s="329">
        <v>8.7210554658050619</v>
      </c>
      <c r="E67" s="329"/>
      <c r="F67" s="329">
        <v>2.0987654320987654</v>
      </c>
      <c r="G67" s="329"/>
      <c r="H67" s="329">
        <v>5.844086021505376</v>
      </c>
      <c r="I67" s="329"/>
      <c r="J67" s="329">
        <v>2.7203107658157601</v>
      </c>
      <c r="K67" s="329"/>
      <c r="L67" s="629">
        <v>3.8413373860182372</v>
      </c>
      <c r="M67" s="329"/>
      <c r="N67" s="449">
        <v>5.6125344060978195</v>
      </c>
    </row>
    <row r="68" spans="1:14">
      <c r="A68" s="404"/>
      <c r="B68" s="407" t="s">
        <v>37</v>
      </c>
      <c r="C68" s="337">
        <v>4.7105263157894735</v>
      </c>
      <c r="D68" s="329">
        <v>6.7718808193668529</v>
      </c>
      <c r="E68" s="329"/>
      <c r="F68" s="329">
        <v>3.9223300970873787</v>
      </c>
      <c r="G68" s="329"/>
      <c r="H68" s="329">
        <v>7.1496062992125982</v>
      </c>
      <c r="I68" s="329"/>
      <c r="J68" s="329">
        <v>2.073469387755102</v>
      </c>
      <c r="K68" s="329"/>
      <c r="L68" s="629">
        <v>2.9243027888446216</v>
      </c>
      <c r="M68" s="329"/>
      <c r="N68" s="449">
        <v>4.4837799717912556</v>
      </c>
    </row>
    <row r="69" spans="1:14">
      <c r="A69" s="404"/>
      <c r="B69" s="407" t="s">
        <v>31</v>
      </c>
      <c r="C69" s="337">
        <v>7.4651162790697674</v>
      </c>
      <c r="D69" s="329">
        <v>6.4361036639857012</v>
      </c>
      <c r="E69" s="329"/>
      <c r="F69" s="329">
        <v>13.595744680851064</v>
      </c>
      <c r="G69" s="329"/>
      <c r="H69" s="329">
        <v>7.442622950819672</v>
      </c>
      <c r="I69" s="329"/>
      <c r="J69" s="329">
        <v>5.6223404255319149</v>
      </c>
      <c r="K69" s="329"/>
      <c r="L69" s="629">
        <v>4.6876790830945563</v>
      </c>
      <c r="M69" s="329"/>
      <c r="N69" s="449">
        <v>5.8431372549019605</v>
      </c>
    </row>
    <row r="70" spans="1:14">
      <c r="A70" s="404"/>
      <c r="B70" s="407" t="s">
        <v>38</v>
      </c>
      <c r="C70" s="337">
        <v>7.6538461538461542</v>
      </c>
      <c r="D70" s="329">
        <v>6.4404567699836868</v>
      </c>
      <c r="E70" s="329"/>
      <c r="F70" s="329">
        <v>12.660377358490566</v>
      </c>
      <c r="G70" s="329"/>
      <c r="H70" s="329">
        <v>7.419354838709677</v>
      </c>
      <c r="I70" s="329"/>
      <c r="J70" s="329">
        <v>5.4258373205741623</v>
      </c>
      <c r="K70" s="329"/>
      <c r="L70" s="629">
        <v>4.7000937207122773</v>
      </c>
      <c r="M70" s="329"/>
      <c r="N70" s="449">
        <v>5.8394557823129256</v>
      </c>
    </row>
    <row r="71" spans="1:14">
      <c r="A71" s="404"/>
      <c r="B71" s="407" t="s">
        <v>39</v>
      </c>
      <c r="C71" s="337">
        <v>4.4230769230769234</v>
      </c>
      <c r="D71" s="329">
        <v>8.9645569620253163</v>
      </c>
      <c r="E71" s="329"/>
      <c r="F71" s="329">
        <v>5.7368421052631575</v>
      </c>
      <c r="G71" s="329"/>
      <c r="H71" s="329">
        <v>4.2117647058823531</v>
      </c>
      <c r="I71" s="329"/>
      <c r="J71" s="329">
        <v>2.7419354838709675</v>
      </c>
      <c r="K71" s="329"/>
      <c r="L71" s="629">
        <v>2.9268292682926829</v>
      </c>
      <c r="M71" s="329"/>
      <c r="N71" s="449">
        <v>4.8341675747352335</v>
      </c>
    </row>
    <row r="72" spans="1:14">
      <c r="A72" s="404"/>
      <c r="B72" s="407" t="s">
        <v>32</v>
      </c>
      <c r="C72" s="337">
        <v>3.1481481481481484</v>
      </c>
      <c r="D72" s="329">
        <v>6.3937677053824364</v>
      </c>
      <c r="E72" s="329"/>
      <c r="F72" s="329">
        <v>7.6521739130434785</v>
      </c>
      <c r="G72" s="329"/>
      <c r="H72" s="329">
        <v>13.527777777777779</v>
      </c>
      <c r="I72" s="329"/>
      <c r="J72" s="329">
        <v>1.8151260504201681</v>
      </c>
      <c r="K72" s="329"/>
      <c r="L72" s="629">
        <v>7.4724832214765105</v>
      </c>
      <c r="M72" s="329"/>
      <c r="N72" s="449">
        <v>6.6242555495397939</v>
      </c>
    </row>
    <row r="73" spans="1:14" ht="14.25" customHeight="1">
      <c r="A73" s="406">
        <v>2020</v>
      </c>
      <c r="B73" s="407" t="s">
        <v>33</v>
      </c>
      <c r="C73" s="337">
        <v>10.418181818181818</v>
      </c>
      <c r="D73" s="329">
        <v>7.4645441389290879</v>
      </c>
      <c r="E73" s="329"/>
      <c r="F73" s="329">
        <v>13.914893617021276</v>
      </c>
      <c r="G73" s="329"/>
      <c r="H73" s="329">
        <v>5.9056603773584904</v>
      </c>
      <c r="I73" s="329"/>
      <c r="J73" s="329">
        <v>2.8085714285714287</v>
      </c>
      <c r="K73" s="329"/>
      <c r="L73" s="629">
        <v>3.4160475482912331</v>
      </c>
      <c r="M73" s="329"/>
      <c r="N73" s="449">
        <v>7.3213164880588879</v>
      </c>
    </row>
    <row r="74" spans="1:14" ht="14.25" customHeight="1">
      <c r="A74" s="406"/>
      <c r="B74" s="407" t="s">
        <v>34</v>
      </c>
      <c r="C74" s="337">
        <v>5.1142857142857139</v>
      </c>
      <c r="D74" s="329">
        <v>9.2119487908961588</v>
      </c>
      <c r="E74" s="329"/>
      <c r="F74" s="329">
        <v>4.7826086956521738</v>
      </c>
      <c r="G74" s="329"/>
      <c r="H74" s="329">
        <v>8</v>
      </c>
      <c r="I74" s="329"/>
      <c r="J74" s="329">
        <v>4.5999999999999996</v>
      </c>
      <c r="K74" s="329"/>
      <c r="L74" s="629">
        <v>3.3570247933884296</v>
      </c>
      <c r="M74" s="344"/>
      <c r="N74" s="449">
        <v>5.8443113323704123</v>
      </c>
    </row>
    <row r="75" spans="1:14" ht="14.25" customHeight="1">
      <c r="A75" s="406"/>
      <c r="B75" s="407" t="s">
        <v>29</v>
      </c>
      <c r="C75" s="337">
        <v>10.75</v>
      </c>
      <c r="D75" s="329">
        <v>7.1958041958041958</v>
      </c>
      <c r="E75" s="329"/>
      <c r="F75" s="329">
        <v>17.649999999999999</v>
      </c>
      <c r="G75" s="329"/>
      <c r="H75" s="329">
        <v>23.089552238805972</v>
      </c>
      <c r="I75" s="329"/>
      <c r="J75" s="329">
        <v>3.9401197604790421</v>
      </c>
      <c r="K75" s="329"/>
      <c r="L75" s="629">
        <v>7.220447284345048</v>
      </c>
      <c r="M75" s="329"/>
      <c r="N75" s="449">
        <v>11.640987246572374</v>
      </c>
    </row>
    <row r="76" spans="1:14" ht="14.25" customHeight="1">
      <c r="A76" s="406"/>
      <c r="B76" s="407" t="s">
        <v>35</v>
      </c>
      <c r="C76" s="337">
        <v>11.785714285714286</v>
      </c>
      <c r="D76" s="329">
        <v>10.231707317073171</v>
      </c>
      <c r="E76" s="329"/>
      <c r="F76" s="163">
        <f>0</f>
        <v>0</v>
      </c>
      <c r="G76" s="329"/>
      <c r="H76" s="329">
        <v>27.210526315789473</v>
      </c>
      <c r="I76" s="329"/>
      <c r="J76" s="329">
        <v>2</v>
      </c>
      <c r="K76" s="329"/>
      <c r="L76" s="629">
        <v>13.971428571428572</v>
      </c>
      <c r="M76" s="344"/>
      <c r="N76" s="449">
        <v>13.039875298001101</v>
      </c>
    </row>
    <row r="77" spans="1:14" ht="14.25" customHeight="1">
      <c r="A77" s="406"/>
      <c r="B77" s="407" t="s">
        <v>4</v>
      </c>
      <c r="C77" s="337">
        <v>13.2</v>
      </c>
      <c r="D77" s="329">
        <v>23.076923076923077</v>
      </c>
      <c r="E77" s="329"/>
      <c r="F77" s="150">
        <v>9</v>
      </c>
      <c r="G77" s="329"/>
      <c r="H77" s="329">
        <v>12</v>
      </c>
      <c r="I77" s="329"/>
      <c r="J77" s="329" t="s">
        <v>341</v>
      </c>
      <c r="K77" s="329"/>
      <c r="L77" s="629">
        <v>18.75</v>
      </c>
      <c r="M77" s="344"/>
      <c r="N77" s="449">
        <v>15.205384615384617</v>
      </c>
    </row>
    <row r="78" spans="1:14" ht="14.25" customHeight="1">
      <c r="A78" s="406"/>
      <c r="B78" s="407" t="s">
        <v>30</v>
      </c>
      <c r="C78" s="337">
        <v>15</v>
      </c>
      <c r="D78" s="329">
        <v>13.136363636363637</v>
      </c>
      <c r="E78" s="329"/>
      <c r="F78" s="150">
        <v>12.5</v>
      </c>
      <c r="G78" s="329"/>
      <c r="H78" s="329">
        <v>8</v>
      </c>
      <c r="I78" s="329"/>
      <c r="J78" s="329">
        <v>3</v>
      </c>
      <c r="K78" s="329"/>
      <c r="L78" s="629">
        <v>7.7</v>
      </c>
      <c r="M78" s="344"/>
      <c r="N78" s="449">
        <v>9.8893939393939405</v>
      </c>
    </row>
    <row r="79" spans="1:14" ht="14.25" customHeight="1">
      <c r="A79" s="630"/>
      <c r="B79" s="408" t="s">
        <v>36</v>
      </c>
      <c r="C79" s="705" t="s">
        <v>346</v>
      </c>
      <c r="D79" s="344">
        <v>5.6</v>
      </c>
      <c r="E79" s="344"/>
      <c r="F79" s="681" t="s">
        <v>343</v>
      </c>
      <c r="G79" s="344"/>
      <c r="H79" s="344">
        <v>15</v>
      </c>
      <c r="I79" s="344"/>
      <c r="J79" s="344" t="s">
        <v>341</v>
      </c>
      <c r="K79" s="344"/>
      <c r="L79" s="743" t="s">
        <v>341</v>
      </c>
      <c r="M79" s="344"/>
      <c r="N79" s="743">
        <v>10.3</v>
      </c>
    </row>
    <row r="80" spans="1:14">
      <c r="A80" s="122" t="s">
        <v>84</v>
      </c>
      <c r="B80" s="123" t="s">
        <v>134</v>
      </c>
    </row>
    <row r="81" spans="1:20" s="298" customFormat="1" ht="15">
      <c r="A81" s="291"/>
      <c r="B81" s="50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</row>
    <row r="82" spans="1:20">
      <c r="C82" s="343" t="e">
        <f>C79-C67</f>
        <v>#VALUE!</v>
      </c>
      <c r="D82" s="343">
        <f t="shared" ref="D82:N82" si="1">D79-D67</f>
        <v>-3.1210554658050622</v>
      </c>
      <c r="E82" s="343">
        <f t="shared" si="1"/>
        <v>0</v>
      </c>
      <c r="F82" s="343" t="e">
        <f>F79-F67</f>
        <v>#VALUE!</v>
      </c>
      <c r="G82" s="343">
        <f t="shared" si="1"/>
        <v>0</v>
      </c>
      <c r="H82" s="343">
        <f t="shared" si="1"/>
        <v>9.155913978494624</v>
      </c>
      <c r="I82" s="343">
        <f t="shared" si="1"/>
        <v>0</v>
      </c>
      <c r="J82" s="343" t="e">
        <f t="shared" si="1"/>
        <v>#VALUE!</v>
      </c>
      <c r="K82" s="343">
        <f t="shared" si="1"/>
        <v>0</v>
      </c>
      <c r="L82" s="343" t="e">
        <f t="shared" si="1"/>
        <v>#VALUE!</v>
      </c>
      <c r="M82" s="343">
        <f t="shared" si="1"/>
        <v>0</v>
      </c>
      <c r="N82" s="343">
        <f t="shared" si="1"/>
        <v>4.6874655939021812</v>
      </c>
    </row>
    <row r="83" spans="1:20">
      <c r="C83" s="340" t="e">
        <f>C79-C78</f>
        <v>#VALUE!</v>
      </c>
      <c r="D83" s="340">
        <f>D79-D78</f>
        <v>-7.536363636363637</v>
      </c>
      <c r="E83" s="340">
        <f t="shared" ref="E83:M83" si="2">E79-E78</f>
        <v>0</v>
      </c>
      <c r="F83" s="340" t="e">
        <f t="shared" si="2"/>
        <v>#VALUE!</v>
      </c>
      <c r="G83" s="340">
        <f t="shared" si="2"/>
        <v>0</v>
      </c>
      <c r="H83" s="340">
        <f t="shared" si="2"/>
        <v>7</v>
      </c>
      <c r="I83" s="340">
        <f t="shared" si="2"/>
        <v>0</v>
      </c>
      <c r="J83" s="340" t="e">
        <f t="shared" si="2"/>
        <v>#VALUE!</v>
      </c>
      <c r="K83" s="340">
        <f t="shared" si="2"/>
        <v>0</v>
      </c>
      <c r="L83" s="340" t="e">
        <f t="shared" si="2"/>
        <v>#VALUE!</v>
      </c>
      <c r="M83" s="340">
        <f t="shared" si="2"/>
        <v>0</v>
      </c>
      <c r="N83" s="340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9</vt:i4>
      </vt:variant>
    </vt:vector>
  </HeadingPairs>
  <TitlesOfParts>
    <vt:vector size="36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Charts</vt:lpstr>
      <vt:lpstr>Chart Tab 2</vt:lpstr>
      <vt:lpstr>COU_waterfall </vt:lpstr>
      <vt:lpstr> COR by LOS chart</vt:lpstr>
      <vt:lpstr>My Age Gat</vt:lpstr>
      <vt:lpstr>Vessel Notification Report  (2)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5.Visitors LOS'!Print_Area</vt:lpstr>
      <vt:lpstr>'Tab 6.Visitors AGE'!Print_Area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Hidson Bilatou Rob</cp:lastModifiedBy>
  <cp:lastPrinted>2021-11-15T02:25:38Z</cp:lastPrinted>
  <dcterms:created xsi:type="dcterms:W3CDTF">1998-11-05T22:59:49Z</dcterms:created>
  <dcterms:modified xsi:type="dcterms:W3CDTF">2026-09-08T23:15:40Z</dcterms:modified>
</cp:coreProperties>
</file>