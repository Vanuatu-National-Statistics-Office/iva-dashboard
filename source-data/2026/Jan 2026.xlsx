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IVA\2026\January\"/>
    </mc:Choice>
  </mc:AlternateContent>
  <xr:revisionPtr revIDLastSave="0" documentId="13_ncr:1_{BFF21D7B-FFA7-4849-A81C-3C5836819EEA}" xr6:coauthVersionLast="47" xr6:coauthVersionMax="47" xr10:uidLastSave="{00000000-0000-0000-0000-000000000000}"/>
  <bookViews>
    <workbookView xWindow="-108" yWindow="-108" windowWidth="23256" windowHeight="12456" tabRatio="948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. visitors usual residence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xlnm._FilterDatabase" localSheetId="2" hidden="1">'Tab 2.Purpose of visit'!$B$1:$D$81</definedName>
    <definedName name="_xlnm.Print_Area" localSheetId="4">'T4.Resident Arr by nationality'!$A$1:$AA$81</definedName>
    <definedName name="_xlnm.Print_Area" localSheetId="2">'Tab 2.Purpose of visit'!$A$1:$V$78</definedName>
    <definedName name="_xlnm.Print_Area" localSheetId="3">'Tab 3.Count of usual residence'!$A$1:$Z$77</definedName>
    <definedName name="_xlnm.Print_Area" localSheetId="13">'Tab 5 visit LOS'!$A$1:$M$76</definedName>
    <definedName name="_xlnm.Print_Area" localSheetId="8">'Tab 5.Visitors LOS'!$A$2:$M$165</definedName>
    <definedName name="_xlnm.Print_Area" localSheetId="14">'Tab 6 visitors age'!$A$1:$O$77</definedName>
    <definedName name="_xlnm.Print_Area" localSheetId="9">'Tab 6.Visitors AGE'!$A$4:$N$155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Summary'!$A$1:$AG$78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3" i="31" l="1"/>
  <c r="K83" i="31"/>
  <c r="I83" i="31"/>
  <c r="G83" i="31"/>
  <c r="E83" i="31"/>
  <c r="M82" i="31"/>
  <c r="K82" i="31"/>
  <c r="I82" i="31"/>
  <c r="G82" i="31"/>
  <c r="E82" i="31"/>
  <c r="N79" i="31"/>
  <c r="H79" i="31"/>
  <c r="D79" i="31"/>
  <c r="N78" i="31"/>
  <c r="L78" i="31"/>
  <c r="L83" i="31" s="1"/>
  <c r="J78" i="31"/>
  <c r="J83" i="31" s="1"/>
  <c r="H78" i="31"/>
  <c r="F78" i="31"/>
  <c r="F83" i="31" s="1"/>
  <c r="D78" i="31"/>
  <c r="C78" i="31"/>
  <c r="C83" i="31" s="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L82" i="31" s="1"/>
  <c r="J67" i="31"/>
  <c r="J82" i="31" s="1"/>
  <c r="H67" i="31"/>
  <c r="F67" i="31"/>
  <c r="F82" i="31" s="1"/>
  <c r="D67" i="31"/>
  <c r="C67" i="31"/>
  <c r="C82" i="31" s="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L24" i="31"/>
  <c r="J24" i="31"/>
  <c r="H24" i="31"/>
  <c r="F24" i="31"/>
  <c r="D24" i="31"/>
  <c r="C24" i="31"/>
  <c r="L23" i="31"/>
  <c r="J23" i="31"/>
  <c r="H23" i="31"/>
  <c r="F23" i="31"/>
  <c r="D23" i="31"/>
  <c r="C23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F79" i="30"/>
  <c r="D79" i="30"/>
  <c r="H78" i="30"/>
  <c r="G78" i="30"/>
  <c r="F78" i="30"/>
  <c r="E78" i="30"/>
  <c r="D78" i="30"/>
  <c r="C78" i="30"/>
  <c r="H77" i="30"/>
  <c r="F77" i="30"/>
  <c r="E77" i="30"/>
  <c r="D77" i="30"/>
  <c r="C77" i="30"/>
  <c r="H76" i="30"/>
  <c r="G76" i="30"/>
  <c r="F76" i="30"/>
  <c r="E76" i="30"/>
  <c r="D76" i="30"/>
  <c r="C76" i="30"/>
  <c r="H75" i="30"/>
  <c r="G75" i="30"/>
  <c r="F75" i="30"/>
  <c r="E75" i="30"/>
  <c r="D75" i="30"/>
  <c r="C75" i="30"/>
  <c r="H74" i="30"/>
  <c r="G74" i="30"/>
  <c r="F74" i="30"/>
  <c r="E74" i="30"/>
  <c r="D74" i="30"/>
  <c r="C74" i="30"/>
  <c r="H73" i="30"/>
  <c r="G73" i="30"/>
  <c r="F73" i="30"/>
  <c r="E73" i="30"/>
  <c r="D73" i="30"/>
  <c r="C73" i="30"/>
  <c r="H72" i="30"/>
  <c r="G72" i="30"/>
  <c r="F72" i="30"/>
  <c r="E72" i="30"/>
  <c r="D72" i="30"/>
  <c r="C72" i="30"/>
  <c r="H71" i="30"/>
  <c r="G71" i="30"/>
  <c r="F71" i="30"/>
  <c r="E71" i="30"/>
  <c r="D71" i="30"/>
  <c r="C71" i="30"/>
  <c r="H70" i="30"/>
  <c r="G70" i="30"/>
  <c r="F70" i="30"/>
  <c r="E70" i="30"/>
  <c r="D70" i="30"/>
  <c r="C70" i="30"/>
  <c r="H69" i="30"/>
  <c r="G69" i="30"/>
  <c r="F69" i="30"/>
  <c r="E69" i="30"/>
  <c r="D69" i="30"/>
  <c r="C69" i="30"/>
  <c r="I68" i="30"/>
  <c r="I67" i="30"/>
  <c r="H66" i="30"/>
  <c r="G66" i="30"/>
  <c r="F66" i="30"/>
  <c r="E66" i="30"/>
  <c r="D66" i="30"/>
  <c r="C66" i="30"/>
  <c r="H65" i="30"/>
  <c r="G65" i="30"/>
  <c r="F65" i="30"/>
  <c r="E65" i="30"/>
  <c r="D65" i="30"/>
  <c r="C65" i="30"/>
  <c r="H64" i="30"/>
  <c r="G64" i="30"/>
  <c r="F64" i="30"/>
  <c r="E64" i="30"/>
  <c r="D64" i="30"/>
  <c r="C64" i="30"/>
  <c r="H63" i="30"/>
  <c r="G63" i="30"/>
  <c r="F63" i="30"/>
  <c r="E63" i="30"/>
  <c r="D63" i="30"/>
  <c r="C63" i="30"/>
  <c r="H62" i="30"/>
  <c r="G62" i="30"/>
  <c r="F62" i="30"/>
  <c r="E62" i="30"/>
  <c r="D62" i="30"/>
  <c r="C62" i="30"/>
  <c r="I61" i="30"/>
  <c r="H60" i="30"/>
  <c r="G60" i="30"/>
  <c r="F60" i="30"/>
  <c r="E60" i="30"/>
  <c r="D60" i="30"/>
  <c r="C60" i="30"/>
  <c r="H59" i="30"/>
  <c r="G59" i="30"/>
  <c r="F59" i="30"/>
  <c r="E59" i="30"/>
  <c r="D59" i="30"/>
  <c r="C59" i="30"/>
  <c r="H58" i="30"/>
  <c r="G58" i="30"/>
  <c r="F58" i="30"/>
  <c r="E58" i="30"/>
  <c r="D58" i="30"/>
  <c r="C58" i="30"/>
  <c r="H57" i="30"/>
  <c r="G57" i="30"/>
  <c r="F57" i="30"/>
  <c r="E57" i="30"/>
  <c r="D57" i="30"/>
  <c r="C57" i="30"/>
  <c r="H56" i="30"/>
  <c r="G56" i="30"/>
  <c r="F56" i="30"/>
  <c r="E56" i="30"/>
  <c r="D56" i="30"/>
  <c r="C56" i="30"/>
  <c r="H55" i="30"/>
  <c r="G55" i="30"/>
  <c r="F55" i="30"/>
  <c r="E55" i="30"/>
  <c r="D55" i="30"/>
  <c r="C55" i="30"/>
  <c r="H54" i="30"/>
  <c r="G54" i="30"/>
  <c r="F54" i="30"/>
  <c r="E54" i="30"/>
  <c r="D54" i="30"/>
  <c r="C54" i="30"/>
  <c r="H53" i="30"/>
  <c r="G53" i="30"/>
  <c r="F53" i="30"/>
  <c r="E53" i="30"/>
  <c r="D53" i="30"/>
  <c r="C53" i="30"/>
  <c r="H52" i="30"/>
  <c r="G52" i="30"/>
  <c r="F52" i="30"/>
  <c r="E52" i="30"/>
  <c r="D52" i="30"/>
  <c r="C52" i="30"/>
  <c r="H51" i="30"/>
  <c r="G51" i="30"/>
  <c r="F51" i="30"/>
  <c r="E51" i="30"/>
  <c r="D51" i="30"/>
  <c r="C51" i="30"/>
  <c r="H50" i="30"/>
  <c r="G50" i="30"/>
  <c r="F50" i="30"/>
  <c r="E50" i="30"/>
  <c r="D50" i="30"/>
  <c r="C50" i="30"/>
  <c r="H49" i="30"/>
  <c r="G49" i="30"/>
  <c r="F49" i="30"/>
  <c r="E49" i="30"/>
  <c r="D49" i="30"/>
  <c r="C49" i="30"/>
  <c r="H48" i="30"/>
  <c r="G48" i="30"/>
  <c r="F48" i="30"/>
  <c r="E48" i="30"/>
  <c r="D48" i="30"/>
  <c r="C48" i="30"/>
  <c r="H47" i="30"/>
  <c r="G47" i="30"/>
  <c r="F47" i="30"/>
  <c r="E47" i="30"/>
  <c r="D47" i="30"/>
  <c r="C47" i="30"/>
  <c r="H46" i="30"/>
  <c r="G46" i="30"/>
  <c r="F46" i="30"/>
  <c r="E46" i="30"/>
  <c r="D46" i="30"/>
  <c r="C46" i="30"/>
  <c r="H45" i="30"/>
  <c r="G45" i="30"/>
  <c r="F45" i="30"/>
  <c r="E45" i="30"/>
  <c r="D45" i="30"/>
  <c r="C45" i="30"/>
  <c r="H44" i="30"/>
  <c r="G44" i="30"/>
  <c r="F44" i="30"/>
  <c r="E44" i="30"/>
  <c r="D44" i="30"/>
  <c r="C44" i="30"/>
  <c r="H43" i="30"/>
  <c r="G43" i="30"/>
  <c r="F43" i="30"/>
  <c r="E43" i="30"/>
  <c r="D43" i="30"/>
  <c r="C43" i="30"/>
  <c r="C42" i="30"/>
  <c r="I42" i="30" s="1"/>
  <c r="H41" i="30"/>
  <c r="G41" i="30"/>
  <c r="F41" i="30"/>
  <c r="E41" i="30"/>
  <c r="D41" i="30"/>
  <c r="C41" i="30"/>
  <c r="H40" i="30"/>
  <c r="G40" i="30"/>
  <c r="F40" i="30"/>
  <c r="E40" i="30"/>
  <c r="D40" i="30"/>
  <c r="C40" i="30"/>
  <c r="H39" i="30"/>
  <c r="G39" i="30"/>
  <c r="F39" i="30"/>
  <c r="E39" i="30"/>
  <c r="D39" i="30"/>
  <c r="C39" i="30"/>
  <c r="H38" i="30"/>
  <c r="G38" i="30"/>
  <c r="F38" i="30"/>
  <c r="E38" i="30"/>
  <c r="D38" i="30"/>
  <c r="C38" i="30"/>
  <c r="I37" i="30"/>
  <c r="I36" i="30"/>
  <c r="K36" i="30" s="1"/>
  <c r="G35" i="30"/>
  <c r="D35" i="30"/>
  <c r="I34" i="30"/>
  <c r="I33" i="30"/>
  <c r="I32" i="30"/>
  <c r="I31" i="30"/>
  <c r="H30" i="30"/>
  <c r="G30" i="30"/>
  <c r="F30" i="30"/>
  <c r="E30" i="30"/>
  <c r="D30" i="30"/>
  <c r="C30" i="30"/>
  <c r="I29" i="30"/>
  <c r="I28" i="30"/>
  <c r="H27" i="30"/>
  <c r="G27" i="30"/>
  <c r="F27" i="30"/>
  <c r="E27" i="30"/>
  <c r="D27" i="30"/>
  <c r="C27" i="30"/>
  <c r="H26" i="30"/>
  <c r="G26" i="30"/>
  <c r="F26" i="30"/>
  <c r="E26" i="30"/>
  <c r="D26" i="30"/>
  <c r="C26" i="30"/>
  <c r="I25" i="30"/>
  <c r="H24" i="30"/>
  <c r="G24" i="30"/>
  <c r="F24" i="30"/>
  <c r="E24" i="30"/>
  <c r="D24" i="30"/>
  <c r="C24" i="30"/>
  <c r="H23" i="30"/>
  <c r="G23" i="30"/>
  <c r="F23" i="30"/>
  <c r="E23" i="30"/>
  <c r="D23" i="30"/>
  <c r="C23" i="30"/>
  <c r="H22" i="30"/>
  <c r="G22" i="30"/>
  <c r="F22" i="30"/>
  <c r="E22" i="30"/>
  <c r="D22" i="30"/>
  <c r="C22" i="30"/>
  <c r="H21" i="30"/>
  <c r="G21" i="30"/>
  <c r="F21" i="30"/>
  <c r="E21" i="30"/>
  <c r="D21" i="30"/>
  <c r="C21" i="30"/>
  <c r="H20" i="30"/>
  <c r="G20" i="30"/>
  <c r="F20" i="30"/>
  <c r="E20" i="30"/>
  <c r="D20" i="30"/>
  <c r="C20" i="30"/>
  <c r="H19" i="30"/>
  <c r="G19" i="30"/>
  <c r="F19" i="30"/>
  <c r="E19" i="30"/>
  <c r="D19" i="30"/>
  <c r="C19" i="30"/>
  <c r="H18" i="30"/>
  <c r="G18" i="30"/>
  <c r="F18" i="30"/>
  <c r="E18" i="30"/>
  <c r="D18" i="30"/>
  <c r="C18" i="30"/>
  <c r="H17" i="30"/>
  <c r="G17" i="30"/>
  <c r="F17" i="30"/>
  <c r="E17" i="30"/>
  <c r="D17" i="30"/>
  <c r="C17" i="30"/>
  <c r="H16" i="30"/>
  <c r="G16" i="30"/>
  <c r="F16" i="30"/>
  <c r="E16" i="30"/>
  <c r="D16" i="30"/>
  <c r="C16" i="30"/>
  <c r="H15" i="30"/>
  <c r="G15" i="30"/>
  <c r="F15" i="30"/>
  <c r="E15" i="30"/>
  <c r="D15" i="30"/>
  <c r="C15" i="30"/>
  <c r="I14" i="30"/>
  <c r="I13" i="30"/>
  <c r="I12" i="30"/>
  <c r="I11" i="30"/>
  <c r="I10" i="30"/>
  <c r="I9" i="30"/>
  <c r="I8" i="30"/>
  <c r="I7" i="30"/>
  <c r="I6" i="30"/>
  <c r="I5" i="30"/>
  <c r="A32" i="26"/>
  <c r="F10" i="35"/>
  <c r="E10" i="35"/>
  <c r="D10" i="35"/>
  <c r="C10" i="35"/>
  <c r="F9" i="35"/>
  <c r="D9" i="35"/>
  <c r="C9" i="35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L87" i="32"/>
  <c r="F87" i="32"/>
  <c r="P86" i="32"/>
  <c r="L86" i="32"/>
  <c r="J86" i="32"/>
  <c r="H86" i="32"/>
  <c r="F86" i="32"/>
  <c r="D86" i="32"/>
  <c r="P85" i="32"/>
  <c r="L85" i="32"/>
  <c r="F85" i="32"/>
  <c r="D85" i="32"/>
  <c r="P84" i="32"/>
  <c r="N84" i="32"/>
  <c r="L84" i="32"/>
  <c r="H84" i="32"/>
  <c r="F84" i="32"/>
  <c r="D84" i="32"/>
  <c r="P83" i="32"/>
  <c r="N83" i="32"/>
  <c r="L83" i="32"/>
  <c r="J83" i="32"/>
  <c r="H83" i="32"/>
  <c r="F83" i="32"/>
  <c r="D83" i="32"/>
  <c r="P82" i="32"/>
  <c r="N82" i="32"/>
  <c r="L82" i="32"/>
  <c r="J82" i="32"/>
  <c r="H82" i="32"/>
  <c r="F82" i="32"/>
  <c r="D82" i="32"/>
  <c r="P81" i="32"/>
  <c r="P97" i="32" s="1"/>
  <c r="N81" i="32"/>
  <c r="N97" i="32" s="1"/>
  <c r="L81" i="32"/>
  <c r="L97" i="32" s="1"/>
  <c r="J81" i="32"/>
  <c r="J97" i="32" s="1"/>
  <c r="H81" i="32"/>
  <c r="H97" i="32" s="1"/>
  <c r="F81" i="32"/>
  <c r="F97" i="32" s="1"/>
  <c r="D81" i="32"/>
  <c r="D97" i="32" s="1"/>
  <c r="P80" i="32"/>
  <c r="N80" i="32"/>
  <c r="L80" i="32"/>
  <c r="J80" i="32"/>
  <c r="H80" i="32"/>
  <c r="F80" i="32"/>
  <c r="D80" i="32"/>
  <c r="P79" i="32"/>
  <c r="N79" i="32"/>
  <c r="L79" i="32"/>
  <c r="J79" i="32"/>
  <c r="H79" i="32"/>
  <c r="F79" i="32"/>
  <c r="D79" i="32"/>
  <c r="P78" i="32"/>
  <c r="N78" i="32"/>
  <c r="L78" i="32"/>
  <c r="J78" i="32"/>
  <c r="H78" i="32"/>
  <c r="F78" i="32"/>
  <c r="D78" i="32"/>
  <c r="P77" i="32"/>
  <c r="N77" i="32"/>
  <c r="L77" i="32"/>
  <c r="J77" i="32"/>
  <c r="H77" i="32"/>
  <c r="F77" i="32"/>
  <c r="D77" i="32"/>
  <c r="P76" i="32"/>
  <c r="N76" i="32"/>
  <c r="L76" i="32"/>
  <c r="J76" i="32"/>
  <c r="H76" i="32"/>
  <c r="F76" i="32"/>
  <c r="D76" i="32"/>
  <c r="P74" i="32"/>
  <c r="N74" i="32"/>
  <c r="L74" i="32"/>
  <c r="J74" i="32"/>
  <c r="H74" i="32"/>
  <c r="F74" i="32"/>
  <c r="D74" i="32"/>
  <c r="P73" i="32"/>
  <c r="N73" i="32"/>
  <c r="L73" i="32"/>
  <c r="J73" i="32"/>
  <c r="H73" i="32"/>
  <c r="F73" i="32"/>
  <c r="D73" i="32"/>
  <c r="P72" i="32"/>
  <c r="N72" i="32"/>
  <c r="L72" i="32"/>
  <c r="J72" i="32"/>
  <c r="H72" i="32"/>
  <c r="F72" i="32"/>
  <c r="D72" i="32"/>
  <c r="P71" i="32"/>
  <c r="N71" i="32"/>
  <c r="L71" i="32"/>
  <c r="J71" i="32"/>
  <c r="H71" i="32"/>
  <c r="F71" i="32"/>
  <c r="D71" i="32"/>
  <c r="N70" i="32"/>
  <c r="L70" i="32"/>
  <c r="J70" i="32"/>
  <c r="H70" i="32"/>
  <c r="F70" i="32"/>
  <c r="D70" i="32"/>
  <c r="D69" i="32"/>
  <c r="R69" i="32" s="1"/>
  <c r="P68" i="32"/>
  <c r="N68" i="32"/>
  <c r="L68" i="32"/>
  <c r="J68" i="32"/>
  <c r="H68" i="32"/>
  <c r="F68" i="32"/>
  <c r="D68" i="32"/>
  <c r="P67" i="32"/>
  <c r="N67" i="32"/>
  <c r="L67" i="32"/>
  <c r="J67" i="32"/>
  <c r="H67" i="32"/>
  <c r="F67" i="32"/>
  <c r="D67" i="32"/>
  <c r="P66" i="32"/>
  <c r="N66" i="32"/>
  <c r="L66" i="32"/>
  <c r="J66" i="32"/>
  <c r="H66" i="32"/>
  <c r="F66" i="32"/>
  <c r="D66" i="32"/>
  <c r="P65" i="32"/>
  <c r="N65" i="32"/>
  <c r="L65" i="32"/>
  <c r="J65" i="32"/>
  <c r="H65" i="32"/>
  <c r="F65" i="32"/>
  <c r="D65" i="32"/>
  <c r="U64" i="32"/>
  <c r="P64" i="32"/>
  <c r="N64" i="32"/>
  <c r="L64" i="32"/>
  <c r="J64" i="32"/>
  <c r="H64" i="32"/>
  <c r="F64" i="32"/>
  <c r="D64" i="32"/>
  <c r="P63" i="32"/>
  <c r="N63" i="32"/>
  <c r="L63" i="32"/>
  <c r="J63" i="32"/>
  <c r="H63" i="32"/>
  <c r="F63" i="32"/>
  <c r="D63" i="32"/>
  <c r="P62" i="32"/>
  <c r="N62" i="32"/>
  <c r="L62" i="32"/>
  <c r="J62" i="32"/>
  <c r="H62" i="32"/>
  <c r="F62" i="32"/>
  <c r="D62" i="32"/>
  <c r="P61" i="32"/>
  <c r="N61" i="32"/>
  <c r="L61" i="32"/>
  <c r="J61" i="32"/>
  <c r="H61" i="32"/>
  <c r="F61" i="32"/>
  <c r="D61" i="32"/>
  <c r="P60" i="32"/>
  <c r="N60" i="32"/>
  <c r="L60" i="32"/>
  <c r="J60" i="32"/>
  <c r="H60" i="32"/>
  <c r="F60" i="32"/>
  <c r="D60" i="32"/>
  <c r="P59" i="32"/>
  <c r="N59" i="32"/>
  <c r="L59" i="32"/>
  <c r="J59" i="32"/>
  <c r="H59" i="32"/>
  <c r="F59" i="32"/>
  <c r="D59" i="32"/>
  <c r="P58" i="32"/>
  <c r="N58" i="32"/>
  <c r="L58" i="32"/>
  <c r="J58" i="32"/>
  <c r="H58" i="32"/>
  <c r="F58" i="32"/>
  <c r="D58" i="32"/>
  <c r="P57" i="32"/>
  <c r="N57" i="32"/>
  <c r="L57" i="32"/>
  <c r="J57" i="32"/>
  <c r="H57" i="32"/>
  <c r="F57" i="32"/>
  <c r="D57" i="32"/>
  <c r="P56" i="32"/>
  <c r="N56" i="32"/>
  <c r="L56" i="32"/>
  <c r="J56" i="32"/>
  <c r="H56" i="32"/>
  <c r="F56" i="32"/>
  <c r="D56" i="32"/>
  <c r="P55" i="32"/>
  <c r="N55" i="32"/>
  <c r="L55" i="32"/>
  <c r="J55" i="32"/>
  <c r="H55" i="32"/>
  <c r="F55" i="32"/>
  <c r="D55" i="32"/>
  <c r="P54" i="32"/>
  <c r="N54" i="32"/>
  <c r="L54" i="32"/>
  <c r="J54" i="32"/>
  <c r="H54" i="32"/>
  <c r="F54" i="32"/>
  <c r="D54" i="32"/>
  <c r="P53" i="32"/>
  <c r="N53" i="32"/>
  <c r="L53" i="32"/>
  <c r="J53" i="32"/>
  <c r="H53" i="32"/>
  <c r="F53" i="32"/>
  <c r="D53" i="32"/>
  <c r="P52" i="32"/>
  <c r="N52" i="32"/>
  <c r="L52" i="32"/>
  <c r="J52" i="32"/>
  <c r="H52" i="32"/>
  <c r="F52" i="32"/>
  <c r="D52" i="32"/>
  <c r="P51" i="32"/>
  <c r="N51" i="32"/>
  <c r="L51" i="32"/>
  <c r="J51" i="32"/>
  <c r="H51" i="32"/>
  <c r="F51" i="32"/>
  <c r="D51" i="32"/>
  <c r="P50" i="32"/>
  <c r="N50" i="32"/>
  <c r="L50" i="32"/>
  <c r="J50" i="32"/>
  <c r="H50" i="32"/>
  <c r="F50" i="32"/>
  <c r="D50" i="32"/>
  <c r="P49" i="32"/>
  <c r="N49" i="32"/>
  <c r="L49" i="32"/>
  <c r="J49" i="32"/>
  <c r="H49" i="32"/>
  <c r="F49" i="32"/>
  <c r="D49" i="32"/>
  <c r="P48" i="32"/>
  <c r="N48" i="32"/>
  <c r="L48" i="32"/>
  <c r="J48" i="32"/>
  <c r="H48" i="32"/>
  <c r="F48" i="32"/>
  <c r="D48" i="32"/>
  <c r="P47" i="32"/>
  <c r="N47" i="32"/>
  <c r="L47" i="32"/>
  <c r="J47" i="32"/>
  <c r="H47" i="32"/>
  <c r="F47" i="32"/>
  <c r="D47" i="32"/>
  <c r="P46" i="32"/>
  <c r="N46" i="32"/>
  <c r="L46" i="32"/>
  <c r="J46" i="32"/>
  <c r="H46" i="32"/>
  <c r="F46" i="32"/>
  <c r="D46" i="32"/>
  <c r="P45" i="32"/>
  <c r="N45" i="32"/>
  <c r="L45" i="32"/>
  <c r="J45" i="32"/>
  <c r="H45" i="32"/>
  <c r="F45" i="32"/>
  <c r="D45" i="32"/>
  <c r="P44" i="32"/>
  <c r="N44" i="32"/>
  <c r="L44" i="32"/>
  <c r="J44" i="32"/>
  <c r="H44" i="32"/>
  <c r="F44" i="32"/>
  <c r="D44" i="32"/>
  <c r="P43" i="32"/>
  <c r="N43" i="32"/>
  <c r="L43" i="32"/>
  <c r="J43" i="32"/>
  <c r="H43" i="32"/>
  <c r="F43" i="32"/>
  <c r="D43" i="32"/>
  <c r="P42" i="32"/>
  <c r="N42" i="32"/>
  <c r="L42" i="32"/>
  <c r="J42" i="32"/>
  <c r="H42" i="32"/>
  <c r="F42" i="32"/>
  <c r="D42" i="32"/>
  <c r="P39" i="32"/>
  <c r="N39" i="32"/>
  <c r="L39" i="32"/>
  <c r="J39" i="32"/>
  <c r="H39" i="32"/>
  <c r="F39" i="32"/>
  <c r="D39" i="32"/>
  <c r="P38" i="32"/>
  <c r="N38" i="32"/>
  <c r="L38" i="32"/>
  <c r="J38" i="32"/>
  <c r="H38" i="32"/>
  <c r="F38" i="32"/>
  <c r="D38" i="32"/>
  <c r="P37" i="32"/>
  <c r="N37" i="32"/>
  <c r="L37" i="32"/>
  <c r="J37" i="32"/>
  <c r="H37" i="32"/>
  <c r="F37" i="32"/>
  <c r="D37" i="32"/>
  <c r="P36" i="32"/>
  <c r="N36" i="32"/>
  <c r="L36" i="32"/>
  <c r="J36" i="32"/>
  <c r="H36" i="32"/>
  <c r="F36" i="32"/>
  <c r="D36" i="32"/>
  <c r="P35" i="32"/>
  <c r="N35" i="32"/>
  <c r="L35" i="32"/>
  <c r="J35" i="32"/>
  <c r="H35" i="32"/>
  <c r="F35" i="32"/>
  <c r="D35" i="32"/>
  <c r="P34" i="32"/>
  <c r="N34" i="32"/>
  <c r="L34" i="32"/>
  <c r="J34" i="32"/>
  <c r="H34" i="32"/>
  <c r="F34" i="32"/>
  <c r="D34" i="32"/>
  <c r="P33" i="32"/>
  <c r="N33" i="32"/>
  <c r="L33" i="32"/>
  <c r="J33" i="32"/>
  <c r="H33" i="32"/>
  <c r="F33" i="32"/>
  <c r="D33" i="32"/>
  <c r="P32" i="32"/>
  <c r="N32" i="32"/>
  <c r="L32" i="32"/>
  <c r="J32" i="32"/>
  <c r="H32" i="32"/>
  <c r="F32" i="32"/>
  <c r="D32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P27" i="32"/>
  <c r="N27" i="32"/>
  <c r="L27" i="32"/>
  <c r="J27" i="32"/>
  <c r="H27" i="32"/>
  <c r="F27" i="32"/>
  <c r="D27" i="32"/>
  <c r="P26" i="32"/>
  <c r="N26" i="32"/>
  <c r="L26" i="32"/>
  <c r="J26" i="32"/>
  <c r="H26" i="32"/>
  <c r="F26" i="32"/>
  <c r="D26" i="32"/>
  <c r="P25" i="32"/>
  <c r="N25" i="32"/>
  <c r="L25" i="32"/>
  <c r="J25" i="32"/>
  <c r="H25" i="32"/>
  <c r="F25" i="32"/>
  <c r="D25" i="32"/>
  <c r="N24" i="32"/>
  <c r="J24" i="32"/>
  <c r="F24" i="32"/>
  <c r="P23" i="32"/>
  <c r="N23" i="32"/>
  <c r="L23" i="32"/>
  <c r="J23" i="32"/>
  <c r="H23" i="32"/>
  <c r="F23" i="32"/>
  <c r="D23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G138" i="21"/>
  <c r="E138" i="21"/>
  <c r="G137" i="21"/>
  <c r="E137" i="21"/>
  <c r="I136" i="21"/>
  <c r="G136" i="21"/>
  <c r="E136" i="21"/>
  <c r="G135" i="21"/>
  <c r="E135" i="21"/>
  <c r="I134" i="21"/>
  <c r="G134" i="21"/>
  <c r="E134" i="21"/>
  <c r="I133" i="21"/>
  <c r="G133" i="21"/>
  <c r="E133" i="21"/>
  <c r="I132" i="21"/>
  <c r="G132" i="21"/>
  <c r="E132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I112" i="21"/>
  <c r="G112" i="21"/>
  <c r="E112" i="21"/>
  <c r="G111" i="21"/>
  <c r="E111" i="21"/>
  <c r="G110" i="21"/>
  <c r="E110" i="21"/>
  <c r="G109" i="21"/>
  <c r="E109" i="21"/>
  <c r="G108" i="21"/>
  <c r="E108" i="21"/>
  <c r="G107" i="21"/>
  <c r="E107" i="21"/>
  <c r="G106" i="21"/>
  <c r="E106" i="21"/>
  <c r="G105" i="21"/>
  <c r="E105" i="21"/>
  <c r="G104" i="21"/>
  <c r="E104" i="21"/>
  <c r="G103" i="21"/>
  <c r="E103" i="21"/>
  <c r="G102" i="21"/>
  <c r="E102" i="21"/>
  <c r="N101" i="21"/>
  <c r="G101" i="21"/>
  <c r="E101" i="21"/>
  <c r="N100" i="21"/>
  <c r="N112" i="21" s="1"/>
  <c r="N124" i="21" s="1"/>
  <c r="G100" i="21"/>
  <c r="E100" i="21"/>
  <c r="G99" i="21"/>
  <c r="E99" i="21"/>
  <c r="G98" i="21"/>
  <c r="E98" i="21"/>
  <c r="G97" i="21"/>
  <c r="E97" i="21"/>
  <c r="G96" i="21"/>
  <c r="E96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G74" i="21"/>
  <c r="E74" i="21"/>
  <c r="G73" i="21"/>
  <c r="E73" i="21"/>
  <c r="G72" i="21"/>
  <c r="E72" i="21"/>
  <c r="G71" i="21"/>
  <c r="E71" i="21"/>
  <c r="G70" i="21"/>
  <c r="E70" i="21"/>
  <c r="G69" i="21"/>
  <c r="E69" i="21"/>
  <c r="G68" i="21"/>
  <c r="E68" i="21"/>
  <c r="G67" i="21"/>
  <c r="E67" i="21"/>
  <c r="G66" i="21"/>
  <c r="E66" i="21"/>
  <c r="G65" i="21"/>
  <c r="E65" i="21"/>
  <c r="G64" i="21"/>
  <c r="E64" i="21"/>
  <c r="G63" i="21"/>
  <c r="E63" i="21"/>
  <c r="G62" i="21"/>
  <c r="E62" i="21"/>
  <c r="G61" i="21"/>
  <c r="E61" i="21"/>
  <c r="G60" i="21"/>
  <c r="E60" i="21"/>
  <c r="G59" i="21"/>
  <c r="E59" i="21"/>
  <c r="G58" i="21"/>
  <c r="E58" i="21"/>
  <c r="G57" i="21"/>
  <c r="E57" i="21"/>
  <c r="G56" i="21"/>
  <c r="E56" i="21"/>
  <c r="G55" i="21"/>
  <c r="E55" i="21"/>
  <c r="G54" i="21"/>
  <c r="E54" i="21"/>
  <c r="G53" i="21"/>
  <c r="E53" i="21"/>
  <c r="G52" i="21"/>
  <c r="E52" i="21"/>
  <c r="G51" i="21"/>
  <c r="E51" i="21"/>
  <c r="G50" i="21"/>
  <c r="E50" i="21"/>
  <c r="G49" i="21"/>
  <c r="E49" i="21"/>
  <c r="G48" i="21"/>
  <c r="E48" i="21"/>
  <c r="G47" i="21"/>
  <c r="E47" i="21"/>
  <c r="G46" i="21"/>
  <c r="E46" i="21"/>
  <c r="G45" i="21"/>
  <c r="E45" i="21"/>
  <c r="G44" i="21"/>
  <c r="E44" i="21"/>
  <c r="G43" i="21"/>
  <c r="E43" i="21"/>
  <c r="G42" i="21"/>
  <c r="E42" i="21"/>
  <c r="G41" i="21"/>
  <c r="E41" i="21"/>
  <c r="G40" i="21"/>
  <c r="E40" i="21"/>
  <c r="G39" i="21"/>
  <c r="E39" i="21"/>
  <c r="G38" i="21"/>
  <c r="E38" i="21"/>
  <c r="G37" i="21"/>
  <c r="E37" i="21"/>
  <c r="G36" i="21"/>
  <c r="E36" i="21"/>
  <c r="G35" i="21"/>
  <c r="E35" i="21"/>
  <c r="G34" i="21"/>
  <c r="E34" i="21"/>
  <c r="G33" i="21"/>
  <c r="E33" i="21"/>
  <c r="G32" i="21"/>
  <c r="E32" i="21"/>
  <c r="G31" i="21"/>
  <c r="E31" i="21"/>
  <c r="G30" i="21"/>
  <c r="E30" i="21"/>
  <c r="G29" i="21"/>
  <c r="E29" i="21"/>
  <c r="G28" i="21"/>
  <c r="E28" i="21"/>
  <c r="G27" i="21"/>
  <c r="E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7" i="21"/>
  <c r="E17" i="21"/>
  <c r="G16" i="21"/>
  <c r="E16" i="21"/>
  <c r="G15" i="21"/>
  <c r="E15" i="21"/>
  <c r="G14" i="21"/>
  <c r="E14" i="21"/>
  <c r="I13" i="21"/>
  <c r="I12" i="21"/>
  <c r="I11" i="21"/>
  <c r="I10" i="21"/>
  <c r="I9" i="21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F148" i="24"/>
  <c r="D148" i="24"/>
  <c r="F147" i="24"/>
  <c r="D147" i="24"/>
  <c r="H146" i="24"/>
  <c r="F146" i="24"/>
  <c r="D146" i="24"/>
  <c r="F145" i="24"/>
  <c r="D145" i="24"/>
  <c r="H144" i="24"/>
  <c r="F144" i="24"/>
  <c r="D144" i="24"/>
  <c r="H143" i="24"/>
  <c r="F143" i="24"/>
  <c r="D143" i="24"/>
  <c r="H142" i="24"/>
  <c r="F142" i="24"/>
  <c r="D142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F121" i="24"/>
  <c r="D121" i="24"/>
  <c r="F120" i="24"/>
  <c r="D120" i="24"/>
  <c r="F119" i="24"/>
  <c r="D119" i="24"/>
  <c r="F118" i="24"/>
  <c r="D118" i="24"/>
  <c r="F117" i="24"/>
  <c r="D117" i="24"/>
  <c r="F116" i="24"/>
  <c r="D116" i="24"/>
  <c r="F115" i="24"/>
  <c r="D115" i="24"/>
  <c r="F114" i="24"/>
  <c r="D114" i="24"/>
  <c r="F113" i="24"/>
  <c r="D113" i="24"/>
  <c r="F112" i="24"/>
  <c r="D112" i="24"/>
  <c r="M111" i="24"/>
  <c r="F111" i="24"/>
  <c r="D111" i="24"/>
  <c r="M110" i="24"/>
  <c r="F110" i="24"/>
  <c r="D110" i="24"/>
  <c r="F109" i="24"/>
  <c r="D109" i="24"/>
  <c r="F108" i="24"/>
  <c r="D108" i="24"/>
  <c r="F107" i="24"/>
  <c r="D107" i="24"/>
  <c r="F106" i="24"/>
  <c r="D106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F84" i="24"/>
  <c r="D84" i="24"/>
  <c r="F83" i="24"/>
  <c r="D83" i="24"/>
  <c r="F82" i="24"/>
  <c r="D82" i="24"/>
  <c r="F81" i="24"/>
  <c r="D81" i="24"/>
  <c r="F80" i="24"/>
  <c r="D80" i="24"/>
  <c r="F79" i="24"/>
  <c r="D79" i="24"/>
  <c r="F78" i="24"/>
  <c r="D78" i="24"/>
  <c r="F77" i="24"/>
  <c r="D77" i="24"/>
  <c r="F76" i="24"/>
  <c r="D76" i="24"/>
  <c r="F75" i="24"/>
  <c r="D75" i="24"/>
  <c r="F74" i="24"/>
  <c r="D74" i="24"/>
  <c r="F73" i="24"/>
  <c r="D73" i="24"/>
  <c r="F72" i="24"/>
  <c r="D72" i="24"/>
  <c r="F71" i="24"/>
  <c r="D71" i="24"/>
  <c r="F70" i="24"/>
  <c r="D70" i="24"/>
  <c r="F69" i="24"/>
  <c r="D69" i="24"/>
  <c r="F68" i="24"/>
  <c r="D68" i="24"/>
  <c r="F67" i="24"/>
  <c r="D67" i="24"/>
  <c r="F66" i="24"/>
  <c r="D66" i="24"/>
  <c r="F65" i="24"/>
  <c r="D65" i="24"/>
  <c r="F64" i="24"/>
  <c r="D64" i="24"/>
  <c r="F63" i="24"/>
  <c r="D63" i="24"/>
  <c r="F62" i="24"/>
  <c r="D62" i="24"/>
  <c r="F61" i="24"/>
  <c r="D61" i="24"/>
  <c r="F60" i="24"/>
  <c r="D60" i="24"/>
  <c r="F59" i="24"/>
  <c r="D59" i="24"/>
  <c r="F58" i="24"/>
  <c r="D58" i="24"/>
  <c r="F57" i="24"/>
  <c r="D57" i="24"/>
  <c r="F56" i="24"/>
  <c r="D56" i="24"/>
  <c r="F55" i="24"/>
  <c r="D55" i="24"/>
  <c r="F54" i="24"/>
  <c r="D54" i="24"/>
  <c r="F53" i="24"/>
  <c r="D53" i="24"/>
  <c r="F52" i="24"/>
  <c r="D52" i="24"/>
  <c r="F51" i="24"/>
  <c r="D51" i="24"/>
  <c r="F50" i="24"/>
  <c r="D50" i="24"/>
  <c r="F49" i="24"/>
  <c r="D49" i="24"/>
  <c r="F48" i="24"/>
  <c r="D48" i="24"/>
  <c r="F47" i="24"/>
  <c r="D47" i="24"/>
  <c r="F46" i="24"/>
  <c r="D46" i="24"/>
  <c r="F45" i="24"/>
  <c r="D45" i="24"/>
  <c r="F44" i="24"/>
  <c r="D44" i="24"/>
  <c r="F43" i="24"/>
  <c r="D43" i="24"/>
  <c r="F42" i="24"/>
  <c r="D42" i="24"/>
  <c r="F41" i="24"/>
  <c r="D41" i="24"/>
  <c r="F40" i="24"/>
  <c r="D40" i="24"/>
  <c r="F39" i="24"/>
  <c r="D39" i="24"/>
  <c r="F38" i="24"/>
  <c r="D38" i="24"/>
  <c r="F37" i="24"/>
  <c r="D37" i="24"/>
  <c r="F36" i="24"/>
  <c r="D36" i="24"/>
  <c r="F35" i="24"/>
  <c r="D35" i="24"/>
  <c r="F34" i="24"/>
  <c r="D34" i="24"/>
  <c r="F33" i="24"/>
  <c r="D33" i="24"/>
  <c r="F32" i="24"/>
  <c r="D32" i="24"/>
  <c r="F31" i="24"/>
  <c r="D31" i="24"/>
  <c r="F30" i="24"/>
  <c r="D30" i="24"/>
  <c r="F29" i="24"/>
  <c r="D29" i="24"/>
  <c r="F28" i="24"/>
  <c r="D28" i="24"/>
  <c r="F27" i="24"/>
  <c r="D27" i="24"/>
  <c r="F26" i="24"/>
  <c r="D26" i="24"/>
  <c r="F25" i="24"/>
  <c r="D25" i="24"/>
  <c r="D24" i="24"/>
  <c r="H23" i="24"/>
  <c r="H22" i="24"/>
  <c r="H21" i="24"/>
  <c r="H20" i="24"/>
  <c r="H19" i="24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54" i="20"/>
  <c r="E54" i="20"/>
  <c r="F53" i="20"/>
  <c r="E53" i="20"/>
  <c r="F52" i="20"/>
  <c r="E52" i="20"/>
  <c r="F51" i="20"/>
  <c r="E51" i="20"/>
  <c r="F50" i="20"/>
  <c r="E50" i="20"/>
  <c r="F49" i="20"/>
  <c r="E49" i="20"/>
  <c r="F48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E42" i="20"/>
  <c r="F41" i="20"/>
  <c r="E41" i="20"/>
  <c r="F40" i="20"/>
  <c r="E40" i="20"/>
  <c r="F39" i="20"/>
  <c r="E39" i="20"/>
  <c r="F38" i="20"/>
  <c r="E38" i="20"/>
  <c r="F37" i="20"/>
  <c r="E37" i="20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B41" i="26"/>
  <c r="B38" i="26"/>
  <c r="B37" i="26"/>
  <c r="D15" i="35"/>
  <c r="F15" i="35"/>
  <c r="E15" i="35"/>
  <c r="C15" i="35"/>
  <c r="B15" i="35"/>
  <c r="D14" i="35"/>
  <c r="F14" i="35"/>
  <c r="E14" i="35"/>
  <c r="C14" i="35"/>
  <c r="B14" i="35"/>
  <c r="D13" i="35"/>
  <c r="F13" i="35"/>
  <c r="E13" i="35"/>
  <c r="C13" i="35"/>
  <c r="B13" i="35"/>
  <c r="D12" i="35"/>
  <c r="F12" i="35"/>
  <c r="E12" i="35"/>
  <c r="C12" i="35"/>
  <c r="B12" i="35"/>
  <c r="D11" i="35"/>
  <c r="F11" i="35"/>
  <c r="E11" i="35"/>
  <c r="C11" i="35"/>
  <c r="B11" i="35"/>
  <c r="B10" i="35"/>
  <c r="E9" i="35"/>
  <c r="B9" i="35"/>
  <c r="D8" i="35"/>
  <c r="F8" i="35"/>
  <c r="E8" i="35"/>
  <c r="C8" i="35"/>
  <c r="B8" i="35"/>
  <c r="D7" i="35"/>
  <c r="F7" i="35"/>
  <c r="E7" i="35"/>
  <c r="C7" i="35"/>
  <c r="B7" i="35"/>
  <c r="D6" i="35"/>
  <c r="F6" i="35"/>
  <c r="E6" i="35"/>
  <c r="C6" i="35"/>
  <c r="B6" i="35"/>
  <c r="D5" i="35"/>
  <c r="F5" i="35"/>
  <c r="E5" i="35"/>
  <c r="C5" i="35"/>
  <c r="B5" i="35"/>
  <c r="D4" i="35"/>
  <c r="F4" i="35"/>
  <c r="E4" i="35"/>
  <c r="C4" i="35"/>
  <c r="B4" i="35"/>
  <c r="J76" i="30"/>
  <c r="J75" i="3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K19" i="4" l="1"/>
  <c r="F16" i="22"/>
  <c r="G16" i="22" s="1"/>
  <c r="J13" i="4"/>
  <c r="I18" i="4"/>
  <c r="G27" i="20"/>
  <c r="F19" i="22"/>
  <c r="G19" i="22" s="1"/>
  <c r="F23" i="22"/>
  <c r="G23" i="22" s="1"/>
  <c r="F27" i="22"/>
  <c r="G27" i="22" s="1"/>
  <c r="M34" i="4"/>
  <c r="M38" i="4"/>
  <c r="M44" i="4"/>
  <c r="F29" i="23"/>
  <c r="G29" i="23" s="1"/>
  <c r="L13" i="4"/>
  <c r="E13" i="4"/>
  <c r="M45" i="4"/>
  <c r="G24" i="20"/>
  <c r="I24" i="20" s="1"/>
  <c r="G13" i="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H25" i="24"/>
  <c r="J25" i="24" s="1"/>
  <c r="H18" i="20"/>
  <c r="I27" i="20"/>
  <c r="H27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I68" i="21"/>
  <c r="I74" i="21"/>
  <c r="I96" i="21"/>
  <c r="I99" i="21"/>
  <c r="I107" i="21"/>
  <c r="I135" i="21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H36" i="24"/>
  <c r="J36" i="24" s="1"/>
  <c r="I83" i="21"/>
  <c r="G53" i="20"/>
  <c r="I53" i="20" s="1"/>
  <c r="F38" i="22"/>
  <c r="G38" i="22" s="1"/>
  <c r="F47" i="22"/>
  <c r="G47" i="22" s="1"/>
  <c r="F16" i="24"/>
  <c r="G54" i="20"/>
  <c r="H54" i="20" s="1"/>
  <c r="F51" i="23"/>
  <c r="G51" i="23" s="1"/>
  <c r="R87" i="32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F40" i="23"/>
  <c r="G40" i="23" s="1"/>
  <c r="F49" i="23"/>
  <c r="G49" i="23" s="1"/>
  <c r="I131" i="21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H66" i="24"/>
  <c r="H72" i="24"/>
  <c r="H78" i="24"/>
  <c r="H84" i="24"/>
  <c r="P12" i="32"/>
  <c r="D82" i="31"/>
  <c r="J15" i="30"/>
  <c r="J31" i="30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D16" i="24"/>
  <c r="I105" i="21"/>
  <c r="I108" i="21"/>
  <c r="I159" i="21"/>
  <c r="J42" i="30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I38" i="30"/>
  <c r="I39" i="30"/>
  <c r="I40" i="30"/>
  <c r="I41" i="30"/>
  <c r="J11" i="30"/>
  <c r="J38" i="30"/>
  <c r="J48" i="30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J62" i="30"/>
  <c r="J9" i="30"/>
  <c r="J40" i="30"/>
  <c r="J61" i="30"/>
  <c r="L61" i="30" s="1"/>
  <c r="H16" i="20"/>
  <c r="I26" i="20"/>
  <c r="I29" i="20"/>
  <c r="D14" i="24"/>
  <c r="H117" i="24"/>
  <c r="I12" i="34"/>
  <c r="E12" i="34"/>
  <c r="K12" i="34"/>
  <c r="G12" i="34"/>
  <c r="J22" i="30"/>
  <c r="J35" i="30"/>
  <c r="J46" i="30"/>
  <c r="J70" i="30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K15" i="34"/>
  <c r="I15" i="34"/>
  <c r="G15" i="34"/>
  <c r="E15" i="34"/>
  <c r="J21" i="30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J7" i="30"/>
  <c r="J16" i="30"/>
  <c r="J20" i="30"/>
  <c r="J65" i="30"/>
  <c r="D12" i="24"/>
  <c r="R48" i="32"/>
  <c r="D9" i="32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74" i="24"/>
  <c r="F17" i="24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R25" i="32"/>
  <c r="R36" i="32"/>
  <c r="R44" i="32"/>
  <c r="R50" i="32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I78" i="30"/>
  <c r="B27" i="37"/>
  <c r="N83" i="31"/>
  <c r="G10" i="35"/>
  <c r="J6" i="30"/>
  <c r="J17" i="30"/>
  <c r="J37" i="30"/>
  <c r="J39" i="30"/>
  <c r="J68" i="30"/>
  <c r="L68" i="30" s="1"/>
  <c r="J24" i="30"/>
  <c r="J64" i="30"/>
  <c r="J77" i="30"/>
  <c r="J71" i="30"/>
  <c r="K71" i="30" s="1"/>
  <c r="J78" i="30"/>
  <c r="J79" i="30"/>
  <c r="J73" i="30"/>
  <c r="J74" i="30"/>
  <c r="B40" i="26"/>
  <c r="B39" i="26"/>
  <c r="H18" i="24"/>
  <c r="F167" i="24"/>
  <c r="F11" i="24"/>
  <c r="I64" i="21"/>
  <c r="D8" i="24"/>
  <c r="I60" i="21"/>
  <c r="I156" i="21"/>
  <c r="G157" i="21"/>
  <c r="D7" i="32"/>
  <c r="D8" i="32"/>
  <c r="E83" i="30"/>
  <c r="H82" i="31"/>
  <c r="N82" i="31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H10" i="24" l="1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J54" i="30"/>
  <c r="L54" i="30" s="1"/>
  <c r="M20" i="4"/>
  <c r="M19" i="4"/>
  <c r="H46" i="20"/>
  <c r="H38" i="20"/>
  <c r="H35" i="20"/>
  <c r="K48" i="30"/>
  <c r="J23" i="30"/>
  <c r="K23" i="30" s="1"/>
  <c r="J19" i="30"/>
  <c r="K19" i="30" s="1"/>
  <c r="R7" i="32"/>
  <c r="K76" i="30"/>
  <c r="C35" i="26"/>
  <c r="C20" i="26" s="1"/>
  <c r="J25" i="30"/>
  <c r="K25" i="30" s="1"/>
  <c r="J45" i="30"/>
  <c r="L45" i="30" s="1"/>
  <c r="J5" i="30"/>
  <c r="L5" i="30" s="1"/>
  <c r="J12" i="30"/>
  <c r="L12" i="30" s="1"/>
  <c r="K61" i="30"/>
  <c r="J32" i="30"/>
  <c r="K32" i="30" s="1"/>
  <c r="J69" i="30"/>
  <c r="L69" i="30" s="1"/>
  <c r="J26" i="30"/>
  <c r="L26" i="30" s="1"/>
  <c r="L46" i="30"/>
  <c r="D38" i="26"/>
  <c r="J33" i="30"/>
  <c r="K33" i="30" s="1"/>
  <c r="L62" i="30"/>
  <c r="J29" i="30"/>
  <c r="L29" i="30" s="1"/>
  <c r="J27" i="30"/>
  <c r="K27" i="30" s="1"/>
  <c r="J10" i="30"/>
  <c r="L10" i="30" s="1"/>
  <c r="K64" i="30"/>
  <c r="R10" i="32"/>
  <c r="I48" i="20"/>
  <c r="H17" i="24"/>
  <c r="H37" i="20"/>
  <c r="L70" i="30"/>
  <c r="K62" i="30"/>
  <c r="I39" i="2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K75" i="30"/>
  <c r="R12" i="32"/>
  <c r="H8" i="24"/>
  <c r="J51" i="30"/>
  <c r="K51" i="30" s="1"/>
  <c r="J59" i="30"/>
  <c r="K59" i="30" s="1"/>
  <c r="L48" i="30"/>
  <c r="L38" i="30"/>
  <c r="R9" i="32"/>
  <c r="L21" i="30"/>
  <c r="H14" i="24"/>
  <c r="R97" i="32"/>
  <c r="L74" i="30"/>
  <c r="I32" i="20"/>
  <c r="J55" i="30"/>
  <c r="K35" i="30"/>
  <c r="J43" i="30"/>
  <c r="K43" i="30" s="1"/>
  <c r="K40" i="30"/>
  <c r="L40" i="30"/>
  <c r="L39" i="30"/>
  <c r="K39" i="30"/>
  <c r="K46" i="30"/>
  <c r="K38" i="30"/>
  <c r="K21" i="30"/>
  <c r="J30" i="30"/>
  <c r="H11" i="24"/>
  <c r="H34" i="20"/>
  <c r="L22" i="30"/>
  <c r="K70" i="30"/>
  <c r="L73" i="30"/>
  <c r="J58" i="30"/>
  <c r="K58" i="30" s="1"/>
  <c r="K78" i="30"/>
  <c r="L64" i="30"/>
  <c r="H12" i="24"/>
  <c r="K24" i="30"/>
  <c r="L24" i="30"/>
  <c r="L65" i="30"/>
  <c r="C41" i="26"/>
  <c r="C26" i="26" s="1"/>
  <c r="J52" i="30"/>
  <c r="H13" i="24"/>
  <c r="C33" i="26"/>
  <c r="C18" i="26" s="1"/>
  <c r="B18" i="26" s="1"/>
  <c r="D34" i="26"/>
  <c r="D35" i="26"/>
  <c r="K73" i="30"/>
  <c r="J72" i="30"/>
  <c r="L72" i="30" s="1"/>
  <c r="J66" i="30"/>
  <c r="L66" i="30" s="1"/>
  <c r="J18" i="30"/>
  <c r="K22" i="30"/>
  <c r="D37" i="26"/>
  <c r="D33" i="26"/>
  <c r="D42" i="26" s="1"/>
  <c r="K65" i="30"/>
  <c r="K74" i="30"/>
  <c r="K77" i="30"/>
  <c r="K16" i="30"/>
  <c r="L17" i="30"/>
  <c r="K17" i="30"/>
  <c r="C40" i="26"/>
  <c r="C25" i="26" s="1"/>
  <c r="J50" i="30"/>
  <c r="K50" i="3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I28" i="20"/>
  <c r="H28" i="20"/>
  <c r="H42" i="20"/>
  <c r="I42" i="20"/>
  <c r="J14" i="30"/>
  <c r="L14" i="30" s="1"/>
  <c r="I25" i="20"/>
  <c r="H25" i="20"/>
  <c r="I22" i="20"/>
  <c r="H22" i="20"/>
  <c r="C34" i="26"/>
  <c r="C19" i="26" s="1"/>
  <c r="C37" i="26"/>
  <c r="C22" i="26" s="1"/>
  <c r="D39" i="26"/>
  <c r="D40" i="26"/>
  <c r="D36" i="26"/>
  <c r="C39" i="26"/>
  <c r="C24" i="26" s="1"/>
  <c r="C38" i="26"/>
  <c r="C23" i="26" s="1"/>
  <c r="C36" i="26"/>
  <c r="C21" i="26" s="1"/>
  <c r="L79" i="30"/>
  <c r="K68" i="30"/>
  <c r="L78" i="30"/>
  <c r="J63" i="30"/>
  <c r="K63" i="30" s="1"/>
  <c r="L71" i="30"/>
  <c r="L35" i="30"/>
  <c r="J49" i="30"/>
  <c r="J34" i="30"/>
  <c r="K34" i="30" s="1"/>
  <c r="J44" i="30"/>
  <c r="K42" i="30"/>
  <c r="L11" i="30"/>
  <c r="K11" i="30"/>
  <c r="J67" i="30"/>
  <c r="J57" i="30"/>
  <c r="J60" i="30"/>
  <c r="J41" i="30"/>
  <c r="L9" i="30"/>
  <c r="K9" i="30"/>
  <c r="K7" i="30"/>
  <c r="L7" i="30"/>
  <c r="L37" i="30"/>
  <c r="K37" i="30"/>
  <c r="L6" i="30"/>
  <c r="K6" i="30"/>
  <c r="J28" i="30"/>
  <c r="J13" i="30"/>
  <c r="K31" i="30"/>
  <c r="L31" i="3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L34" i="30"/>
  <c r="K53" i="30"/>
  <c r="L53" i="3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<sst xmlns="http://schemas.openxmlformats.org/spreadsheetml/2006/main" count="2836" uniqueCount="343">
  <si>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</si>
  <si>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</si>
  <si>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</si>
  <si>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</si>
  <si>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</si>
  <si>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</si>
  <si>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</si>
  <si>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</si>
  <si>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</si>
  <si>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</si>
  <si>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</si>
  <si>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</si>
  <si>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</si>
  <si>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</si>
  <si>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</si>
  <si>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</si>
  <si>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</si>
  <si>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</si>
  <si>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</si>
  <si>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</si>
  <si>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</si>
  <si>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</si>
  <si>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</si>
  <si>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</si>
  <si>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</si>
  <si>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</si>
  <si>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</si>
  <si>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</si>
  <si>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</si>
  <si>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</si>
  <si>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</si>
  <si>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</si>
  <si>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</si>
  <si>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</si>
  <si>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</si>
  <si>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</si>
  <si>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</si>
  <si>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</si>
  <si>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</si>
  <si>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</si>
  <si>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</si>
  <si>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</si>
  <si>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</si>
  <si>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</si>
  <si>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</si>
  <si>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</si>
  <si>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</si>
  <si>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</si>
  <si>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</si>
  <si>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</si>
  <si>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</si>
  <si>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</si>
  <si>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</si>
  <si>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</si>
  <si>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</si>
  <si>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</si>
  <si>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</si>
  <si>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</si>
  <si>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</si>
  <si>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</si>
  <si>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</si>
  <si>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</si>
  <si>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</si>
  <si>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</si>
  <si>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</si>
  <si>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</si>
  <si>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</si>
  <si>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</si>
  <si>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</si>
  <si>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 Not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</si>
  <si>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</si>
  <si>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</si>
  <si>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</si>
  <si>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</si>
  <si>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</si>
  <si>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</si>
  <si>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</si>
  <si>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</si>
  <si>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</si>
  <si>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</si>
  <si>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</si>
  <si>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</si>
  <si>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</si>
  <si>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</si>
  <si>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</si>
  <si>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</si>
  <si>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</si>
  <si>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</si>
  <si>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</si>
  <si>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</si>
  <si>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</si>
  <si>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</si>
  <si>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</si>
  <si>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</si>
  <si>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</si>
  <si>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</si>
  <si>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</si>
  <si>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</si>
  <si>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</si>
  <si>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</si>
  <si>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</si>
  <si>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</si>
  <si>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</si>
  <si>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</si>
  <si>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</si>
  <si>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</si>
  <si>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</si>
  <si>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</si>
  <si>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</si>
  <si>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</si>
  <si>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>Escale</t>
  </si>
  <si>
    <t>non</t>
  </si>
  <si>
    <t>Croisiéristes</t>
  </si>
  <si>
    <t>Tableau 4 : Arrivées des résidents par nationalité</t>
  </si>
  <si>
    <t>Néo-</t>
  </si>
  <si>
    <t>Month</t>
  </si>
  <si>
    <t>Mois</t>
  </si>
  <si>
    <t>r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</si>
  <si>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</si>
  <si>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</si>
  <si>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</si>
  <si>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</si>
  <si>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</si>
  <si>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</si>
  <si>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</si>
  <si>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</si>
  <si>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</si>
  <si>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</si>
  <si>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</si>
  <si>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</si>
  <si>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</si>
  <si>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</si>
  <si>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</si>
  <si>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</si>
  <si>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</si>
  <si>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</si>
  <si>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</si>
  <si>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</si>
  <si>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</si>
  <si>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</si>
  <si>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</si>
  <si>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</si>
  <si>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</si>
  <si>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</si>
  <si>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</si>
  <si>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</si>
  <si>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</si>
  <si>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</si>
  <si>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</si>
  <si>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</si>
  <si>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</si>
  <si>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</si>
  <si>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</si>
  <si>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</si>
  <si>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</si>
  <si>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</si>
  <si>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</si>
  <si>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</si>
  <si>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</si>
  <si>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</si>
  <si>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</si>
  <si>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</si>
  <si>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</si>
  <si>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</si>
  <si>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</si>
  <si>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</si>
  <si>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</si>
  <si>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</si>
  <si>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</si>
  <si>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</si>
  <si>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</si>
  <si>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</si>
  <si>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</si>
  <si>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</si>
  <si>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</si>
  <si>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</si>
  <si>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</si>
  <si>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</si>
  <si>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</si>
  <si>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</si>
  <si>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</si>
  <si>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</si>
  <si>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</si>
  <si>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</si>
  <si>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</si>
  <si>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</si>
  <si>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</si>
  <si>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</si>
  <si>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</si>
  <si>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</si>
  <si>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</si>
  <si>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</si>
  <si>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</si>
  <si>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</si>
  <si>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</si>
  <si>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</si>
  <si>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</si>
  <si>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</si>
  <si>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</si>
  <si>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</si>
  <si>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</si>
  <si>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</si>
  <si>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</si>
  <si>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</si>
  <si>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</si>
  <si>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</si>
  <si>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</si>
  <si>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</si>
  <si>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</si>
  <si>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</si>
  <si>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</si>
  <si>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</si>
  <si>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</si>
  <si>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</si>
  <si>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</si>
  <si>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</si>
  <si>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</si>
  <si>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</si>
  <si>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</si>
  <si>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</si>
  <si>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</si>
  <si>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</si>
  <si>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</si>
  <si>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</si>
  <si>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</si>
  <si>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</si>
  <si>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</si>
  <si>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</si>
  <si>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</si>
  <si>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</si>
  <si>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</si>
  <si>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</si>
  <si>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</si>
  <si>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</si>
  <si>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</si>
  <si>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</si>
  <si>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</si>
  <si>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</si>
  <si>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</si>
  <si>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</si>
  <si>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</si>
  <si>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</si>
  <si>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</si>
  <si>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</si>
  <si>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</si>
  <si>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</si>
  <si>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</si>
  <si>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</si>
  <si>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</si>
  <si>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</si>
  <si>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</si>
  <si>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</si>
  <si>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</si>
  <si>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</si>
  <si>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</si>
  <si>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</si>
  <si>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</si>
  <si>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</si>
  <si>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</si>
  <si>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</si>
  <si>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</si>
  <si>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</si>
  <si>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</si>
  <si>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</si>
  <si>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</si>
  <si>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</si>
  <si>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</si>
  <si>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</si>
  <si>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</si>
  <si>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</si>
  <si>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</si>
  <si>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</si>
  <si>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</si>
  <si>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</si>
  <si>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</si>
  <si>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</si>
  <si>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</si>
  <si>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</si>
  <si>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</si>
  <si>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</si>
  <si>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</si>
  <si>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</si>
  <si>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</si>
  <si>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</si>
  <si>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</si>
  <si>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</si>
  <si>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</si>
  <si>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</si>
  <si>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</si>
  <si>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</si>
  <si>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</si>
  <si>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</si>
  <si>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</si>
  <si>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</si>
  <si>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</si>
  <si>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</si>
  <si>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</si>
  <si>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</si>
  <si>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</si>
  <si>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</si>
  <si>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</si>
  <si>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</si>
  <si>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</si>
  <si>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</si>
  <si>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</si>
  <si>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</si>
  <si>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</si>
  <si>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</si>
  <si>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</si>
  <si>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</si>
  <si>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</si>
  <si>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</si>
  <si>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</si>
  <si>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</si>
  <si>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</si>
  <si>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</si>
  <si>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</si>
  <si>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</si>
  <si>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</si>
  <si>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</si>
  <si>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</si>
  <si>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</si>
  <si>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</si>
  <si>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</si>
  <si>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</si>
  <si>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</si>
  <si>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</si>
  <si>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</si>
  <si>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</si>
  <si>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 xml:space="preserve">Fev 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</si>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</sst>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_-;\-* #,##0_-;_-* &quot;-&quot;??_-;_-@_-"/>
    <numFmt numFmtId="173" formatCode="0.0%"/>
    <numFmt numFmtId="174" formatCode="0.00000000"/>
    <numFmt numFmtId="175" formatCode="\-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sz val="10"/>
      <color rgb="FFC00000"/>
      <name val="Arial"/>
      <family val="2"/>
    </font>
    <font>
      <b/>
      <sz val="14"/>
      <color rgb="FF0000FF"/>
      <name val="Times New Roman"/>
      <family val="1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8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5" fillId="0" borderId="0"/>
    <xf numFmtId="0" fontId="24" fillId="0" borderId="0"/>
    <xf numFmtId="9" fontId="7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3" fillId="0" borderId="0"/>
    <xf numFmtId="0" fontId="70" fillId="0" borderId="0"/>
    <xf numFmtId="0" fontId="24" fillId="0" borderId="0"/>
    <xf numFmtId="0" fontId="1" fillId="0" borderId="0"/>
    <xf numFmtId="165" fontId="1" fillId="0" borderId="0" applyFont="0" applyFill="0" applyBorder="0" applyAlignment="0" applyProtection="0"/>
  </cellStyleXfs>
  <cellXfs count="1025">
    <xf numFmtId="0" fontId="0" fillId="0" borderId="0" xfId="0"/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right"/>
    </xf>
    <xf numFmtId="169" fontId="12" fillId="0" borderId="0" xfId="1" applyNumberFormat="1" applyFont="1" applyBorder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/>
    </xf>
    <xf numFmtId="0" fontId="15" fillId="0" borderId="2" xfId="0" applyFont="1" applyBorder="1"/>
    <xf numFmtId="169" fontId="14" fillId="0" borderId="3" xfId="1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16" fillId="0" borderId="0" xfId="0" applyFont="1"/>
    <xf numFmtId="0" fontId="15" fillId="0" borderId="4" xfId="0" applyFont="1" applyBorder="1"/>
    <xf numFmtId="0" fontId="15" fillId="0" borderId="0" xfId="0" applyFont="1"/>
    <xf numFmtId="0" fontId="15" fillId="0" borderId="5" xfId="0" applyFont="1" applyBorder="1"/>
    <xf numFmtId="0" fontId="14" fillId="0" borderId="0" xfId="0" applyFont="1"/>
    <xf numFmtId="0" fontId="15" fillId="0" borderId="6" xfId="0" applyFont="1" applyBorder="1"/>
    <xf numFmtId="0" fontId="14" fillId="0" borderId="7" xfId="0" applyFont="1" applyBorder="1"/>
    <xf numFmtId="0" fontId="14" fillId="0" borderId="3" xfId="0" applyFont="1" applyBorder="1"/>
    <xf numFmtId="169" fontId="14" fillId="0" borderId="4" xfId="1" applyNumberFormat="1" applyFont="1" applyBorder="1"/>
    <xf numFmtId="169" fontId="14" fillId="0" borderId="0" xfId="1" applyNumberFormat="1" applyFont="1" applyBorder="1"/>
    <xf numFmtId="0" fontId="16" fillId="0" borderId="4" xfId="0" applyFont="1" applyBorder="1"/>
    <xf numFmtId="169" fontId="14" fillId="0" borderId="3" xfId="1" applyNumberFormat="1" applyFont="1" applyBorder="1"/>
    <xf numFmtId="169" fontId="14" fillId="0" borderId="2" xfId="1" applyNumberFormat="1" applyFont="1" applyBorder="1"/>
    <xf numFmtId="0" fontId="15" fillId="0" borderId="6" xfId="0" applyFont="1" applyBorder="1" applyAlignment="1">
      <alignment horizontal="center"/>
    </xf>
    <xf numFmtId="169" fontId="14" fillId="0" borderId="8" xfId="1" applyNumberFormat="1" applyFont="1" applyBorder="1"/>
    <xf numFmtId="0" fontId="8" fillId="0" borderId="6" xfId="0" applyFont="1" applyBorder="1"/>
    <xf numFmtId="0" fontId="8" fillId="0" borderId="5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7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3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/>
    <xf numFmtId="0" fontId="8" fillId="0" borderId="5" xfId="0" applyFont="1" applyBorder="1" applyAlignment="1">
      <alignment horizontal="center"/>
    </xf>
    <xf numFmtId="0" fontId="12" fillId="0" borderId="4" xfId="0" applyFont="1" applyBorder="1"/>
    <xf numFmtId="0" fontId="12" fillId="0" borderId="7" xfId="0" applyFont="1" applyBorder="1"/>
    <xf numFmtId="169" fontId="12" fillId="0" borderId="7" xfId="1" applyNumberFormat="1" applyFont="1" applyBorder="1"/>
    <xf numFmtId="169" fontId="12" fillId="0" borderId="4" xfId="1" applyNumberFormat="1" applyFont="1" applyBorder="1"/>
    <xf numFmtId="169" fontId="12" fillId="0" borderId="0" xfId="1" applyNumberFormat="1" applyFont="1" applyBorder="1"/>
    <xf numFmtId="0" fontId="12" fillId="0" borderId="0" xfId="1" applyNumberFormat="1" applyFont="1" applyBorder="1" applyAlignment="1">
      <alignment horizontal="right"/>
    </xf>
    <xf numFmtId="0" fontId="12" fillId="0" borderId="0" xfId="1" applyNumberFormat="1" applyFont="1" applyBorder="1"/>
    <xf numFmtId="0" fontId="12" fillId="0" borderId="3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169" fontId="8" fillId="0" borderId="0" xfId="0" applyNumberFormat="1" applyFont="1"/>
    <xf numFmtId="0" fontId="21" fillId="0" borderId="0" xfId="0" applyFont="1"/>
    <xf numFmtId="0" fontId="12" fillId="0" borderId="8" xfId="0" applyFont="1" applyBorder="1"/>
    <xf numFmtId="0" fontId="22" fillId="0" borderId="0" xfId="0" applyFont="1"/>
    <xf numFmtId="0" fontId="11" fillId="0" borderId="0" xfId="0" applyFont="1"/>
    <xf numFmtId="169" fontId="12" fillId="0" borderId="0" xfId="0" applyNumberFormat="1" applyFont="1"/>
    <xf numFmtId="0" fontId="21" fillId="0" borderId="0" xfId="0" applyFont="1" applyAlignment="1">
      <alignment horizontal="left"/>
    </xf>
    <xf numFmtId="169" fontId="23" fillId="0" borderId="0" xfId="1" applyNumberFormat="1" applyFont="1" applyBorder="1" applyAlignment="1">
      <alignment horizontal="center"/>
    </xf>
    <xf numFmtId="169" fontId="12" fillId="0" borderId="4" xfId="0" applyNumberFormat="1" applyFont="1" applyBorder="1"/>
    <xf numFmtId="0" fontId="17" fillId="0" borderId="0" xfId="0" applyFont="1"/>
    <xf numFmtId="0" fontId="24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26" fillId="0" borderId="4" xfId="0" applyFont="1" applyBorder="1"/>
    <xf numFmtId="0" fontId="26" fillId="0" borderId="0" xfId="0" applyFont="1"/>
    <xf numFmtId="169" fontId="26" fillId="0" borderId="7" xfId="1" applyNumberFormat="1" applyFont="1" applyBorder="1"/>
    <xf numFmtId="0" fontId="11" fillId="0" borderId="0" xfId="0" applyFont="1" applyAlignment="1">
      <alignment horizontal="left"/>
    </xf>
    <xf numFmtId="0" fontId="24" fillId="0" borderId="0" xfId="3" applyFont="1" applyAlignment="1">
      <alignment horizontal="right" wrapText="1"/>
    </xf>
    <xf numFmtId="0" fontId="15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7" xfId="0" applyFont="1" applyBorder="1"/>
    <xf numFmtId="169" fontId="14" fillId="0" borderId="0" xfId="1" applyNumberFormat="1" applyFont="1" applyFill="1" applyBorder="1" applyAlignment="1">
      <alignment horizontal="right"/>
    </xf>
    <xf numFmtId="0" fontId="29" fillId="0" borderId="0" xfId="0" applyFont="1"/>
    <xf numFmtId="169" fontId="14" fillId="0" borderId="0" xfId="1" applyNumberFormat="1" applyFont="1" applyFill="1" applyBorder="1"/>
    <xf numFmtId="0" fontId="15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28" fillId="0" borderId="0" xfId="0" applyFont="1"/>
    <xf numFmtId="0" fontId="17" fillId="0" borderId="0" xfId="0" applyFont="1" applyAlignment="1">
      <alignment horizontal="left"/>
    </xf>
    <xf numFmtId="168" fontId="12" fillId="0" borderId="0" xfId="0" applyNumberFormat="1" applyFont="1"/>
    <xf numFmtId="167" fontId="34" fillId="0" borderId="0" xfId="0" applyNumberFormat="1" applyFont="1"/>
    <xf numFmtId="3" fontId="16" fillId="0" borderId="0" xfId="0" applyNumberFormat="1" applyFont="1"/>
    <xf numFmtId="3" fontId="15" fillId="0" borderId="0" xfId="0" applyNumberFormat="1" applyFont="1" applyAlignment="1">
      <alignment horizontal="right"/>
    </xf>
    <xf numFmtId="169" fontId="35" fillId="0" borderId="0" xfId="4" applyNumberFormat="1" applyFont="1" applyAlignment="1">
      <alignment horizontal="right" wrapText="1"/>
    </xf>
    <xf numFmtId="169" fontId="15" fillId="0" borderId="7" xfId="0" applyNumberFormat="1" applyFont="1" applyBorder="1"/>
    <xf numFmtId="169" fontId="0" fillId="0" borderId="0" xfId="0" applyNumberFormat="1"/>
    <xf numFmtId="169" fontId="15" fillId="0" borderId="0" xfId="0" applyNumberFormat="1" applyFont="1"/>
    <xf numFmtId="169" fontId="15" fillId="0" borderId="0" xfId="0" applyNumberFormat="1" applyFont="1" applyAlignment="1">
      <alignment horizontal="right"/>
    </xf>
    <xf numFmtId="169" fontId="15" fillId="0" borderId="0" xfId="0" applyNumberFormat="1" applyFont="1" applyAlignment="1">
      <alignment horizontal="center"/>
    </xf>
    <xf numFmtId="169" fontId="15" fillId="0" borderId="2" xfId="0" applyNumberFormat="1" applyFont="1" applyBorder="1"/>
    <xf numFmtId="0" fontId="15" fillId="0" borderId="8" xfId="0" applyFont="1" applyBorder="1"/>
    <xf numFmtId="0" fontId="15" fillId="0" borderId="3" xfId="0" applyFont="1" applyBorder="1" applyAlignment="1">
      <alignment horizontal="right"/>
    </xf>
    <xf numFmtId="0" fontId="15" fillId="0" borderId="3" xfId="0" applyFont="1" applyBorder="1" applyAlignment="1">
      <alignment horizontal="right" vertical="top"/>
    </xf>
    <xf numFmtId="0" fontId="15" fillId="0" borderId="3" xfId="0" applyFont="1" applyBorder="1"/>
    <xf numFmtId="0" fontId="15" fillId="0" borderId="8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7" xfId="0" applyFont="1" applyBorder="1" applyAlignment="1">
      <alignment horizontal="right"/>
    </xf>
    <xf numFmtId="0" fontId="15" fillId="0" borderId="7" xfId="0" applyFont="1" applyBorder="1" applyAlignment="1">
      <alignment horizontal="left"/>
    </xf>
    <xf numFmtId="0" fontId="15" fillId="0" borderId="8" xfId="0" applyFont="1" applyBorder="1" applyAlignment="1">
      <alignment horizontal="right"/>
    </xf>
    <xf numFmtId="0" fontId="15" fillId="0" borderId="3" xfId="0" applyFont="1" applyBorder="1" applyAlignment="1">
      <alignment horizontal="center" vertical="top"/>
    </xf>
    <xf numFmtId="0" fontId="15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" fontId="15" fillId="0" borderId="0" xfId="0" applyNumberFormat="1" applyFont="1"/>
    <xf numFmtId="165" fontId="12" fillId="0" borderId="0" xfId="0" applyNumberFormat="1" applyFont="1"/>
    <xf numFmtId="169" fontId="11" fillId="0" borderId="0" xfId="0" applyNumberFormat="1" applyFont="1" applyAlignment="1">
      <alignment horizontal="left"/>
    </xf>
    <xf numFmtId="169" fontId="26" fillId="0" borderId="0" xfId="0" applyNumberFormat="1" applyFont="1" applyAlignment="1">
      <alignment horizontal="left"/>
    </xf>
    <xf numFmtId="169" fontId="12" fillId="0" borderId="0" xfId="0" applyNumberFormat="1" applyFont="1" applyAlignment="1">
      <alignment horizontal="left"/>
    </xf>
    <xf numFmtId="169" fontId="26" fillId="0" borderId="0" xfId="0" applyNumberFormat="1" applyFont="1"/>
    <xf numFmtId="0" fontId="15" fillId="0" borderId="4" xfId="2" applyNumberFormat="1" applyFont="1" applyFill="1" applyBorder="1" applyAlignment="1">
      <alignment horizontal="center"/>
    </xf>
    <xf numFmtId="0" fontId="15" fillId="0" borderId="0" xfId="2" applyNumberFormat="1" applyFont="1" applyFill="1" applyBorder="1" applyAlignment="1">
      <alignment horizontal="center"/>
    </xf>
    <xf numFmtId="169" fontId="17" fillId="0" borderId="0" xfId="0" applyNumberFormat="1" applyFont="1" applyAlignment="1">
      <alignment horizontal="left"/>
    </xf>
    <xf numFmtId="169" fontId="17" fillId="0" borderId="0" xfId="0" applyNumberFormat="1" applyFont="1"/>
    <xf numFmtId="169" fontId="18" fillId="0" borderId="0" xfId="0" applyNumberFormat="1" applyFont="1"/>
    <xf numFmtId="169" fontId="21" fillId="0" borderId="0" xfId="0" applyNumberFormat="1" applyFont="1" applyAlignment="1">
      <alignment horizontal="left"/>
    </xf>
    <xf numFmtId="169" fontId="21" fillId="0" borderId="0" xfId="1" applyNumberFormat="1" applyFont="1" applyFill="1" applyBorder="1" applyAlignment="1">
      <alignment horizontal="center"/>
    </xf>
    <xf numFmtId="169" fontId="23" fillId="0" borderId="0" xfId="0" applyNumberFormat="1" applyFont="1"/>
    <xf numFmtId="169" fontId="15" fillId="0" borderId="7" xfId="0" applyNumberFormat="1" applyFont="1" applyBorder="1" applyAlignment="1">
      <alignment horizontal="left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4" fillId="0" borderId="0" xfId="3" applyFont="1" applyAlignment="1">
      <alignment horizontal="center" wrapText="1"/>
    </xf>
    <xf numFmtId="169" fontId="12" fillId="0" borderId="0" xfId="0" applyNumberFormat="1" applyFont="1" applyAlignment="1">
      <alignment horizontal="center"/>
    </xf>
    <xf numFmtId="169" fontId="15" fillId="0" borderId="3" xfId="1" applyNumberFormat="1" applyFont="1" applyFill="1" applyBorder="1" applyAlignment="1"/>
    <xf numFmtId="9" fontId="23" fillId="0" borderId="0" xfId="5" applyFont="1" applyFill="1" applyAlignment="1"/>
    <xf numFmtId="9" fontId="12" fillId="0" borderId="0" xfId="5" applyFont="1" applyFill="1" applyAlignment="1"/>
    <xf numFmtId="10" fontId="12" fillId="0" borderId="0" xfId="0" applyNumberFormat="1" applyFont="1"/>
    <xf numFmtId="9" fontId="12" fillId="0" borderId="0" xfId="5" applyFont="1" applyFill="1" applyBorder="1" applyAlignment="1"/>
    <xf numFmtId="1" fontId="8" fillId="0" borderId="0" xfId="0" applyNumberFormat="1" applyFont="1"/>
    <xf numFmtId="168" fontId="11" fillId="0" borderId="0" xfId="0" applyNumberFormat="1" applyFont="1" applyAlignment="1">
      <alignment horizontal="left"/>
    </xf>
    <xf numFmtId="168" fontId="26" fillId="0" borderId="0" xfId="0" applyNumberFormat="1" applyFont="1" applyAlignment="1">
      <alignment horizontal="left"/>
    </xf>
    <xf numFmtId="168" fontId="26" fillId="0" borderId="3" xfId="0" applyNumberFormat="1" applyFont="1" applyBorder="1"/>
    <xf numFmtId="168" fontId="26" fillId="0" borderId="0" xfId="0" applyNumberFormat="1" applyFont="1"/>
    <xf numFmtId="168" fontId="18" fillId="0" borderId="0" xfId="0" applyNumberFormat="1" applyFont="1"/>
    <xf numFmtId="168" fontId="12" fillId="0" borderId="0" xfId="2" applyNumberFormat="1" applyFont="1" applyFill="1" applyAlignment="1"/>
    <xf numFmtId="168" fontId="15" fillId="0" borderId="0" xfId="0" applyNumberFormat="1" applyFont="1"/>
    <xf numFmtId="0" fontId="40" fillId="0" borderId="0" xfId="0" quotePrefix="1" applyFont="1"/>
    <xf numFmtId="167" fontId="41" fillId="0" borderId="0" xfId="0" applyNumberFormat="1" applyFont="1"/>
    <xf numFmtId="167" fontId="21" fillId="0" borderId="0" xfId="0" applyNumberFormat="1" applyFont="1"/>
    <xf numFmtId="168" fontId="18" fillId="0" borderId="0" xfId="0" applyNumberFormat="1" applyFont="1" applyAlignment="1">
      <alignment horizontal="right"/>
    </xf>
    <xf numFmtId="168" fontId="23" fillId="0" borderId="0" xfId="0" applyNumberFormat="1" applyFont="1" applyAlignment="1">
      <alignment horizontal="right"/>
    </xf>
    <xf numFmtId="0" fontId="15" fillId="0" borderId="14" xfId="0" applyFont="1" applyBorder="1" applyAlignment="1">
      <alignment horizontal="center"/>
    </xf>
    <xf numFmtId="168" fontId="15" fillId="0" borderId="0" xfId="1" applyNumberFormat="1" applyFont="1" applyFill="1" applyBorder="1" applyAlignment="1"/>
    <xf numFmtId="168" fontId="15" fillId="0" borderId="0" xfId="1" applyNumberFormat="1" applyFont="1" applyFill="1" applyBorder="1" applyAlignment="1">
      <alignment horizontal="right"/>
    </xf>
    <xf numFmtId="169" fontId="15" fillId="0" borderId="4" xfId="1" applyNumberFormat="1" applyFont="1" applyFill="1" applyBorder="1" applyAlignment="1">
      <alignment horizontal="right"/>
    </xf>
    <xf numFmtId="168" fontId="15" fillId="0" borderId="4" xfId="1" applyNumberFormat="1" applyFont="1" applyFill="1" applyBorder="1" applyAlignment="1"/>
    <xf numFmtId="168" fontId="15" fillId="0" borderId="8" xfId="1" applyNumberFormat="1" applyFont="1" applyFill="1" applyBorder="1" applyAlignment="1"/>
    <xf numFmtId="168" fontId="15" fillId="0" borderId="3" xfId="1" applyNumberFormat="1" applyFont="1" applyFill="1" applyBorder="1" applyAlignment="1"/>
    <xf numFmtId="165" fontId="15" fillId="0" borderId="0" xfId="0" applyNumberFormat="1" applyFont="1"/>
    <xf numFmtId="0" fontId="42" fillId="2" borderId="4" xfId="0" applyFont="1" applyFill="1" applyBorder="1"/>
    <xf numFmtId="9" fontId="15" fillId="0" borderId="0" xfId="5" applyFont="1" applyFill="1" applyBorder="1" applyAlignment="1"/>
    <xf numFmtId="12" fontId="15" fillId="0" borderId="0" xfId="5" applyNumberFormat="1" applyFont="1" applyFill="1" applyBorder="1" applyAlignment="1"/>
    <xf numFmtId="169" fontId="15" fillId="0" borderId="0" xfId="5" applyNumberFormat="1" applyFont="1" applyFill="1" applyBorder="1" applyAlignment="1"/>
    <xf numFmtId="169" fontId="15" fillId="0" borderId="4" xfId="0" applyNumberFormat="1" applyFont="1" applyBorder="1"/>
    <xf numFmtId="12" fontId="15" fillId="0" borderId="0" xfId="0" applyNumberFormat="1" applyFont="1"/>
    <xf numFmtId="9" fontId="15" fillId="0" borderId="0" xfId="0" applyNumberFormat="1" applyFont="1"/>
    <xf numFmtId="169" fontId="15" fillId="0" borderId="8" xfId="0" applyNumberFormat="1" applyFont="1" applyBorder="1"/>
    <xf numFmtId="169" fontId="43" fillId="0" borderId="3" xfId="0" applyNumberFormat="1" applyFont="1" applyBorder="1"/>
    <xf numFmtId="169" fontId="44" fillId="0" borderId="8" xfId="1" applyNumberFormat="1" applyFont="1" applyFill="1" applyBorder="1" applyAlignment="1"/>
    <xf numFmtId="169" fontId="43" fillId="0" borderId="2" xfId="0" applyNumberFormat="1" applyFont="1" applyBorder="1"/>
    <xf numFmtId="168" fontId="15" fillId="0" borderId="8" xfId="0" applyNumberFormat="1" applyFont="1" applyBorder="1" applyAlignment="1">
      <alignment horizontal="right" vertical="center"/>
    </xf>
    <xf numFmtId="168" fontId="15" fillId="0" borderId="3" xfId="0" applyNumberFormat="1" applyFont="1" applyBorder="1" applyAlignment="1">
      <alignment horizontal="right" vertical="center"/>
    </xf>
    <xf numFmtId="169" fontId="15" fillId="0" borderId="14" xfId="0" applyNumberFormat="1" applyFont="1" applyBorder="1" applyAlignment="1">
      <alignment horizontal="right" vertical="center"/>
    </xf>
    <xf numFmtId="169" fontId="15" fillId="0" borderId="15" xfId="0" applyNumberFormat="1" applyFont="1" applyBorder="1" applyAlignment="1">
      <alignment horizontal="right" vertical="center"/>
    </xf>
    <xf numFmtId="168" fontId="11" fillId="3" borderId="0" xfId="0" applyNumberFormat="1" applyFont="1" applyFill="1" applyAlignment="1">
      <alignment horizontal="left"/>
    </xf>
    <xf numFmtId="168" fontId="26" fillId="3" borderId="0" xfId="0" applyNumberFormat="1" applyFont="1" applyFill="1" applyAlignment="1">
      <alignment horizontal="left"/>
    </xf>
    <xf numFmtId="0" fontId="15" fillId="0" borderId="8" xfId="0" applyFont="1" applyBorder="1" applyAlignment="1">
      <alignment horizontal="center" vertical="center"/>
    </xf>
    <xf numFmtId="169" fontId="15" fillId="0" borderId="14" xfId="0" applyNumberFormat="1" applyFont="1" applyBorder="1" applyAlignment="1">
      <alignment horizontal="center" vertical="center"/>
    </xf>
    <xf numFmtId="169" fontId="15" fillId="0" borderId="4" xfId="0" applyNumberFormat="1" applyFont="1" applyBorder="1" applyAlignment="1">
      <alignment horizontal="center" vertical="center"/>
    </xf>
    <xf numFmtId="169" fontId="7" fillId="0" borderId="0" xfId="0" applyNumberFormat="1" applyFont="1"/>
    <xf numFmtId="0" fontId="7" fillId="0" borderId="4" xfId="2" applyNumberFormat="1" applyFont="1" applyFill="1" applyBorder="1" applyAlignment="1">
      <alignment horizontal="center"/>
    </xf>
    <xf numFmtId="169" fontId="7" fillId="0" borderId="7" xfId="0" applyNumberFormat="1" applyFont="1" applyBorder="1"/>
    <xf numFmtId="168" fontId="7" fillId="0" borderId="0" xfId="1" applyNumberFormat="1" applyFont="1" applyFill="1" applyBorder="1" applyAlignment="1"/>
    <xf numFmtId="168" fontId="7" fillId="0" borderId="0" xfId="1" applyNumberFormat="1" applyFont="1" applyFill="1" applyBorder="1" applyAlignment="1">
      <alignment horizontal="right"/>
    </xf>
    <xf numFmtId="0" fontId="7" fillId="0" borderId="14" xfId="0" applyFont="1" applyBorder="1" applyAlignment="1">
      <alignment horizontal="center"/>
    </xf>
    <xf numFmtId="165" fontId="7" fillId="0" borderId="0" xfId="0" applyNumberFormat="1" applyFont="1"/>
    <xf numFmtId="169" fontId="7" fillId="0" borderId="4" xfId="1" applyNumberFormat="1" applyFont="1" applyFill="1" applyBorder="1" applyAlignment="1">
      <alignment horizontal="right"/>
    </xf>
    <xf numFmtId="169" fontId="7" fillId="0" borderId="0" xfId="1" applyNumberFormat="1" applyFont="1" applyFill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45" fillId="2" borderId="4" xfId="0" applyFont="1" applyFill="1" applyBorder="1"/>
    <xf numFmtId="0" fontId="14" fillId="0" borderId="4" xfId="2" applyNumberFormat="1" applyFont="1" applyFill="1" applyBorder="1" applyAlignment="1">
      <alignment horizontal="center"/>
    </xf>
    <xf numFmtId="169" fontId="14" fillId="0" borderId="7" xfId="0" applyNumberFormat="1" applyFont="1" applyBorder="1"/>
    <xf numFmtId="168" fontId="14" fillId="0" borderId="0" xfId="1" applyNumberFormat="1" applyFont="1" applyFill="1" applyBorder="1" applyAlignment="1"/>
    <xf numFmtId="168" fontId="14" fillId="0" borderId="0" xfId="1" applyNumberFormat="1" applyFont="1" applyFill="1" applyBorder="1" applyAlignment="1">
      <alignment horizontal="right"/>
    </xf>
    <xf numFmtId="0" fontId="14" fillId="0" borderId="4" xfId="0" applyFont="1" applyBorder="1" applyAlignment="1">
      <alignment horizontal="center"/>
    </xf>
    <xf numFmtId="169" fontId="14" fillId="0" borderId="0" xfId="0" applyNumberFormat="1" applyFont="1"/>
    <xf numFmtId="165" fontId="14" fillId="0" borderId="0" xfId="0" applyNumberFormat="1" applyFont="1"/>
    <xf numFmtId="9" fontId="14" fillId="0" borderId="0" xfId="5" applyFont="1" applyFill="1" applyBorder="1" applyAlignment="1"/>
    <xf numFmtId="12" fontId="14" fillId="0" borderId="0" xfId="5" applyNumberFormat="1" applyFont="1" applyFill="1" applyBorder="1" applyAlignment="1"/>
    <xf numFmtId="169" fontId="14" fillId="0" borderId="0" xfId="5" applyNumberFormat="1" applyFont="1" applyFill="1" applyBorder="1" applyAlignment="1"/>
    <xf numFmtId="169" fontId="14" fillId="0" borderId="4" xfId="0" applyNumberFormat="1" applyFont="1" applyBorder="1"/>
    <xf numFmtId="12" fontId="14" fillId="0" borderId="0" xfId="0" applyNumberFormat="1" applyFont="1"/>
    <xf numFmtId="169" fontId="14" fillId="0" borderId="7" xfId="0" applyNumberFormat="1" applyFont="1" applyBorder="1" applyAlignment="1">
      <alignment horizontal="left"/>
    </xf>
    <xf numFmtId="9" fontId="14" fillId="0" borderId="0" xfId="0" applyNumberFormat="1" applyFont="1"/>
    <xf numFmtId="168" fontId="14" fillId="0" borderId="4" xfId="1" applyNumberFormat="1" applyFont="1" applyFill="1" applyBorder="1" applyAlignment="1"/>
    <xf numFmtId="169" fontId="14" fillId="0" borderId="8" xfId="0" applyNumberFormat="1" applyFont="1" applyBorder="1"/>
    <xf numFmtId="169" fontId="46" fillId="0" borderId="3" xfId="0" applyNumberFormat="1" applyFont="1" applyBorder="1"/>
    <xf numFmtId="168" fontId="14" fillId="0" borderId="8" xfId="1" applyNumberFormat="1" applyFont="1" applyFill="1" applyBorder="1" applyAlignment="1"/>
    <xf numFmtId="168" fontId="14" fillId="0" borderId="3" xfId="1" applyNumberFormat="1" applyFont="1" applyFill="1" applyBorder="1" applyAlignment="1"/>
    <xf numFmtId="169" fontId="47" fillId="0" borderId="8" xfId="1" applyNumberFormat="1" applyFont="1" applyFill="1" applyBorder="1" applyAlignment="1"/>
    <xf numFmtId="0" fontId="14" fillId="0" borderId="8" xfId="0" applyFont="1" applyBorder="1" applyAlignment="1">
      <alignment horizontal="center"/>
    </xf>
    <xf numFmtId="169" fontId="46" fillId="0" borderId="2" xfId="0" applyNumberFormat="1" applyFont="1" applyBorder="1"/>
    <xf numFmtId="0" fontId="14" fillId="0" borderId="0" xfId="0" applyFont="1" applyAlignment="1">
      <alignment horizontal="center"/>
    </xf>
    <xf numFmtId="169" fontId="15" fillId="0" borderId="3" xfId="0" applyNumberFormat="1" applyFont="1" applyBorder="1" applyAlignment="1">
      <alignment horizontal="right" vertical="center"/>
    </xf>
    <xf numFmtId="9" fontId="14" fillId="0" borderId="7" xfId="5" applyFont="1" applyFill="1" applyBorder="1" applyAlignment="1">
      <alignment horizontal="right"/>
    </xf>
    <xf numFmtId="0" fontId="49" fillId="0" borderId="4" xfId="0" applyFont="1" applyBorder="1"/>
    <xf numFmtId="0" fontId="48" fillId="0" borderId="4" xfId="0" applyFont="1" applyBorder="1"/>
    <xf numFmtId="9" fontId="14" fillId="0" borderId="2" xfId="5" applyFont="1" applyFill="1" applyBorder="1" applyAlignment="1">
      <alignment horizontal="right"/>
    </xf>
    <xf numFmtId="0" fontId="50" fillId="0" borderId="0" xfId="0" quotePrefix="1" applyFont="1"/>
    <xf numFmtId="168" fontId="51" fillId="0" borderId="0" xfId="0" applyNumberFormat="1" applyFont="1"/>
    <xf numFmtId="168" fontId="52" fillId="0" borderId="0" xfId="0" applyNumberFormat="1" applyFont="1"/>
    <xf numFmtId="169" fontId="51" fillId="0" borderId="0" xfId="0" applyNumberFormat="1" applyFont="1" applyAlignment="1">
      <alignment horizontal="left"/>
    </xf>
    <xf numFmtId="169" fontId="52" fillId="0" borderId="0" xfId="0" applyNumberFormat="1" applyFont="1"/>
    <xf numFmtId="9" fontId="52" fillId="0" borderId="0" xfId="5" applyFont="1" applyFill="1" applyAlignment="1"/>
    <xf numFmtId="167" fontId="53" fillId="0" borderId="0" xfId="0" applyNumberFormat="1" applyFont="1" applyAlignment="1">
      <alignment horizontal="left"/>
    </xf>
    <xf numFmtId="168" fontId="51" fillId="0" borderId="0" xfId="0" applyNumberFormat="1" applyFont="1" applyAlignment="1">
      <alignment horizontal="right"/>
    </xf>
    <xf numFmtId="169" fontId="54" fillId="0" borderId="0" xfId="0" applyNumberFormat="1" applyFont="1"/>
    <xf numFmtId="168" fontId="54" fillId="0" borderId="0" xfId="0" applyNumberFormat="1" applyFont="1" applyAlignment="1">
      <alignment horizontal="right"/>
    </xf>
    <xf numFmtId="9" fontId="54" fillId="0" borderId="0" xfId="5" applyFont="1" applyFill="1" applyAlignment="1"/>
    <xf numFmtId="2" fontId="54" fillId="0" borderId="0" xfId="0" applyNumberFormat="1" applyFont="1" applyAlignment="1">
      <alignment horizontal="left"/>
    </xf>
    <xf numFmtId="2" fontId="53" fillId="0" borderId="0" xfId="0" applyNumberFormat="1" applyFont="1" applyAlignment="1">
      <alignment horizontal="left"/>
    </xf>
    <xf numFmtId="169" fontId="55" fillId="0" borderId="0" xfId="0" applyNumberFormat="1" applyFont="1" applyAlignment="1">
      <alignment horizontal="left"/>
    </xf>
    <xf numFmtId="169" fontId="52" fillId="0" borderId="0" xfId="0" applyNumberFormat="1" applyFont="1" applyAlignment="1">
      <alignment horizontal="center"/>
    </xf>
    <xf numFmtId="2" fontId="55" fillId="0" borderId="0" xfId="0" applyNumberFormat="1" applyFont="1"/>
    <xf numFmtId="2" fontId="55" fillId="0" borderId="0" xfId="0" quotePrefix="1" applyNumberFormat="1" applyFont="1" applyAlignment="1">
      <alignment vertical="top"/>
    </xf>
    <xf numFmtId="2" fontId="55" fillId="0" borderId="0" xfId="0" quotePrefix="1" applyNumberFormat="1" applyFont="1"/>
    <xf numFmtId="169" fontId="15" fillId="0" borderId="13" xfId="0" applyNumberFormat="1" applyFont="1" applyBorder="1" applyAlignment="1">
      <alignment horizontal="right" vertical="center"/>
    </xf>
    <xf numFmtId="169" fontId="15" fillId="0" borderId="9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9" fontId="0" fillId="0" borderId="0" xfId="0" applyNumberFormat="1"/>
    <xf numFmtId="169" fontId="15" fillId="0" borderId="4" xfId="1" applyNumberFormat="1" applyFont="1" applyFill="1" applyBorder="1"/>
    <xf numFmtId="169" fontId="15" fillId="0" borderId="0" xfId="1" applyNumberFormat="1" applyFont="1" applyFill="1" applyBorder="1"/>
    <xf numFmtId="169" fontId="15" fillId="0" borderId="0" xfId="1" applyNumberFormat="1" applyFont="1" applyBorder="1"/>
    <xf numFmtId="169" fontId="15" fillId="0" borderId="0" xfId="1" applyNumberFormat="1" applyFont="1" applyFill="1" applyBorder="1" applyAlignment="1">
      <alignment horizontal="right"/>
    </xf>
    <xf numFmtId="169" fontId="15" fillId="0" borderId="4" xfId="1" applyNumberFormat="1" applyFont="1" applyBorder="1"/>
    <xf numFmtId="169" fontId="15" fillId="0" borderId="0" xfId="1" applyNumberFormat="1" applyFont="1" applyFill="1" applyBorder="1" applyAlignment="1"/>
    <xf numFmtId="169" fontId="15" fillId="0" borderId="3" xfId="0" applyNumberFormat="1" applyFont="1" applyBorder="1" applyAlignment="1">
      <alignment horizontal="left" vertical="center"/>
    </xf>
    <xf numFmtId="0" fontId="15" fillId="0" borderId="3" xfId="2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8" fontId="15" fillId="0" borderId="7" xfId="1" applyNumberFormat="1" applyFont="1" applyFill="1" applyBorder="1" applyAlignment="1"/>
    <xf numFmtId="170" fontId="15" fillId="0" borderId="0" xfId="1" applyNumberFormat="1" applyFont="1" applyFill="1" applyBorder="1" applyAlignment="1"/>
    <xf numFmtId="0" fontId="15" fillId="2" borderId="0" xfId="0" applyFont="1" applyFill="1"/>
    <xf numFmtId="0" fontId="15" fillId="2" borderId="3" xfId="0" applyFont="1" applyFill="1" applyBorder="1"/>
    <xf numFmtId="170" fontId="15" fillId="0" borderId="7" xfId="1" applyNumberFormat="1" applyFont="1" applyFill="1" applyBorder="1" applyAlignment="1"/>
    <xf numFmtId="3" fontId="10" fillId="0" borderId="0" xfId="0" applyNumberFormat="1" applyFont="1"/>
    <xf numFmtId="0" fontId="21" fillId="0" borderId="0" xfId="0" applyFont="1" applyAlignment="1">
      <alignment horizontal="right"/>
    </xf>
    <xf numFmtId="0" fontId="45" fillId="2" borderId="0" xfId="0" applyFont="1" applyFill="1"/>
    <xf numFmtId="0" fontId="48" fillId="0" borderId="0" xfId="0" applyFont="1"/>
    <xf numFmtId="168" fontId="7" fillId="0" borderId="7" xfId="1" applyNumberFormat="1" applyFont="1" applyFill="1" applyBorder="1" applyAlignment="1">
      <alignment horizontal="right"/>
    </xf>
    <xf numFmtId="168" fontId="14" fillId="0" borderId="7" xfId="1" applyNumberFormat="1" applyFont="1" applyFill="1" applyBorder="1" applyAlignment="1">
      <alignment horizontal="right"/>
    </xf>
    <xf numFmtId="168" fontId="15" fillId="0" borderId="7" xfId="1" applyNumberFormat="1" applyFont="1" applyFill="1" applyBorder="1" applyAlignment="1">
      <alignment horizontal="right"/>
    </xf>
    <xf numFmtId="169" fontId="15" fillId="0" borderId="12" xfId="0" applyNumberFormat="1" applyFont="1" applyBorder="1" applyAlignment="1">
      <alignment horizontal="right" vertical="center"/>
    </xf>
    <xf numFmtId="168" fontId="29" fillId="0" borderId="0" xfId="1" applyNumberFormat="1" applyFont="1" applyFill="1" applyBorder="1" applyAlignment="1"/>
    <xf numFmtId="170" fontId="29" fillId="0" borderId="7" xfId="1" applyNumberFormat="1" applyFont="1" applyFill="1" applyBorder="1" applyAlignment="1"/>
    <xf numFmtId="169" fontId="15" fillId="0" borderId="3" xfId="0" applyNumberFormat="1" applyFont="1" applyBorder="1" applyAlignment="1">
      <alignment horizontal="right" vertical="top"/>
    </xf>
    <xf numFmtId="169" fontId="15" fillId="0" borderId="0" xfId="0" applyNumberFormat="1" applyFont="1" applyAlignment="1">
      <alignment horizontal="right" vertical="center"/>
    </xf>
    <xf numFmtId="169" fontId="15" fillId="0" borderId="7" xfId="0" applyNumberFormat="1" applyFont="1" applyBorder="1" applyAlignment="1">
      <alignment horizontal="right" vertical="center"/>
    </xf>
    <xf numFmtId="169" fontId="15" fillId="0" borderId="0" xfId="0" applyNumberFormat="1" applyFont="1" applyAlignment="1">
      <alignment horizontal="center" vertical="center" wrapText="1"/>
    </xf>
    <xf numFmtId="168" fontId="15" fillId="0" borderId="0" xfId="0" applyNumberFormat="1" applyFont="1" applyAlignment="1">
      <alignment horizontal="right" vertical="center"/>
    </xf>
    <xf numFmtId="3" fontId="15" fillId="0" borderId="4" xfId="0" applyNumberFormat="1" applyFont="1" applyBorder="1" applyAlignment="1">
      <alignment horizontal="right"/>
    </xf>
    <xf numFmtId="169" fontId="57" fillId="0" borderId="0" xfId="0" applyNumberFormat="1" applyFont="1"/>
    <xf numFmtId="169" fontId="58" fillId="0" borderId="0" xfId="0" applyNumberFormat="1" applyFont="1"/>
    <xf numFmtId="169" fontId="15" fillId="0" borderId="3" xfId="0" applyNumberFormat="1" applyFont="1" applyBorder="1" applyAlignment="1">
      <alignment horizontal="center" vertical="top"/>
    </xf>
    <xf numFmtId="0" fontId="7" fillId="4" borderId="0" xfId="7" applyFill="1"/>
    <xf numFmtId="168" fontId="8" fillId="0" borderId="0" xfId="0" applyNumberFormat="1" applyFont="1"/>
    <xf numFmtId="169" fontId="8" fillId="0" borderId="0" xfId="0" applyNumberFormat="1" applyFont="1" applyAlignment="1">
      <alignment horizontal="right"/>
    </xf>
    <xf numFmtId="0" fontId="5" fillId="0" borderId="0" xfId="11"/>
    <xf numFmtId="0" fontId="67" fillId="0" borderId="0" xfId="13" applyFont="1"/>
    <xf numFmtId="0" fontId="68" fillId="0" borderId="0" xfId="13" applyFont="1"/>
    <xf numFmtId="0" fontId="60" fillId="0" borderId="14" xfId="13" applyFont="1" applyBorder="1"/>
    <xf numFmtId="0" fontId="60" fillId="0" borderId="16" xfId="13" applyFont="1" applyBorder="1"/>
    <xf numFmtId="169" fontId="60" fillId="0" borderId="0" xfId="1" applyNumberFormat="1" applyFont="1" applyFill="1" applyBorder="1" applyAlignment="1">
      <alignment horizontal="right"/>
    </xf>
    <xf numFmtId="0" fontId="61" fillId="0" borderId="0" xfId="13" applyFont="1"/>
    <xf numFmtId="0" fontId="60" fillId="0" borderId="0" xfId="13" applyFont="1"/>
    <xf numFmtId="0" fontId="60" fillId="0" borderId="0" xfId="13" applyFont="1" applyAlignment="1">
      <alignment horizontal="right"/>
    </xf>
    <xf numFmtId="10" fontId="68" fillId="0" borderId="0" xfId="13" applyNumberFormat="1" applyFont="1"/>
    <xf numFmtId="0" fontId="66" fillId="0" borderId="0" xfId="13" applyFont="1"/>
    <xf numFmtId="0" fontId="66" fillId="4" borderId="0" xfId="13" applyFont="1" applyFill="1"/>
    <xf numFmtId="0" fontId="65" fillId="0" borderId="0" xfId="11" applyFont="1"/>
    <xf numFmtId="0" fontId="14" fillId="6" borderId="0" xfId="0" applyFont="1" applyFill="1"/>
    <xf numFmtId="169" fontId="60" fillId="0" borderId="0" xfId="1" applyNumberFormat="1" applyFont="1" applyFill="1" applyBorder="1"/>
    <xf numFmtId="169" fontId="22" fillId="0" borderId="0" xfId="0" applyNumberFormat="1" applyFont="1"/>
    <xf numFmtId="9" fontId="22" fillId="0" borderId="0" xfId="5" applyFont="1" applyFill="1" applyBorder="1"/>
    <xf numFmtId="0" fontId="68" fillId="6" borderId="0" xfId="13" applyFont="1" applyFill="1"/>
    <xf numFmtId="1" fontId="15" fillId="0" borderId="0" xfId="1" applyNumberFormat="1" applyFont="1" applyFill="1" applyBorder="1"/>
    <xf numFmtId="0" fontId="69" fillId="0" borderId="0" xfId="14" applyFont="1" applyAlignment="1">
      <alignment wrapText="1"/>
    </xf>
    <xf numFmtId="0" fontId="69" fillId="0" borderId="0" xfId="14" applyFont="1" applyAlignment="1">
      <alignment horizontal="right" wrapText="1"/>
    </xf>
    <xf numFmtId="169" fontId="71" fillId="0" borderId="0" xfId="0" applyNumberFormat="1" applyFont="1" applyAlignment="1">
      <alignment horizontal="left"/>
    </xf>
    <xf numFmtId="0" fontId="7" fillId="0" borderId="0" xfId="0" applyFont="1"/>
    <xf numFmtId="169" fontId="64" fillId="0" borderId="0" xfId="0" applyNumberFormat="1" applyFont="1" applyAlignment="1">
      <alignment horizontal="left"/>
    </xf>
    <xf numFmtId="170" fontId="15" fillId="0" borderId="3" xfId="1" applyNumberFormat="1" applyFont="1" applyFill="1" applyBorder="1" applyAlignment="1"/>
    <xf numFmtId="170" fontId="62" fillId="0" borderId="0" xfId="12" applyNumberFormat="1" applyFont="1" applyBorder="1" applyAlignment="1">
      <alignment horizontal="right" vertical="center"/>
    </xf>
    <xf numFmtId="170" fontId="62" fillId="0" borderId="0" xfId="12" applyNumberFormat="1" applyFont="1" applyFill="1" applyBorder="1" applyAlignment="1">
      <alignment horizontal="right" vertical="center"/>
    </xf>
    <xf numFmtId="167" fontId="15" fillId="0" borderId="0" xfId="0" applyNumberFormat="1" applyFont="1" applyAlignment="1">
      <alignment horizontal="right"/>
    </xf>
    <xf numFmtId="167" fontId="15" fillId="0" borderId="0" xfId="0" applyNumberFormat="1" applyFont="1"/>
    <xf numFmtId="171" fontId="15" fillId="0" borderId="0" xfId="0" applyNumberFormat="1" applyFont="1"/>
    <xf numFmtId="0" fontId="5" fillId="0" borderId="4" xfId="11" applyBorder="1"/>
    <xf numFmtId="0" fontId="60" fillId="0" borderId="4" xfId="11" applyFont="1" applyBorder="1" applyAlignment="1">
      <alignment horizontal="center"/>
    </xf>
    <xf numFmtId="0" fontId="62" fillId="0" borderId="4" xfId="11" applyFont="1" applyBorder="1" applyAlignment="1">
      <alignment horizontal="center" vertical="center"/>
    </xf>
    <xf numFmtId="170" fontId="62" fillId="0" borderId="4" xfId="12" applyNumberFormat="1" applyFont="1" applyBorder="1" applyAlignment="1">
      <alignment horizontal="right" vertical="center"/>
    </xf>
    <xf numFmtId="170" fontId="62" fillId="0" borderId="4" xfId="12" applyNumberFormat="1" applyFont="1" applyFill="1" applyBorder="1" applyAlignment="1">
      <alignment horizontal="right" vertical="center"/>
    </xf>
    <xf numFmtId="167" fontId="15" fillId="0" borderId="4" xfId="0" applyNumberFormat="1" applyFont="1" applyBorder="1" applyAlignment="1">
      <alignment horizontal="right"/>
    </xf>
    <xf numFmtId="167" fontId="15" fillId="0" borderId="4" xfId="0" applyNumberFormat="1" applyFont="1" applyBorder="1"/>
    <xf numFmtId="171" fontId="15" fillId="0" borderId="4" xfId="0" applyNumberFormat="1" applyFont="1" applyBorder="1"/>
    <xf numFmtId="0" fontId="63" fillId="0" borderId="3" xfId="11" applyFont="1" applyBorder="1" applyAlignment="1">
      <alignment vertical="center"/>
    </xf>
    <xf numFmtId="167" fontId="59" fillId="0" borderId="0" xfId="0" applyNumberFormat="1" applyFont="1"/>
    <xf numFmtId="0" fontId="60" fillId="0" borderId="8" xfId="13" applyFont="1" applyBorder="1" applyAlignment="1">
      <alignment horizontal="center"/>
    </xf>
    <xf numFmtId="0" fontId="60" fillId="0" borderId="4" xfId="13" applyFont="1" applyBorder="1" applyAlignment="1">
      <alignment horizontal="center"/>
    </xf>
    <xf numFmtId="3" fontId="59" fillId="0" borderId="0" xfId="0" applyNumberFormat="1" applyFont="1"/>
    <xf numFmtId="167" fontId="15" fillId="0" borderId="3" xfId="0" applyNumberFormat="1" applyFont="1" applyBorder="1"/>
    <xf numFmtId="0" fontId="15" fillId="6" borderId="4" xfId="0" applyFont="1" applyFill="1" applyBorder="1" applyAlignment="1">
      <alignment horizontal="center"/>
    </xf>
    <xf numFmtId="0" fontId="15" fillId="6" borderId="7" xfId="0" applyFont="1" applyFill="1" applyBorder="1"/>
    <xf numFmtId="0" fontId="15" fillId="6" borderId="7" xfId="0" applyFont="1" applyFill="1" applyBorder="1" applyAlignment="1">
      <alignment horizontal="left"/>
    </xf>
    <xf numFmtId="3" fontId="15" fillId="0" borderId="18" xfId="0" applyNumberFormat="1" applyFont="1" applyBorder="1" applyAlignment="1">
      <alignment horizontal="right"/>
    </xf>
    <xf numFmtId="0" fontId="15" fillId="2" borderId="9" xfId="0" applyFont="1" applyFill="1" applyBorder="1"/>
    <xf numFmtId="169" fontId="7" fillId="4" borderId="0" xfId="7" applyNumberFormat="1" applyFill="1"/>
    <xf numFmtId="3" fontId="72" fillId="0" borderId="0" xfId="0" applyNumberFormat="1" applyFont="1"/>
    <xf numFmtId="0" fontId="15" fillId="0" borderId="8" xfId="2" applyNumberFormat="1" applyFont="1" applyFill="1" applyBorder="1" applyAlignment="1">
      <alignment horizontal="center"/>
    </xf>
    <xf numFmtId="0" fontId="12" fillId="0" borderId="0" xfId="5" applyNumberFormat="1" applyFont="1" applyFill="1"/>
    <xf numFmtId="169" fontId="60" fillId="0" borderId="3" xfId="1" applyNumberFormat="1" applyFont="1" applyFill="1" applyBorder="1"/>
    <xf numFmtId="0" fontId="70" fillId="0" borderId="0" xfId="14"/>
    <xf numFmtId="12" fontId="68" fillId="0" borderId="0" xfId="13" applyNumberFormat="1" applyFont="1"/>
    <xf numFmtId="0" fontId="15" fillId="6" borderId="0" xfId="0" applyFont="1" applyFill="1"/>
    <xf numFmtId="169" fontId="15" fillId="6" borderId="0" xfId="0" applyNumberFormat="1" applyFont="1" applyFill="1"/>
    <xf numFmtId="0" fontId="73" fillId="0" borderId="0" xfId="11" applyFont="1"/>
    <xf numFmtId="168" fontId="14" fillId="0" borderId="0" xfId="0" applyNumberFormat="1" applyFont="1"/>
    <xf numFmtId="0" fontId="60" fillId="0" borderId="8" xfId="13" applyFont="1" applyBorder="1"/>
    <xf numFmtId="169" fontId="60" fillId="0" borderId="0" xfId="0" applyNumberFormat="1" applyFont="1" applyAlignment="1">
      <alignment horizontal="center" wrapText="1"/>
    </xf>
    <xf numFmtId="0" fontId="68" fillId="0" borderId="16" xfId="13" applyFont="1" applyBorder="1"/>
    <xf numFmtId="0" fontId="68" fillId="0" borderId="7" xfId="13" applyFont="1" applyBorder="1"/>
    <xf numFmtId="173" fontId="68" fillId="0" borderId="0" xfId="5" applyNumberFormat="1" applyFont="1"/>
    <xf numFmtId="0" fontId="60" fillId="0" borderId="4" xfId="13" applyFont="1" applyBorder="1"/>
    <xf numFmtId="169" fontId="60" fillId="0" borderId="0" xfId="1" applyNumberFormat="1" applyFont="1" applyFill="1" applyBorder="1" applyAlignment="1"/>
    <xf numFmtId="169" fontId="37" fillId="0" borderId="0" xfId="1" applyNumberFormat="1" applyFont="1" applyFill="1" applyBorder="1"/>
    <xf numFmtId="0" fontId="5" fillId="6" borderId="0" xfId="11" applyFill="1"/>
    <xf numFmtId="0" fontId="60" fillId="6" borderId="0" xfId="11" applyFont="1" applyFill="1"/>
    <xf numFmtId="174" fontId="5" fillId="6" borderId="0" xfId="11" applyNumberFormat="1" applyFill="1"/>
    <xf numFmtId="9" fontId="5" fillId="6" borderId="0" xfId="5" applyFont="1" applyFill="1"/>
    <xf numFmtId="169" fontId="8" fillId="6" borderId="0" xfId="0" applyNumberFormat="1" applyFont="1" applyFill="1" applyAlignment="1">
      <alignment horizontal="right"/>
    </xf>
    <xf numFmtId="169" fontId="8" fillId="6" borderId="0" xfId="0" applyNumberFormat="1" applyFont="1" applyFill="1"/>
    <xf numFmtId="10" fontId="68" fillId="6" borderId="0" xfId="13" applyNumberFormat="1" applyFont="1" applyFill="1"/>
    <xf numFmtId="169" fontId="17" fillId="6" borderId="0" xfId="0" applyNumberFormat="1" applyFont="1" applyFill="1" applyAlignment="1">
      <alignment horizontal="right"/>
    </xf>
    <xf numFmtId="169" fontId="17" fillId="6" borderId="0" xfId="0" applyNumberFormat="1" applyFont="1" applyFill="1"/>
    <xf numFmtId="10" fontId="66" fillId="6" borderId="0" xfId="13" applyNumberFormat="1" applyFont="1" applyFill="1"/>
    <xf numFmtId="0" fontId="66" fillId="6" borderId="0" xfId="13" applyFont="1" applyFill="1"/>
    <xf numFmtId="0" fontId="59" fillId="6" borderId="0" xfId="11" applyFont="1" applyFill="1" applyAlignment="1">
      <alignment horizontal="left"/>
    </xf>
    <xf numFmtId="165" fontId="60" fillId="6" borderId="0" xfId="5" applyNumberFormat="1" applyFont="1" applyFill="1" applyBorder="1"/>
    <xf numFmtId="0" fontId="64" fillId="6" borderId="0" xfId="11" applyFont="1" applyFill="1"/>
    <xf numFmtId="12" fontId="59" fillId="6" borderId="0" xfId="11" applyNumberFormat="1" applyFont="1" applyFill="1"/>
    <xf numFmtId="0" fontId="69" fillId="6" borderId="0" xfId="15" applyFont="1" applyFill="1" applyAlignment="1">
      <alignment horizontal="right" wrapText="1"/>
    </xf>
    <xf numFmtId="0" fontId="66" fillId="6" borderId="3" xfId="11" applyFont="1" applyFill="1" applyBorder="1"/>
    <xf numFmtId="1" fontId="59" fillId="6" borderId="0" xfId="11" applyNumberFormat="1" applyFont="1" applyFill="1"/>
    <xf numFmtId="9" fontId="4" fillId="6" borderId="0" xfId="5" applyFont="1" applyFill="1"/>
    <xf numFmtId="16" fontId="5" fillId="6" borderId="0" xfId="11" applyNumberFormat="1" applyFill="1"/>
    <xf numFmtId="0" fontId="27" fillId="0" borderId="4" xfId="0" applyFont="1" applyBorder="1" applyAlignment="1">
      <alignment horizontal="right"/>
    </xf>
    <xf numFmtId="0" fontId="27" fillId="0" borderId="4" xfId="0" applyFont="1" applyBorder="1"/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27" fillId="0" borderId="3" xfId="0" applyFont="1" applyBorder="1" applyAlignment="1">
      <alignment horizontal="left"/>
    </xf>
    <xf numFmtId="0" fontId="2" fillId="6" borderId="0" xfId="11" applyFont="1" applyFill="1"/>
    <xf numFmtId="169" fontId="60" fillId="0" borderId="7" xfId="13" applyNumberFormat="1" applyFont="1" applyBorder="1"/>
    <xf numFmtId="169" fontId="60" fillId="8" borderId="0" xfId="1" applyNumberFormat="1" applyFont="1" applyFill="1" applyBorder="1"/>
    <xf numFmtId="0" fontId="74" fillId="0" borderId="0" xfId="13" applyFont="1"/>
    <xf numFmtId="0" fontId="60" fillId="0" borderId="14" xfId="0" applyFont="1" applyBorder="1" applyAlignment="1">
      <alignment horizontal="right"/>
    </xf>
    <xf numFmtId="0" fontId="60" fillId="0" borderId="18" xfId="0" applyFont="1" applyBorder="1" applyAlignment="1">
      <alignment horizontal="right"/>
    </xf>
    <xf numFmtId="0" fontId="60" fillId="0" borderId="3" xfId="0" applyFont="1" applyBorder="1" applyAlignment="1">
      <alignment horizontal="right" wrapText="1"/>
    </xf>
    <xf numFmtId="0" fontId="60" fillId="0" borderId="3" xfId="0" applyFont="1" applyBorder="1" applyAlignment="1">
      <alignment horizontal="right"/>
    </xf>
    <xf numFmtId="169" fontId="15" fillId="0" borderId="18" xfId="0" applyNumberFormat="1" applyFont="1" applyBorder="1" applyAlignment="1">
      <alignment horizontal="center" vertical="center" wrapText="1"/>
    </xf>
    <xf numFmtId="169" fontId="15" fillId="0" borderId="7" xfId="1" applyNumberFormat="1" applyFont="1" applyBorder="1"/>
    <xf numFmtId="169" fontId="15" fillId="0" borderId="0" xfId="1" applyNumberFormat="1" applyFont="1"/>
    <xf numFmtId="169" fontId="15" fillId="0" borderId="3" xfId="1" applyNumberFormat="1" applyFont="1" applyBorder="1"/>
    <xf numFmtId="169" fontId="15" fillId="0" borderId="8" xfId="1" applyNumberFormat="1" applyFont="1" applyBorder="1"/>
    <xf numFmtId="169" fontId="15" fillId="0" borderId="2" xfId="1" applyNumberFormat="1" applyFont="1" applyBorder="1"/>
    <xf numFmtId="1" fontId="15" fillId="0" borderId="4" xfId="1" applyNumberFormat="1" applyFont="1" applyBorder="1"/>
    <xf numFmtId="9" fontId="15" fillId="0" borderId="0" xfId="5" applyFont="1" applyBorder="1"/>
    <xf numFmtId="0" fontId="75" fillId="0" borderId="0" xfId="0" applyFont="1" applyAlignment="1">
      <alignment horizontal="left" vertical="center"/>
    </xf>
    <xf numFmtId="0" fontId="76" fillId="0" borderId="0" xfId="0" applyFont="1"/>
    <xf numFmtId="169" fontId="15" fillId="0" borderId="20" xfId="1" applyNumberFormat="1" applyFont="1" applyFill="1" applyBorder="1" applyAlignment="1"/>
    <xf numFmtId="0" fontId="15" fillId="0" borderId="20" xfId="0" applyFont="1" applyBorder="1" applyAlignment="1">
      <alignment horizontal="center"/>
    </xf>
    <xf numFmtId="169" fontId="15" fillId="0" borderId="16" xfId="0" applyNumberFormat="1" applyFont="1" applyBorder="1"/>
    <xf numFmtId="169" fontId="15" fillId="0" borderId="4" xfId="0" applyNumberFormat="1" applyFont="1" applyBorder="1" applyAlignment="1">
      <alignment horizontal="left"/>
    </xf>
    <xf numFmtId="169" fontId="15" fillId="0" borderId="4" xfId="0" applyNumberFormat="1" applyFont="1" applyBorder="1" applyAlignment="1">
      <alignment horizontal="center"/>
    </xf>
    <xf numFmtId="0" fontId="15" fillId="0" borderId="21" xfId="2" applyNumberFormat="1" applyFont="1" applyFill="1" applyBorder="1" applyAlignment="1">
      <alignment horizontal="center"/>
    </xf>
    <xf numFmtId="169" fontId="15" fillId="0" borderId="22" xfId="0" applyNumberFormat="1" applyFont="1" applyBorder="1"/>
    <xf numFmtId="168" fontId="15" fillId="0" borderId="20" xfId="1" applyNumberFormat="1" applyFont="1" applyFill="1" applyBorder="1" applyAlignment="1"/>
    <xf numFmtId="168" fontId="15" fillId="0" borderId="22" xfId="1" applyNumberFormat="1" applyFont="1" applyFill="1" applyBorder="1" applyAlignment="1"/>
    <xf numFmtId="0" fontId="63" fillId="0" borderId="8" xfId="11" applyFont="1" applyBorder="1" applyAlignment="1">
      <alignment horizontal="right" vertical="center"/>
    </xf>
    <xf numFmtId="0" fontId="63" fillId="0" borderId="3" xfId="11" applyFont="1" applyBorder="1" applyAlignment="1">
      <alignment horizontal="right" vertical="center"/>
    </xf>
    <xf numFmtId="0" fontId="60" fillId="0" borderId="16" xfId="0" applyFont="1" applyBorder="1" applyAlignment="1">
      <alignment horizontal="right"/>
    </xf>
    <xf numFmtId="0" fontId="77" fillId="0" borderId="3" xfId="0" applyFont="1" applyBorder="1" applyAlignment="1">
      <alignment horizontal="right"/>
    </xf>
    <xf numFmtId="0" fontId="77" fillId="0" borderId="2" xfId="0" applyFont="1" applyBorder="1" applyAlignment="1">
      <alignment horizontal="right"/>
    </xf>
    <xf numFmtId="0" fontId="61" fillId="0" borderId="2" xfId="0" applyFont="1" applyBorder="1"/>
    <xf numFmtId="170" fontId="62" fillId="0" borderId="10" xfId="12" applyNumberFormat="1" applyFont="1" applyBorder="1" applyAlignment="1">
      <alignment horizontal="right" vertical="center"/>
    </xf>
    <xf numFmtId="167" fontId="62" fillId="0" borderId="10" xfId="12" applyNumberFormat="1" applyFont="1" applyBorder="1" applyAlignment="1">
      <alignment horizontal="right" vertical="center"/>
    </xf>
    <xf numFmtId="167" fontId="15" fillId="0" borderId="10" xfId="0" applyNumberFormat="1" applyFont="1" applyBorder="1" applyAlignment="1">
      <alignment horizontal="right"/>
    </xf>
    <xf numFmtId="167" fontId="15" fillId="0" borderId="10" xfId="0" applyNumberFormat="1" applyFont="1" applyBorder="1"/>
    <xf numFmtId="171" fontId="15" fillId="0" borderId="10" xfId="0" applyNumberFormat="1" applyFont="1" applyBorder="1"/>
    <xf numFmtId="0" fontId="60" fillId="0" borderId="0" xfId="0" applyFont="1" applyAlignment="1">
      <alignment horizontal="right"/>
    </xf>
    <xf numFmtId="0" fontId="60" fillId="0" borderId="7" xfId="0" applyFont="1" applyBorder="1" applyAlignment="1">
      <alignment horizontal="right"/>
    </xf>
    <xf numFmtId="0" fontId="60" fillId="0" borderId="18" xfId="0" applyFont="1" applyBorder="1" applyAlignment="1">
      <alignment horizontal="right" wrapText="1"/>
    </xf>
    <xf numFmtId="0" fontId="60" fillId="0" borderId="0" xfId="0" applyFont="1" applyAlignment="1">
      <alignment horizontal="right" wrapText="1"/>
    </xf>
    <xf numFmtId="172" fontId="15" fillId="0" borderId="0" xfId="1" applyNumberFormat="1" applyFont="1" applyBorder="1"/>
    <xf numFmtId="9" fontId="29" fillId="0" borderId="0" xfId="5" applyFont="1" applyBorder="1"/>
    <xf numFmtId="9" fontId="29" fillId="0" borderId="7" xfId="5" applyFont="1" applyBorder="1"/>
    <xf numFmtId="172" fontId="15" fillId="0" borderId="7" xfId="1" applyNumberFormat="1" applyFont="1" applyBorder="1"/>
    <xf numFmtId="0" fontId="79" fillId="4" borderId="0" xfId="7" applyFont="1" applyFill="1"/>
    <xf numFmtId="169" fontId="79" fillId="0" borderId="0" xfId="1" applyNumberFormat="1" applyFont="1" applyFill="1" applyBorder="1"/>
    <xf numFmtId="169" fontId="15" fillId="0" borderId="14" xfId="0" applyNumberFormat="1" applyFont="1" applyBorder="1"/>
    <xf numFmtId="169" fontId="15" fillId="0" borderId="8" xfId="0" applyNumberFormat="1" applyFont="1" applyBorder="1" applyAlignment="1">
      <alignment horizontal="center"/>
    </xf>
    <xf numFmtId="172" fontId="15" fillId="0" borderId="9" xfId="0" applyNumberFormat="1" applyFont="1" applyBorder="1"/>
    <xf numFmtId="9" fontId="15" fillId="0" borderId="9" xfId="5" applyFont="1" applyBorder="1"/>
    <xf numFmtId="9" fontId="15" fillId="0" borderId="12" xfId="5" applyFont="1" applyBorder="1"/>
    <xf numFmtId="172" fontId="15" fillId="0" borderId="12" xfId="0" applyNumberFormat="1" applyFont="1" applyBorder="1"/>
    <xf numFmtId="169" fontId="83" fillId="0" borderId="0" xfId="0" applyNumberFormat="1" applyFont="1"/>
    <xf numFmtId="169" fontId="84" fillId="0" borderId="0" xfId="0" applyNumberFormat="1" applyFont="1" applyAlignment="1">
      <alignment horizontal="left"/>
    </xf>
    <xf numFmtId="169" fontId="85" fillId="0" borderId="0" xfId="0" applyNumberFormat="1" applyFont="1" applyAlignment="1">
      <alignment horizontal="left"/>
    </xf>
    <xf numFmtId="169" fontId="83" fillId="0" borderId="0" xfId="0" applyNumberFormat="1" applyFont="1" applyAlignment="1">
      <alignment horizontal="center"/>
    </xf>
    <xf numFmtId="0" fontId="60" fillId="0" borderId="4" xfId="0" applyFont="1" applyBorder="1" applyAlignment="1">
      <alignment horizontal="right"/>
    </xf>
    <xf numFmtId="0" fontId="60" fillId="0" borderId="4" xfId="0" applyFont="1" applyBorder="1" applyAlignment="1">
      <alignment horizontal="right" wrapText="1"/>
    </xf>
    <xf numFmtId="0" fontId="60" fillId="0" borderId="7" xfId="0" applyFont="1" applyBorder="1" applyAlignment="1">
      <alignment horizontal="right" wrapText="1"/>
    </xf>
    <xf numFmtId="0" fontId="60" fillId="0" borderId="8" xfId="0" applyFont="1" applyBorder="1" applyAlignment="1">
      <alignment horizontal="right"/>
    </xf>
    <xf numFmtId="0" fontId="60" fillId="0" borderId="2" xfId="0" applyFont="1" applyBorder="1" applyAlignment="1">
      <alignment horizontal="right"/>
    </xf>
    <xf numFmtId="0" fontId="61" fillId="0" borderId="8" xfId="0" applyFont="1" applyBorder="1"/>
    <xf numFmtId="0" fontId="9" fillId="0" borderId="0" xfId="0" applyFont="1" applyAlignment="1">
      <alignment wrapText="1"/>
    </xf>
    <xf numFmtId="169" fontId="9" fillId="0" borderId="0" xfId="1" applyNumberFormat="1" applyFont="1" applyFill="1" applyBorder="1" applyAlignment="1"/>
    <xf numFmtId="9" fontId="79" fillId="0" borderId="0" xfId="5" applyFont="1" applyBorder="1"/>
    <xf numFmtId="173" fontId="0" fillId="0" borderId="0" xfId="5" applyNumberFormat="1" applyFont="1" applyBorder="1"/>
    <xf numFmtId="169" fontId="9" fillId="0" borderId="0" xfId="1" applyNumberFormat="1" applyFont="1" applyBorder="1"/>
    <xf numFmtId="169" fontId="9" fillId="0" borderId="0" xfId="1" applyNumberFormat="1" applyFont="1" applyFill="1" applyBorder="1"/>
    <xf numFmtId="9" fontId="9" fillId="0" borderId="0" xfId="5" applyFont="1" applyBorder="1"/>
    <xf numFmtId="169" fontId="9" fillId="0" borderId="0" xfId="5" applyNumberFormat="1" applyFont="1" applyBorder="1"/>
    <xf numFmtId="172" fontId="60" fillId="0" borderId="0" xfId="1" applyNumberFormat="1" applyFont="1"/>
    <xf numFmtId="17" fontId="9" fillId="0" borderId="7" xfId="0" applyNumberFormat="1" applyFont="1" applyBorder="1"/>
    <xf numFmtId="0" fontId="9" fillId="0" borderId="7" xfId="0" applyFont="1" applyBorder="1" applyAlignment="1">
      <alignment horizontal="right" wrapText="1"/>
    </xf>
    <xf numFmtId="0" fontId="1" fillId="0" borderId="0" xfId="16"/>
    <xf numFmtId="0" fontId="65" fillId="0" borderId="0" xfId="16" applyFont="1"/>
    <xf numFmtId="172" fontId="0" fillId="0" borderId="0" xfId="17" applyNumberFormat="1" applyFont="1"/>
    <xf numFmtId="0" fontId="85" fillId="6" borderId="0" xfId="11" applyFont="1" applyFill="1"/>
    <xf numFmtId="0" fontId="86" fillId="6" borderId="0" xfId="11" applyFont="1" applyFill="1"/>
    <xf numFmtId="0" fontId="87" fillId="6" borderId="14" xfId="11" applyFont="1" applyFill="1" applyBorder="1" applyAlignment="1">
      <alignment vertical="center"/>
    </xf>
    <xf numFmtId="0" fontId="87" fillId="6" borderId="11" xfId="11" applyFont="1" applyFill="1" applyBorder="1" applyAlignment="1">
      <alignment vertical="center"/>
    </xf>
    <xf numFmtId="0" fontId="87" fillId="6" borderId="8" xfId="11" applyFont="1" applyFill="1" applyBorder="1" applyAlignment="1">
      <alignment vertical="center"/>
    </xf>
    <xf numFmtId="0" fontId="87" fillId="6" borderId="3" xfId="11" applyFont="1" applyFill="1" applyBorder="1" applyAlignment="1">
      <alignment horizontal="center" vertical="center"/>
    </xf>
    <xf numFmtId="0" fontId="87" fillId="6" borderId="10" xfId="11" applyFont="1" applyFill="1" applyBorder="1" applyAlignment="1">
      <alignment vertical="center"/>
    </xf>
    <xf numFmtId="0" fontId="87" fillId="6" borderId="14" xfId="11" applyFont="1" applyFill="1" applyBorder="1"/>
    <xf numFmtId="3" fontId="89" fillId="6" borderId="11" xfId="11" applyNumberFormat="1" applyFont="1" applyFill="1" applyBorder="1" applyAlignment="1">
      <alignment horizontal="center" vertical="center"/>
    </xf>
    <xf numFmtId="12" fontId="90" fillId="6" borderId="16" xfId="5" applyNumberFormat="1" applyFont="1" applyFill="1" applyBorder="1"/>
    <xf numFmtId="0" fontId="87" fillId="6" borderId="4" xfId="11" applyFont="1" applyFill="1" applyBorder="1"/>
    <xf numFmtId="0" fontId="89" fillId="6" borderId="0" xfId="11" applyFont="1" applyFill="1" applyAlignment="1">
      <alignment horizontal="center" vertical="center"/>
    </xf>
    <xf numFmtId="3" fontId="89" fillId="6" borderId="10" xfId="11" applyNumberFormat="1" applyFont="1" applyFill="1" applyBorder="1" applyAlignment="1">
      <alignment horizontal="center" vertical="center"/>
    </xf>
    <xf numFmtId="170" fontId="90" fillId="6" borderId="0" xfId="5" applyNumberFormat="1" applyFont="1" applyFill="1" applyBorder="1"/>
    <xf numFmtId="12" fontId="90" fillId="6" borderId="7" xfId="5" applyNumberFormat="1" applyFont="1" applyFill="1" applyBorder="1"/>
    <xf numFmtId="3" fontId="89" fillId="6" borderId="0" xfId="11" applyNumberFormat="1" applyFont="1" applyFill="1" applyAlignment="1">
      <alignment horizontal="center" vertical="center"/>
    </xf>
    <xf numFmtId="0" fontId="90" fillId="6" borderId="0" xfId="11" applyFont="1" applyFill="1" applyAlignment="1">
      <alignment horizontal="center"/>
    </xf>
    <xf numFmtId="3" fontId="90" fillId="6" borderId="0" xfId="11" applyNumberFormat="1" applyFont="1" applyFill="1" applyAlignment="1">
      <alignment horizontal="center"/>
    </xf>
    <xf numFmtId="172" fontId="90" fillId="6" borderId="0" xfId="5" applyNumberFormat="1" applyFont="1" applyFill="1" applyBorder="1"/>
    <xf numFmtId="0" fontId="91" fillId="6" borderId="4" xfId="11" applyFont="1" applyFill="1" applyBorder="1"/>
    <xf numFmtId="3" fontId="9" fillId="6" borderId="0" xfId="11" applyNumberFormat="1" applyFont="1" applyFill="1" applyAlignment="1">
      <alignment horizontal="center"/>
    </xf>
    <xf numFmtId="3" fontId="90" fillId="0" borderId="0" xfId="11" applyNumberFormat="1" applyFont="1" applyAlignment="1">
      <alignment horizontal="center"/>
    </xf>
    <xf numFmtId="0" fontId="88" fillId="6" borderId="10" xfId="1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29" fillId="0" borderId="7" xfId="1" applyNumberFormat="1" applyFont="1" applyFill="1" applyBorder="1" applyAlignment="1"/>
    <xf numFmtId="0" fontId="92" fillId="0" borderId="11" xfId="16" applyFont="1" applyBorder="1" applyAlignment="1">
      <alignment horizontal="center"/>
    </xf>
    <xf numFmtId="0" fontId="92" fillId="0" borderId="17" xfId="16" applyFont="1" applyBorder="1" applyAlignment="1">
      <alignment horizontal="center" wrapText="1"/>
    </xf>
    <xf numFmtId="0" fontId="92" fillId="0" borderId="3" xfId="16" applyFont="1" applyBorder="1" applyAlignment="1">
      <alignment horizontal="center"/>
    </xf>
    <xf numFmtId="0" fontId="92" fillId="0" borderId="17" xfId="16" applyFont="1" applyBorder="1" applyAlignment="1">
      <alignment horizontal="center"/>
    </xf>
    <xf numFmtId="0" fontId="92" fillId="0" borderId="10" xfId="16" applyFont="1" applyBorder="1" applyAlignment="1">
      <alignment wrapText="1"/>
    </xf>
    <xf numFmtId="0" fontId="92" fillId="0" borderId="0" xfId="16" applyFont="1"/>
    <xf numFmtId="0" fontId="92" fillId="0" borderId="10" xfId="16" applyFont="1" applyBorder="1"/>
    <xf numFmtId="0" fontId="92" fillId="0" borderId="10" xfId="16" applyFont="1" applyBorder="1" applyAlignment="1">
      <alignment horizontal="right"/>
    </xf>
    <xf numFmtId="9" fontId="92" fillId="0" borderId="0" xfId="5" applyFont="1" applyBorder="1"/>
    <xf numFmtId="9" fontId="92" fillId="0" borderId="10" xfId="5" applyFont="1" applyBorder="1"/>
    <xf numFmtId="0" fontId="92" fillId="0" borderId="17" xfId="16" applyFont="1" applyBorder="1" applyAlignment="1">
      <alignment horizontal="right"/>
    </xf>
    <xf numFmtId="1" fontId="92" fillId="0" borderId="3" xfId="16" applyNumberFormat="1" applyFont="1" applyBorder="1"/>
    <xf numFmtId="1" fontId="92" fillId="0" borderId="17" xfId="16" applyNumberFormat="1" applyFont="1" applyBorder="1"/>
    <xf numFmtId="0" fontId="60" fillId="0" borderId="8" xfId="0" applyFont="1" applyBorder="1" applyAlignment="1">
      <alignment horizontal="right" wrapText="1"/>
    </xf>
    <xf numFmtId="172" fontId="31" fillId="0" borderId="0" xfId="17" applyNumberFormat="1" applyFont="1"/>
    <xf numFmtId="0" fontId="65" fillId="0" borderId="3" xfId="16" applyFont="1" applyBorder="1"/>
    <xf numFmtId="9" fontId="85" fillId="0" borderId="0" xfId="5" applyFont="1"/>
    <xf numFmtId="0" fontId="85" fillId="0" borderId="0" xfId="13" applyFont="1"/>
    <xf numFmtId="0" fontId="87" fillId="0" borderId="0" xfId="13" applyFont="1"/>
    <xf numFmtId="9" fontId="84" fillId="0" borderId="0" xfId="5" applyFont="1"/>
    <xf numFmtId="0" fontId="84" fillId="0" borderId="0" xfId="13" applyFont="1"/>
    <xf numFmtId="1" fontId="87" fillId="0" borderId="0" xfId="13" applyNumberFormat="1" applyFont="1" applyAlignment="1">
      <alignment horizontal="right"/>
    </xf>
    <xf numFmtId="0" fontId="87" fillId="4" borderId="0" xfId="13" applyFont="1" applyFill="1"/>
    <xf numFmtId="12" fontId="87" fillId="4" borderId="0" xfId="13" applyNumberFormat="1" applyFont="1" applyFill="1" applyAlignment="1">
      <alignment horizontal="right"/>
    </xf>
    <xf numFmtId="0" fontId="90" fillId="4" borderId="0" xfId="13" applyFont="1" applyFill="1"/>
    <xf numFmtId="168" fontId="95" fillId="0" borderId="0" xfId="0" applyNumberFormat="1" applyFont="1"/>
    <xf numFmtId="169" fontId="95" fillId="0" borderId="0" xfId="0" applyNumberFormat="1" applyFont="1"/>
    <xf numFmtId="169" fontId="96" fillId="0" borderId="0" xfId="0" applyNumberFormat="1" applyFont="1"/>
    <xf numFmtId="168" fontId="83" fillId="0" borderId="0" xfId="0" applyNumberFormat="1" applyFont="1"/>
    <xf numFmtId="168" fontId="64" fillId="0" borderId="0" xfId="0" applyNumberFormat="1" applyFont="1"/>
    <xf numFmtId="168" fontId="97" fillId="0" borderId="0" xfId="0" applyNumberFormat="1" applyFont="1"/>
    <xf numFmtId="169" fontId="97" fillId="0" borderId="0" xfId="0" applyNumberFormat="1" applyFont="1"/>
    <xf numFmtId="168" fontId="71" fillId="5" borderId="0" xfId="0" applyNumberFormat="1" applyFont="1" applyFill="1"/>
    <xf numFmtId="168" fontId="98" fillId="0" borderId="0" xfId="0" applyNumberFormat="1" applyFont="1"/>
    <xf numFmtId="169" fontId="98" fillId="0" borderId="0" xfId="0" applyNumberFormat="1" applyFont="1"/>
    <xf numFmtId="169" fontId="14" fillId="0" borderId="0" xfId="0" applyNumberFormat="1" applyFont="1" applyAlignment="1">
      <alignment horizontal="center"/>
    </xf>
    <xf numFmtId="168" fontId="15" fillId="5" borderId="0" xfId="0" applyNumberFormat="1" applyFont="1" applyFill="1"/>
    <xf numFmtId="168" fontId="84" fillId="0" borderId="0" xfId="0" applyNumberFormat="1" applyFont="1"/>
    <xf numFmtId="165" fontId="85" fillId="5" borderId="0" xfId="0" applyNumberFormat="1" applyFont="1" applyFill="1"/>
    <xf numFmtId="0" fontId="82" fillId="0" borderId="3" xfId="0" applyFont="1" applyBorder="1"/>
    <xf numFmtId="0" fontId="82" fillId="0" borderId="3" xfId="0" applyFont="1" applyBorder="1" applyAlignment="1">
      <alignment wrapText="1"/>
    </xf>
    <xf numFmtId="0" fontId="15" fillId="0" borderId="0" xfId="0" applyFont="1" applyAlignment="1">
      <alignment horizontal="center" vertical="center"/>
    </xf>
    <xf numFmtId="169" fontId="15" fillId="0" borderId="16" xfId="0" applyNumberFormat="1" applyFont="1" applyBorder="1" applyAlignment="1">
      <alignment horizontal="center" vertical="center" wrapText="1"/>
    </xf>
    <xf numFmtId="0" fontId="22" fillId="7" borderId="0" xfId="0" applyFont="1" applyFill="1"/>
    <xf numFmtId="0" fontId="15" fillId="0" borderId="0" xfId="0" applyFont="1" applyAlignment="1">
      <alignment horizontal="left"/>
    </xf>
    <xf numFmtId="0" fontId="15" fillId="0" borderId="16" xfId="0" applyFont="1" applyBorder="1"/>
    <xf numFmtId="0" fontId="9" fillId="2" borderId="18" xfId="0" applyFont="1" applyFill="1" applyBorder="1"/>
    <xf numFmtId="0" fontId="9" fillId="2" borderId="14" xfId="0" applyFont="1" applyFill="1" applyBorder="1"/>
    <xf numFmtId="0" fontId="15" fillId="0" borderId="18" xfId="0" applyFont="1" applyBorder="1"/>
    <xf numFmtId="0" fontId="9" fillId="2" borderId="16" xfId="0" applyFont="1" applyFill="1" applyBorder="1"/>
    <xf numFmtId="0" fontId="15" fillId="2" borderId="16" xfId="0" applyFont="1" applyFill="1" applyBorder="1"/>
    <xf numFmtId="169" fontId="15" fillId="0" borderId="18" xfId="1" applyNumberFormat="1" applyFont="1" applyFill="1" applyBorder="1" applyAlignment="1"/>
    <xf numFmtId="0" fontId="15" fillId="0" borderId="3" xfId="0" applyFont="1" applyBorder="1" applyAlignment="1">
      <alignment horizontal="left"/>
    </xf>
    <xf numFmtId="0" fontId="15" fillId="0" borderId="20" xfId="0" applyFont="1" applyBorder="1"/>
    <xf numFmtId="168" fontId="15" fillId="0" borderId="4" xfId="0" applyNumberFormat="1" applyFont="1" applyBorder="1" applyAlignment="1">
      <alignment horizontal="right" vertical="center"/>
    </xf>
    <xf numFmtId="168" fontId="7" fillId="0" borderId="4" xfId="1" applyNumberFormat="1" applyFont="1" applyFill="1" applyBorder="1" applyAlignment="1"/>
    <xf numFmtId="168" fontId="15" fillId="0" borderId="21" xfId="1" applyNumberFormat="1" applyFont="1" applyFill="1" applyBorder="1" applyAlignment="1"/>
    <xf numFmtId="0" fontId="15" fillId="2" borderId="18" xfId="0" applyFont="1" applyFill="1" applyBorder="1"/>
    <xf numFmtId="169" fontId="15" fillId="0" borderId="8" xfId="0" applyNumberFormat="1" applyFont="1" applyBorder="1" applyAlignment="1">
      <alignment horizontal="right" vertical="center"/>
    </xf>
    <xf numFmtId="169" fontId="15" fillId="0" borderId="12" xfId="0" applyNumberFormat="1" applyFont="1" applyBorder="1" applyAlignment="1">
      <alignment horizontal="center" vertical="center"/>
    </xf>
    <xf numFmtId="169" fontId="15" fillId="0" borderId="18" xfId="0" applyNumberFormat="1" applyFont="1" applyBorder="1" applyAlignment="1">
      <alignment horizontal="left" vertical="center"/>
    </xf>
    <xf numFmtId="0" fontId="42" fillId="2" borderId="0" xfId="0" applyFont="1" applyFill="1"/>
    <xf numFmtId="169" fontId="15" fillId="0" borderId="2" xfId="0" applyNumberFormat="1" applyFont="1" applyBorder="1" applyAlignment="1">
      <alignment horizontal="right" vertical="center"/>
    </xf>
    <xf numFmtId="0" fontId="60" fillId="0" borderId="2" xfId="13" applyFont="1" applyBorder="1"/>
    <xf numFmtId="0" fontId="60" fillId="0" borderId="14" xfId="13" applyFont="1" applyBorder="1" applyAlignment="1">
      <alignment horizontal="center"/>
    </xf>
    <xf numFmtId="169" fontId="60" fillId="0" borderId="18" xfId="1" applyNumberFormat="1" applyFont="1" applyFill="1" applyBorder="1"/>
    <xf numFmtId="169" fontId="60" fillId="0" borderId="18" xfId="1" applyNumberFormat="1" applyFont="1" applyFill="1" applyBorder="1" applyAlignment="1">
      <alignment horizontal="right"/>
    </xf>
    <xf numFmtId="169" fontId="15" fillId="0" borderId="16" xfId="0" applyNumberFormat="1" applyFont="1" applyBorder="1" applyAlignment="1">
      <alignment horizontal="left"/>
    </xf>
    <xf numFmtId="167" fontId="15" fillId="0" borderId="7" xfId="0" applyNumberFormat="1" applyFont="1" applyBorder="1"/>
    <xf numFmtId="0" fontId="27" fillId="0" borderId="8" xfId="0" applyFont="1" applyBorder="1" applyAlignment="1">
      <alignment horizontal="center"/>
    </xf>
    <xf numFmtId="0" fontId="62" fillId="0" borderId="0" xfId="11" applyFont="1" applyAlignment="1">
      <alignment horizontal="center" vertical="center"/>
    </xf>
    <xf numFmtId="0" fontId="63" fillId="0" borderId="2" xfId="11" applyFont="1" applyBorder="1" applyAlignment="1">
      <alignment horizontal="right" vertical="center"/>
    </xf>
    <xf numFmtId="170" fontId="62" fillId="0" borderId="7" xfId="12" applyNumberFormat="1" applyFont="1" applyBorder="1" applyAlignment="1">
      <alignment horizontal="right" vertical="center"/>
    </xf>
    <xf numFmtId="167" fontId="15" fillId="0" borderId="7" xfId="0" applyNumberFormat="1" applyFont="1" applyBorder="1" applyAlignment="1">
      <alignment horizontal="right"/>
    </xf>
    <xf numFmtId="171" fontId="15" fillId="0" borderId="7" xfId="0" applyNumberFormat="1" applyFont="1" applyBorder="1"/>
    <xf numFmtId="172" fontId="0" fillId="0" borderId="0" xfId="0" applyNumberFormat="1"/>
    <xf numFmtId="169" fontId="15" fillId="0" borderId="0" xfId="0" applyNumberFormat="1" applyFont="1" applyAlignment="1">
      <alignment horizontal="left" vertical="center"/>
    </xf>
    <xf numFmtId="169" fontId="15" fillId="0" borderId="7" xfId="0" applyNumberFormat="1" applyFont="1" applyBorder="1" applyAlignment="1">
      <alignment horizontal="right"/>
    </xf>
    <xf numFmtId="169" fontId="15" fillId="0" borderId="2" xfId="0" applyNumberFormat="1" applyFont="1" applyBorder="1" applyAlignment="1">
      <alignment horizontal="right" vertical="top"/>
    </xf>
    <xf numFmtId="169" fontId="15" fillId="0" borderId="8" xfId="0" applyNumberFormat="1" applyFont="1" applyBorder="1" applyAlignment="1">
      <alignment horizontal="center" vertical="top"/>
    </xf>
    <xf numFmtId="169" fontId="15" fillId="0" borderId="4" xfId="0" applyNumberFormat="1" applyFont="1" applyBorder="1" applyAlignment="1">
      <alignment horizontal="right"/>
    </xf>
    <xf numFmtId="169" fontId="60" fillId="0" borderId="0" xfId="1" applyNumberFormat="1" applyFont="1" applyBorder="1"/>
    <xf numFmtId="1" fontId="0" fillId="0" borderId="0" xfId="0" applyNumberFormat="1"/>
    <xf numFmtId="0" fontId="89" fillId="6" borderId="18" xfId="11" applyFont="1" applyFill="1" applyBorder="1" applyAlignment="1">
      <alignment horizontal="center" vertical="center"/>
    </xf>
    <xf numFmtId="170" fontId="90" fillId="6" borderId="18" xfId="5" applyNumberFormat="1" applyFont="1" applyFill="1" applyBorder="1"/>
    <xf numFmtId="3" fontId="89" fillId="0" borderId="10" xfId="11" applyNumberFormat="1" applyFont="1" applyBorder="1" applyAlignment="1">
      <alignment horizontal="center" vertical="center"/>
    </xf>
    <xf numFmtId="0" fontId="87" fillId="6" borderId="17" xfId="11" applyFont="1" applyFill="1" applyBorder="1" applyAlignment="1">
      <alignment vertical="center"/>
    </xf>
    <xf numFmtId="0" fontId="88" fillId="6" borderId="11" xfId="11" applyFont="1" applyFill="1" applyBorder="1" applyAlignment="1">
      <alignment horizontal="center" vertical="center"/>
    </xf>
    <xf numFmtId="0" fontId="88" fillId="0" borderId="10" xfId="11" applyFont="1" applyBorder="1" applyAlignment="1">
      <alignment horizontal="center" vertical="center"/>
    </xf>
    <xf numFmtId="168" fontId="83" fillId="5" borderId="0" xfId="0" applyNumberFormat="1" applyFont="1" applyFill="1"/>
    <xf numFmtId="9" fontId="92" fillId="0" borderId="7" xfId="5" applyFont="1" applyBorder="1"/>
    <xf numFmtId="0" fontId="16" fillId="0" borderId="3" xfId="0" applyFont="1" applyBorder="1"/>
    <xf numFmtId="175" fontId="15" fillId="0" borderId="0" xfId="1" applyNumberFormat="1" applyFont="1" applyFill="1" applyBorder="1"/>
    <xf numFmtId="175" fontId="15" fillId="0" borderId="0" xfId="0" applyNumberFormat="1" applyFont="1"/>
    <xf numFmtId="0" fontId="7" fillId="0" borderId="4" xfId="0" applyFont="1" applyBorder="1"/>
    <xf numFmtId="164" fontId="90" fillId="6" borderId="0" xfId="11" applyNumberFormat="1" applyFont="1" applyFill="1" applyAlignment="1">
      <alignment horizontal="center"/>
    </xf>
    <xf numFmtId="169" fontId="90" fillId="6" borderId="0" xfId="5" applyNumberFormat="1" applyFont="1" applyFill="1" applyBorder="1"/>
    <xf numFmtId="168" fontId="15" fillId="0" borderId="3" xfId="0" applyNumberFormat="1" applyFont="1" applyBorder="1"/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6" xfId="0" applyFont="1" applyBorder="1" applyAlignment="1">
      <alignment horizontal="right"/>
    </xf>
    <xf numFmtId="0" fontId="15" fillId="0" borderId="7" xfId="0" applyFont="1" applyBorder="1" applyAlignment="1">
      <alignment horizontal="center"/>
    </xf>
    <xf numFmtId="169" fontId="14" fillId="0" borderId="7" xfId="1" applyNumberFormat="1" applyFont="1" applyFill="1" applyBorder="1"/>
    <xf numFmtId="3" fontId="15" fillId="0" borderId="3" xfId="0" applyNumberFormat="1" applyFont="1" applyBorder="1"/>
    <xf numFmtId="169" fontId="60" fillId="0" borderId="4" xfId="1" applyNumberFormat="1" applyFont="1" applyFill="1" applyBorder="1"/>
    <xf numFmtId="169" fontId="60" fillId="0" borderId="7" xfId="1" applyNumberFormat="1" applyFont="1" applyFill="1" applyBorder="1"/>
    <xf numFmtId="0" fontId="60" fillId="0" borderId="3" xfId="13" applyFont="1" applyBorder="1"/>
    <xf numFmtId="0" fontId="60" fillId="0" borderId="18" xfId="13" applyFont="1" applyBorder="1"/>
    <xf numFmtId="0" fontId="60" fillId="0" borderId="3" xfId="13" applyFont="1" applyBorder="1" applyAlignment="1">
      <alignment horizontal="left"/>
    </xf>
    <xf numFmtId="0" fontId="60" fillId="0" borderId="0" xfId="13" applyFont="1" applyAlignment="1">
      <alignment horizontal="left"/>
    </xf>
    <xf numFmtId="0" fontId="60" fillId="0" borderId="16" xfId="0" applyFont="1" applyBorder="1"/>
    <xf numFmtId="0" fontId="60" fillId="0" borderId="2" xfId="0" applyFont="1" applyBorder="1" applyAlignment="1">
      <alignment horizontal="left" wrapText="1"/>
    </xf>
    <xf numFmtId="169" fontId="60" fillId="0" borderId="4" xfId="0" applyNumberFormat="1" applyFont="1" applyBorder="1" applyAlignment="1">
      <alignment horizontal="center" wrapText="1"/>
    </xf>
    <xf numFmtId="0" fontId="60" fillId="0" borderId="7" xfId="0" applyFont="1" applyBorder="1" applyAlignment="1">
      <alignment horizontal="left" wrapText="1"/>
    </xf>
    <xf numFmtId="169" fontId="60" fillId="0" borderId="7" xfId="1" applyNumberFormat="1" applyFont="1" applyFill="1" applyBorder="1" applyAlignment="1">
      <alignment horizontal="right"/>
    </xf>
    <xf numFmtId="169" fontId="60" fillId="0" borderId="14" xfId="1" applyNumberFormat="1" applyFont="1" applyFill="1" applyBorder="1"/>
    <xf numFmtId="169" fontId="60" fillId="0" borderId="16" xfId="1" applyNumberFormat="1" applyFont="1" applyFill="1" applyBorder="1" applyAlignment="1">
      <alignment horizontal="right"/>
    </xf>
    <xf numFmtId="169" fontId="60" fillId="0" borderId="7" xfId="1" applyNumberFormat="1" applyFont="1" applyFill="1" applyBorder="1" applyAlignment="1"/>
    <xf numFmtId="169" fontId="60" fillId="0" borderId="8" xfId="1" applyNumberFormat="1" applyFont="1" applyFill="1" applyBorder="1"/>
    <xf numFmtId="167" fontId="15" fillId="0" borderId="8" xfId="0" applyNumberFormat="1" applyFont="1" applyBorder="1"/>
    <xf numFmtId="0" fontId="79" fillId="0" borderId="14" xfId="7" applyFont="1" applyBorder="1"/>
    <xf numFmtId="0" fontId="80" fillId="0" borderId="18" xfId="7" applyFont="1" applyBorder="1" applyAlignment="1">
      <alignment horizontal="center"/>
    </xf>
    <xf numFmtId="0" fontId="80" fillId="0" borderId="16" xfId="7" applyFont="1" applyBorder="1" applyAlignment="1">
      <alignment horizontal="center"/>
    </xf>
    <xf numFmtId="0" fontId="80" fillId="0" borderId="4" xfId="7" applyFont="1" applyBorder="1"/>
    <xf numFmtId="0" fontId="79" fillId="0" borderId="0" xfId="7" applyFont="1"/>
    <xf numFmtId="0" fontId="79" fillId="0" borderId="7" xfId="7" applyFont="1" applyBorder="1"/>
    <xf numFmtId="0" fontId="79" fillId="0" borderId="4" xfId="7" applyFont="1" applyBorder="1"/>
    <xf numFmtId="0" fontId="81" fillId="0" borderId="0" xfId="7" applyFont="1"/>
    <xf numFmtId="0" fontId="79" fillId="0" borderId="8" xfId="7" applyFont="1" applyBorder="1"/>
    <xf numFmtId="0" fontId="79" fillId="0" borderId="3" xfId="7" applyFont="1" applyBorder="1"/>
    <xf numFmtId="0" fontId="79" fillId="0" borderId="2" xfId="7" applyFont="1" applyBorder="1"/>
    <xf numFmtId="0" fontId="80" fillId="0" borderId="14" xfId="7" applyFont="1" applyBorder="1"/>
    <xf numFmtId="17" fontId="80" fillId="0" borderId="18" xfId="7" applyNumberFormat="1" applyFont="1" applyBorder="1"/>
    <xf numFmtId="0" fontId="79" fillId="0" borderId="18" xfId="7" applyFont="1" applyBorder="1"/>
    <xf numFmtId="0" fontId="79" fillId="0" borderId="16" xfId="7" applyFont="1" applyBorder="1"/>
    <xf numFmtId="169" fontId="79" fillId="0" borderId="7" xfId="7" applyNumberFormat="1" applyFont="1" applyBorder="1"/>
    <xf numFmtId="169" fontId="80" fillId="0" borderId="3" xfId="7" applyNumberFormat="1" applyFont="1" applyBorder="1"/>
    <xf numFmtId="169" fontId="79" fillId="0" borderId="2" xfId="7" applyNumberFormat="1" applyFont="1" applyBorder="1"/>
    <xf numFmtId="0" fontId="63" fillId="0" borderId="18" xfId="11" applyFont="1" applyBorder="1" applyAlignment="1">
      <alignment horizontal="center" vertical="center"/>
    </xf>
    <xf numFmtId="169" fontId="15" fillId="0" borderId="18" xfId="0" applyNumberFormat="1" applyFont="1" applyBorder="1"/>
    <xf numFmtId="169" fontId="15" fillId="0" borderId="3" xfId="0" applyNumberFormat="1" applyFont="1" applyBorder="1"/>
    <xf numFmtId="169" fontId="15" fillId="0" borderId="3" xfId="1" applyNumberFormat="1" applyFont="1" applyFill="1" applyBorder="1"/>
    <xf numFmtId="3" fontId="15" fillId="0" borderId="0" xfId="0" applyNumberFormat="1" applyFont="1"/>
    <xf numFmtId="3" fontId="15" fillId="0" borderId="4" xfId="0" applyNumberFormat="1" applyFont="1" applyBorder="1"/>
    <xf numFmtId="0" fontId="8" fillId="2" borderId="18" xfId="0" applyFont="1" applyFill="1" applyBorder="1"/>
    <xf numFmtId="0" fontId="87" fillId="6" borderId="8" xfId="11" applyFont="1" applyFill="1" applyBorder="1"/>
    <xf numFmtId="164" fontId="90" fillId="6" borderId="3" xfId="11" applyNumberFormat="1" applyFont="1" applyFill="1" applyBorder="1" applyAlignment="1">
      <alignment horizontal="center"/>
    </xf>
    <xf numFmtId="3" fontId="90" fillId="6" borderId="3" xfId="11" applyNumberFormat="1" applyFont="1" applyFill="1" applyBorder="1" applyAlignment="1">
      <alignment horizontal="center"/>
    </xf>
    <xf numFmtId="169" fontId="90" fillId="6" borderId="3" xfId="5" applyNumberFormat="1" applyFont="1" applyFill="1" applyBorder="1"/>
    <xf numFmtId="12" fontId="90" fillId="6" borderId="2" xfId="5" applyNumberFormat="1" applyFont="1" applyFill="1" applyBorder="1"/>
    <xf numFmtId="0" fontId="88" fillId="6" borderId="17" xfId="11" applyFont="1" applyFill="1" applyBorder="1" applyAlignment="1">
      <alignment horizontal="center" vertical="center"/>
    </xf>
    <xf numFmtId="3" fontId="89" fillId="6" borderId="17" xfId="11" applyNumberFormat="1" applyFont="1" applyFill="1" applyBorder="1" applyAlignment="1">
      <alignment horizontal="center" vertical="center"/>
    </xf>
    <xf numFmtId="169" fontId="90" fillId="6" borderId="14" xfId="1" applyNumberFormat="1" applyFont="1" applyFill="1" applyBorder="1"/>
    <xf numFmtId="169" fontId="90" fillId="6" borderId="4" xfId="1" applyNumberFormat="1" applyFont="1" applyFill="1" applyBorder="1"/>
    <xf numFmtId="169" fontId="90" fillId="6" borderId="8" xfId="1" applyNumberFormat="1" applyFont="1" applyFill="1" applyBorder="1"/>
    <xf numFmtId="167" fontId="15" fillId="0" borderId="2" xfId="0" applyNumberFormat="1" applyFont="1" applyBorder="1"/>
    <xf numFmtId="0" fontId="15" fillId="2" borderId="18" xfId="0" applyFont="1" applyFill="1" applyBorder="1" applyAlignment="1">
      <alignment horizontal="center"/>
    </xf>
    <xf numFmtId="170" fontId="15" fillId="0" borderId="2" xfId="1" applyNumberFormat="1" applyFont="1" applyFill="1" applyBorder="1" applyAlignment="1"/>
    <xf numFmtId="169" fontId="15" fillId="0" borderId="0" xfId="0" applyNumberFormat="1" applyFont="1" applyAlignment="1">
      <alignment horizontal="center" vertical="center"/>
    </xf>
    <xf numFmtId="169" fontId="15" fillId="0" borderId="7" xfId="0" applyNumberFormat="1" applyFont="1" applyBorder="1" applyAlignment="1">
      <alignment vertical="center"/>
    </xf>
    <xf numFmtId="169" fontId="15" fillId="0" borderId="18" xfId="0" applyNumberFormat="1" applyFont="1" applyBorder="1" applyAlignment="1">
      <alignment horizontal="center" vertical="center"/>
    </xf>
    <xf numFmtId="169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9" fontId="15" fillId="0" borderId="18" xfId="0" applyNumberFormat="1" applyFont="1" applyBorder="1" applyAlignment="1">
      <alignment horizontal="center"/>
    </xf>
    <xf numFmtId="169" fontId="15" fillId="0" borderId="3" xfId="0" applyNumberFormat="1" applyFont="1" applyBorder="1" applyAlignment="1">
      <alignment horizontal="center"/>
    </xf>
    <xf numFmtId="168" fontId="15" fillId="0" borderId="2" xfId="1" applyNumberFormat="1" applyFont="1" applyFill="1" applyBorder="1" applyAlignment="1"/>
    <xf numFmtId="0" fontId="60" fillId="0" borderId="18" xfId="13" applyFont="1" applyBorder="1" applyAlignment="1">
      <alignment horizontal="left"/>
    </xf>
    <xf numFmtId="169" fontId="60" fillId="0" borderId="2" xfId="1" applyNumberFormat="1" applyFont="1" applyFill="1" applyBorder="1"/>
    <xf numFmtId="49" fontId="12" fillId="0" borderId="0" xfId="0" applyNumberFormat="1" applyFont="1"/>
    <xf numFmtId="49" fontId="8" fillId="0" borderId="0" xfId="1" applyNumberFormat="1" applyFont="1" applyFill="1" applyBorder="1" applyAlignment="1">
      <alignment horizontal="right"/>
    </xf>
    <xf numFmtId="49" fontId="8" fillId="0" borderId="0" xfId="0" applyNumberFormat="1" applyFont="1" applyAlignment="1">
      <alignment horizontal="right"/>
    </xf>
    <xf numFmtId="0" fontId="15" fillId="0" borderId="18" xfId="0" applyFont="1" applyBorder="1" applyAlignment="1">
      <alignment horizontal="center"/>
    </xf>
    <xf numFmtId="3" fontId="15" fillId="0" borderId="14" xfId="0" applyNumberFormat="1" applyFont="1" applyBorder="1" applyAlignment="1">
      <alignment horizontal="right"/>
    </xf>
    <xf numFmtId="49" fontId="21" fillId="0" borderId="0" xfId="0" applyNumberFormat="1" applyFont="1"/>
    <xf numFmtId="167" fontId="99" fillId="0" borderId="0" xfId="0" applyNumberFormat="1" applyFont="1"/>
    <xf numFmtId="49" fontId="21" fillId="0" borderId="0" xfId="0" applyNumberFormat="1" applyFont="1" applyAlignment="1">
      <alignment horizontal="right"/>
    </xf>
    <xf numFmtId="0" fontId="15" fillId="6" borderId="0" xfId="0" applyFont="1" applyFill="1" applyAlignment="1">
      <alignment horizontal="center"/>
    </xf>
    <xf numFmtId="169" fontId="15" fillId="0" borderId="7" xfId="1" applyNumberFormat="1" applyFont="1" applyFill="1" applyBorder="1"/>
    <xf numFmtId="0" fontId="15" fillId="0" borderId="4" xfId="0" applyFont="1" applyBorder="1" applyAlignment="1">
      <alignment horizontal="right"/>
    </xf>
    <xf numFmtId="169" fontId="15" fillId="0" borderId="16" xfId="0" applyNumberFormat="1" applyFont="1" applyBorder="1" applyAlignment="1">
      <alignment horizontal="center" vertical="center"/>
    </xf>
    <xf numFmtId="169" fontId="15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0" fillId="0" borderId="4" xfId="0" applyFont="1" applyBorder="1"/>
    <xf numFmtId="3" fontId="10" fillId="0" borderId="4" xfId="0" applyNumberFormat="1" applyFont="1" applyBorder="1"/>
    <xf numFmtId="169" fontId="15" fillId="0" borderId="0" xfId="1" applyNumberFormat="1" applyFont="1" applyFill="1" applyBorder="1" applyAlignment="1">
      <alignment horizontal="right" indent="1"/>
    </xf>
    <xf numFmtId="2" fontId="15" fillId="0" borderId="0" xfId="1" applyNumberFormat="1" applyFont="1" applyFill="1" applyBorder="1"/>
    <xf numFmtId="169" fontId="15" fillId="0" borderId="0" xfId="1" applyNumberFormat="1" applyFont="1" applyFill="1" applyBorder="1" applyAlignment="1">
      <alignment horizontal="left" indent="4"/>
    </xf>
    <xf numFmtId="0" fontId="60" fillId="6" borderId="14" xfId="0" applyFont="1" applyFill="1" applyBorder="1" applyAlignment="1">
      <alignment horizontal="right"/>
    </xf>
    <xf numFmtId="0" fontId="60" fillId="6" borderId="16" xfId="0" applyFont="1" applyFill="1" applyBorder="1" applyAlignment="1">
      <alignment horizontal="right"/>
    </xf>
    <xf numFmtId="0" fontId="0" fillId="6" borderId="0" xfId="0" applyFill="1"/>
    <xf numFmtId="0" fontId="60" fillId="6" borderId="4" xfId="0" applyFont="1" applyFill="1" applyBorder="1" applyAlignment="1">
      <alignment horizontal="right"/>
    </xf>
    <xf numFmtId="0" fontId="60" fillId="6" borderId="7" xfId="0" applyFont="1" applyFill="1" applyBorder="1" applyAlignment="1">
      <alignment horizontal="right"/>
    </xf>
    <xf numFmtId="0" fontId="0" fillId="6" borderId="3" xfId="0" applyFill="1" applyBorder="1"/>
    <xf numFmtId="0" fontId="61" fillId="6" borderId="2" xfId="0" applyFont="1" applyFill="1" applyBorder="1"/>
    <xf numFmtId="0" fontId="60" fillId="6" borderId="18" xfId="0" applyFont="1" applyFill="1" applyBorder="1" applyAlignment="1">
      <alignment horizontal="right" wrapText="1"/>
    </xf>
    <xf numFmtId="0" fontId="60" fillId="6" borderId="18" xfId="0" applyFont="1" applyFill="1" applyBorder="1" applyAlignment="1">
      <alignment horizontal="right"/>
    </xf>
    <xf numFmtId="0" fontId="60" fillId="6" borderId="0" xfId="0" applyFont="1" applyFill="1" applyAlignment="1">
      <alignment horizontal="right" wrapText="1"/>
    </xf>
    <xf numFmtId="0" fontId="60" fillId="6" borderId="0" xfId="0" applyFont="1" applyFill="1" applyAlignment="1">
      <alignment horizontal="right"/>
    </xf>
    <xf numFmtId="9" fontId="29" fillId="6" borderId="0" xfId="5" applyFont="1" applyFill="1" applyBorder="1"/>
    <xf numFmtId="9" fontId="29" fillId="6" borderId="7" xfId="5" applyFont="1" applyFill="1" applyBorder="1"/>
    <xf numFmtId="172" fontId="15" fillId="6" borderId="7" xfId="1" applyNumberFormat="1" applyFont="1" applyFill="1" applyBorder="1"/>
    <xf numFmtId="172" fontId="15" fillId="6" borderId="12" xfId="0" applyNumberFormat="1" applyFont="1" applyFill="1" applyBorder="1"/>
    <xf numFmtId="0" fontId="76" fillId="6" borderId="0" xfId="0" applyFont="1" applyFill="1"/>
    <xf numFmtId="0" fontId="75" fillId="6" borderId="0" xfId="0" applyFont="1" applyFill="1" applyAlignment="1">
      <alignment horizontal="left" vertical="center"/>
    </xf>
    <xf numFmtId="169" fontId="17" fillId="6" borderId="0" xfId="0" applyNumberFormat="1" applyFont="1" applyFill="1" applyAlignment="1">
      <alignment horizontal="left"/>
    </xf>
    <xf numFmtId="172" fontId="0" fillId="6" borderId="0" xfId="0" applyNumberFormat="1" applyFill="1"/>
    <xf numFmtId="0" fontId="77" fillId="6" borderId="0" xfId="0" applyFont="1" applyFill="1" applyAlignment="1">
      <alignment horizontal="right"/>
    </xf>
    <xf numFmtId="0" fontId="77" fillId="6" borderId="7" xfId="0" applyFont="1" applyFill="1" applyBorder="1" applyAlignment="1">
      <alignment horizontal="right"/>
    </xf>
    <xf numFmtId="172" fontId="15" fillId="6" borderId="3" xfId="0" applyNumberFormat="1" applyFont="1" applyFill="1" applyBorder="1"/>
    <xf numFmtId="9" fontId="15" fillId="6" borderId="3" xfId="5" applyFont="1" applyFill="1" applyBorder="1"/>
    <xf numFmtId="9" fontId="15" fillId="6" borderId="2" xfId="5" applyFont="1" applyFill="1" applyBorder="1"/>
    <xf numFmtId="9" fontId="29" fillId="6" borderId="18" xfId="5" applyFont="1" applyFill="1" applyBorder="1"/>
    <xf numFmtId="9" fontId="29" fillId="6" borderId="16" xfId="5" applyFont="1" applyFill="1" applyBorder="1"/>
    <xf numFmtId="9" fontId="29" fillId="6" borderId="3" xfId="5" applyFont="1" applyFill="1" applyBorder="1"/>
    <xf numFmtId="9" fontId="29" fillId="6" borderId="2" xfId="5" applyFont="1" applyFill="1" applyBorder="1"/>
    <xf numFmtId="0" fontId="15" fillId="6" borderId="14" xfId="0" applyFont="1" applyFill="1" applyBorder="1"/>
    <xf numFmtId="0" fontId="15" fillId="6" borderId="4" xfId="0" applyFont="1" applyFill="1" applyBorder="1"/>
    <xf numFmtId="0" fontId="15" fillId="6" borderId="8" xfId="0" applyFont="1" applyFill="1" applyBorder="1"/>
    <xf numFmtId="0" fontId="15" fillId="6" borderId="18" xfId="0" applyFont="1" applyFill="1" applyBorder="1"/>
    <xf numFmtId="0" fontId="15" fillId="6" borderId="3" xfId="0" applyFont="1" applyFill="1" applyBorder="1"/>
    <xf numFmtId="169" fontId="15" fillId="0" borderId="0" xfId="1" applyNumberFormat="1" applyFont="1" applyFill="1" applyBorder="1" applyAlignment="1">
      <alignment horizontal="left" indent="1"/>
    </xf>
    <xf numFmtId="169" fontId="15" fillId="0" borderId="0" xfId="1" applyNumberFormat="1" applyFont="1" applyFill="1" applyBorder="1" applyAlignment="1">
      <alignment horizontal="left" vertical="center" indent="1"/>
    </xf>
    <xf numFmtId="169" fontId="15" fillId="0" borderId="0" xfId="1" applyNumberFormat="1" applyFont="1" applyFill="1" applyBorder="1" applyAlignment="1">
      <alignment horizontal="left" vertical="top" indent="1"/>
    </xf>
    <xf numFmtId="0" fontId="15" fillId="0" borderId="0" xfId="0" applyFont="1" applyAlignment="1">
      <alignment horizontal="left" indent="4"/>
    </xf>
    <xf numFmtId="169" fontId="11" fillId="6" borderId="0" xfId="0" applyNumberFormat="1" applyFont="1" applyFill="1" applyAlignment="1">
      <alignment horizontal="left"/>
    </xf>
    <xf numFmtId="168" fontId="11" fillId="6" borderId="0" xfId="0" applyNumberFormat="1" applyFont="1" applyFill="1" applyAlignment="1">
      <alignment horizontal="left"/>
    </xf>
    <xf numFmtId="168" fontId="26" fillId="6" borderId="0" xfId="0" applyNumberFormat="1" applyFont="1" applyFill="1" applyAlignment="1">
      <alignment horizontal="left"/>
    </xf>
    <xf numFmtId="169" fontId="12" fillId="6" borderId="0" xfId="0" applyNumberFormat="1" applyFont="1" applyFill="1" applyAlignment="1">
      <alignment horizontal="left"/>
    </xf>
    <xf numFmtId="169" fontId="12" fillId="6" borderId="0" xfId="0" applyNumberFormat="1" applyFont="1" applyFill="1" applyAlignment="1">
      <alignment horizontal="center"/>
    </xf>
    <xf numFmtId="169" fontId="12" fillId="6" borderId="0" xfId="0" applyNumberFormat="1" applyFont="1" applyFill="1"/>
    <xf numFmtId="169" fontId="26" fillId="6" borderId="0" xfId="0" applyNumberFormat="1" applyFont="1" applyFill="1"/>
    <xf numFmtId="168" fontId="26" fillId="6" borderId="0" xfId="0" applyNumberFormat="1" applyFont="1" applyFill="1"/>
    <xf numFmtId="169" fontId="15" fillId="6" borderId="18" xfId="0" applyNumberFormat="1" applyFont="1" applyFill="1" applyBorder="1" applyAlignment="1">
      <alignment horizontal="center" vertical="center"/>
    </xf>
    <xf numFmtId="169" fontId="15" fillId="6" borderId="16" xfId="0" applyNumberFormat="1" applyFont="1" applyFill="1" applyBorder="1" applyAlignment="1">
      <alignment horizontal="center" vertical="center" wrapText="1"/>
    </xf>
    <xf numFmtId="169" fontId="15" fillId="6" borderId="3" xfId="0" applyNumberFormat="1" applyFont="1" applyFill="1" applyBorder="1" applyAlignment="1">
      <alignment horizontal="center" vertical="center"/>
    </xf>
    <xf numFmtId="169" fontId="15" fillId="6" borderId="13" xfId="0" applyNumberFormat="1" applyFont="1" applyFill="1" applyBorder="1" applyAlignment="1">
      <alignment horizontal="right" vertical="center"/>
    </xf>
    <xf numFmtId="169" fontId="15" fillId="6" borderId="9" xfId="0" applyNumberFormat="1" applyFont="1" applyFill="1" applyBorder="1" applyAlignment="1">
      <alignment horizontal="right" vertical="center"/>
    </xf>
    <xf numFmtId="169" fontId="15" fillId="6" borderId="12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center" vertical="center"/>
    </xf>
    <xf numFmtId="0" fontId="15" fillId="6" borderId="4" xfId="2" applyNumberFormat="1" applyFont="1" applyFill="1" applyBorder="1" applyAlignment="1">
      <alignment horizontal="center"/>
    </xf>
    <xf numFmtId="168" fontId="15" fillId="6" borderId="4" xfId="0" applyNumberFormat="1" applyFont="1" applyFill="1" applyBorder="1" applyAlignment="1">
      <alignment horizontal="right" vertical="center"/>
    </xf>
    <xf numFmtId="169" fontId="15" fillId="6" borderId="0" xfId="0" applyNumberFormat="1" applyFont="1" applyFill="1" applyAlignment="1">
      <alignment horizontal="right" vertical="center"/>
    </xf>
    <xf numFmtId="168" fontId="15" fillId="6" borderId="0" xfId="0" applyNumberFormat="1" applyFont="1" applyFill="1" applyAlignment="1">
      <alignment horizontal="right" vertical="center"/>
    </xf>
    <xf numFmtId="169" fontId="15" fillId="6" borderId="7" xfId="0" applyNumberFormat="1" applyFont="1" applyFill="1" applyBorder="1" applyAlignment="1">
      <alignment horizontal="right" vertical="center"/>
    </xf>
    <xf numFmtId="169" fontId="15" fillId="6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169" fontId="15" fillId="6" borderId="7" xfId="0" applyNumberFormat="1" applyFont="1" applyFill="1" applyBorder="1" applyAlignment="1">
      <alignment vertical="center"/>
    </xf>
    <xf numFmtId="169" fontId="15" fillId="6" borderId="0" xfId="0" applyNumberFormat="1" applyFont="1" applyFill="1" applyAlignment="1">
      <alignment horizontal="center" vertical="center"/>
    </xf>
    <xf numFmtId="0" fontId="15" fillId="6" borderId="0" xfId="2" applyNumberFormat="1" applyFont="1" applyFill="1" applyBorder="1" applyAlignment="1">
      <alignment horizontal="center"/>
    </xf>
    <xf numFmtId="169" fontId="15" fillId="6" borderId="0" xfId="0" applyNumberFormat="1" applyFont="1" applyFill="1" applyAlignment="1">
      <alignment horizontal="left" vertical="center"/>
    </xf>
    <xf numFmtId="169" fontId="15" fillId="6" borderId="7" xfId="0" applyNumberFormat="1" applyFont="1" applyFill="1" applyBorder="1"/>
    <xf numFmtId="169" fontId="14" fillId="6" borderId="0" xfId="0" applyNumberFormat="1" applyFont="1" applyFill="1"/>
    <xf numFmtId="168" fontId="15" fillId="6" borderId="4" xfId="1" applyNumberFormat="1" applyFont="1" applyFill="1" applyBorder="1" applyAlignment="1"/>
    <xf numFmtId="168" fontId="15" fillId="6" borderId="0" xfId="1" applyNumberFormat="1" applyFont="1" applyFill="1" applyBorder="1" applyAlignment="1"/>
    <xf numFmtId="168" fontId="15" fillId="6" borderId="0" xfId="1" applyNumberFormat="1" applyFont="1" applyFill="1" applyBorder="1" applyAlignment="1">
      <alignment horizontal="right"/>
    </xf>
    <xf numFmtId="168" fontId="15" fillId="6" borderId="7" xfId="1" applyNumberFormat="1" applyFont="1" applyFill="1" applyBorder="1" applyAlignment="1"/>
    <xf numFmtId="169" fontId="15" fillId="6" borderId="0" xfId="1" applyNumberFormat="1" applyFont="1" applyFill="1" applyBorder="1" applyAlignment="1"/>
    <xf numFmtId="169" fontId="15" fillId="6" borderId="3" xfId="1" applyNumberFormat="1" applyFont="1" applyFill="1" applyBorder="1" applyAlignment="1"/>
    <xf numFmtId="0" fontId="15" fillId="6" borderId="0" xfId="0" applyFont="1" applyFill="1" applyAlignment="1">
      <alignment horizontal="left"/>
    </xf>
    <xf numFmtId="0" fontId="15" fillId="6" borderId="3" xfId="0" applyFont="1" applyFill="1" applyBorder="1" applyAlignment="1">
      <alignment horizontal="center"/>
    </xf>
    <xf numFmtId="169" fontId="15" fillId="6" borderId="4" xfId="1" applyNumberFormat="1" applyFont="1" applyFill="1" applyBorder="1" applyAlignment="1"/>
    <xf numFmtId="168" fontId="15" fillId="6" borderId="0" xfId="1" applyNumberFormat="1" applyFont="1" applyFill="1" applyBorder="1" applyAlignment="1">
      <alignment horizontal="right" indent="1"/>
    </xf>
    <xf numFmtId="169" fontId="14" fillId="6" borderId="4" xfId="0" applyNumberFormat="1" applyFont="1" applyFill="1" applyBorder="1"/>
    <xf numFmtId="168" fontId="14" fillId="6" borderId="0" xfId="0" applyNumberFormat="1" applyFont="1" applyFill="1"/>
    <xf numFmtId="169" fontId="14" fillId="6" borderId="7" xfId="0" applyNumberFormat="1" applyFont="1" applyFill="1" applyBorder="1"/>
    <xf numFmtId="168" fontId="14" fillId="6" borderId="0" xfId="0" applyNumberFormat="1" applyFont="1" applyFill="1" applyAlignment="1">
      <alignment horizontal="left" indent="4"/>
    </xf>
    <xf numFmtId="169" fontId="14" fillId="6" borderId="0" xfId="0" applyNumberFormat="1" applyFont="1" applyFill="1" applyAlignment="1">
      <alignment horizontal="right" indent="1"/>
    </xf>
    <xf numFmtId="168" fontId="14" fillId="6" borderId="0" xfId="0" applyNumberFormat="1" applyFont="1" applyFill="1" applyAlignment="1">
      <alignment horizontal="left" indent="5"/>
    </xf>
    <xf numFmtId="169" fontId="14" fillId="6" borderId="0" xfId="0" applyNumberFormat="1" applyFont="1" applyFill="1" applyAlignment="1">
      <alignment horizontal="left" indent="4"/>
    </xf>
    <xf numFmtId="168" fontId="14" fillId="6" borderId="4" xfId="0" applyNumberFormat="1" applyFont="1" applyFill="1" applyBorder="1"/>
    <xf numFmtId="168" fontId="14" fillId="6" borderId="3" xfId="0" applyNumberFormat="1" applyFont="1" applyFill="1" applyBorder="1"/>
    <xf numFmtId="169" fontId="14" fillId="6" borderId="3" xfId="0" applyNumberFormat="1" applyFont="1" applyFill="1" applyBorder="1"/>
    <xf numFmtId="169" fontId="14" fillId="6" borderId="2" xfId="0" applyNumberFormat="1" applyFont="1" applyFill="1" applyBorder="1"/>
    <xf numFmtId="168" fontId="18" fillId="6" borderId="0" xfId="0" applyNumberFormat="1" applyFont="1" applyFill="1"/>
    <xf numFmtId="168" fontId="12" fillId="6" borderId="0" xfId="0" applyNumberFormat="1" applyFont="1" applyFill="1"/>
    <xf numFmtId="0" fontId="8" fillId="6" borderId="0" xfId="0" applyFont="1" applyFill="1"/>
    <xf numFmtId="168" fontId="15" fillId="6" borderId="0" xfId="0" applyNumberFormat="1" applyFont="1" applyFill="1"/>
    <xf numFmtId="168" fontId="12" fillId="6" borderId="0" xfId="2" applyNumberFormat="1" applyFont="1" applyFill="1" applyAlignment="1"/>
    <xf numFmtId="168" fontId="26" fillId="6" borderId="3" xfId="0" applyNumberFormat="1" applyFont="1" applyFill="1" applyBorder="1"/>
    <xf numFmtId="169" fontId="15" fillId="6" borderId="18" xfId="0" applyNumberFormat="1" applyFont="1" applyFill="1" applyBorder="1" applyAlignment="1">
      <alignment horizontal="left" vertical="center"/>
    </xf>
    <xf numFmtId="169" fontId="15" fillId="6" borderId="12" xfId="0" applyNumberFormat="1" applyFont="1" applyFill="1" applyBorder="1" applyAlignment="1">
      <alignment horizontal="center" vertical="center"/>
    </xf>
    <xf numFmtId="169" fontId="15" fillId="6" borderId="3" xfId="0" applyNumberFormat="1" applyFont="1" applyFill="1" applyBorder="1" applyAlignment="1">
      <alignment horizontal="left" vertical="center"/>
    </xf>
    <xf numFmtId="169" fontId="15" fillId="6" borderId="8" xfId="0" applyNumberFormat="1" applyFont="1" applyFill="1" applyBorder="1" applyAlignment="1">
      <alignment horizontal="right" vertical="center"/>
    </xf>
    <xf numFmtId="169" fontId="15" fillId="6" borderId="3" xfId="0" applyNumberFormat="1" applyFont="1" applyFill="1" applyBorder="1" applyAlignment="1">
      <alignment horizontal="right" vertical="center"/>
    </xf>
    <xf numFmtId="169" fontId="15" fillId="6" borderId="2" xfId="0" applyNumberFormat="1" applyFont="1" applyFill="1" applyBorder="1" applyAlignment="1">
      <alignment horizontal="right" vertical="center"/>
    </xf>
    <xf numFmtId="165" fontId="15" fillId="6" borderId="4" xfId="1" applyFont="1" applyFill="1" applyBorder="1" applyAlignment="1">
      <alignment horizontal="right" vertical="center"/>
    </xf>
    <xf numFmtId="165" fontId="15" fillId="6" borderId="0" xfId="1" applyFont="1" applyFill="1" applyBorder="1" applyAlignment="1">
      <alignment horizontal="right" vertical="center"/>
    </xf>
    <xf numFmtId="0" fontId="0" fillId="6" borderId="0" xfId="0" applyFill="1" applyAlignment="1">
      <alignment horizontal="center" vertical="center"/>
    </xf>
    <xf numFmtId="169" fontId="15" fillId="6" borderId="4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169" fontId="15" fillId="6" borderId="4" xfId="0" applyNumberFormat="1" applyFont="1" applyFill="1" applyBorder="1" applyAlignment="1">
      <alignment horizontal="left" vertical="center"/>
    </xf>
    <xf numFmtId="169" fontId="15" fillId="6" borderId="4" xfId="0" applyNumberFormat="1" applyFont="1" applyFill="1" applyBorder="1" applyAlignment="1">
      <alignment horizontal="right" vertical="center"/>
    </xf>
    <xf numFmtId="169" fontId="15" fillId="6" borderId="0" xfId="1" applyNumberFormat="1" applyFont="1" applyFill="1" applyBorder="1" applyAlignment="1">
      <alignment horizontal="right"/>
    </xf>
    <xf numFmtId="170" fontId="15" fillId="6" borderId="0" xfId="1" applyNumberFormat="1" applyFont="1" applyFill="1" applyBorder="1" applyAlignment="1"/>
    <xf numFmtId="170" fontId="15" fillId="6" borderId="7" xfId="1" applyNumberFormat="1" applyFont="1" applyFill="1" applyBorder="1" applyAlignment="1"/>
    <xf numFmtId="168" fontId="15" fillId="6" borderId="0" xfId="1" applyNumberFormat="1" applyFont="1" applyFill="1" applyBorder="1" applyAlignment="1">
      <alignment horizontal="right" indent="6"/>
    </xf>
    <xf numFmtId="168" fontId="15" fillId="6" borderId="0" xfId="1" applyNumberFormat="1" applyFont="1" applyFill="1" applyBorder="1" applyAlignment="1">
      <alignment horizontal="left"/>
    </xf>
    <xf numFmtId="165" fontId="15" fillId="6" borderId="0" xfId="1" applyFont="1" applyFill="1" applyBorder="1" applyAlignment="1">
      <alignment horizontal="right" indent="1"/>
    </xf>
    <xf numFmtId="0" fontId="15" fillId="6" borderId="8" xfId="2" applyNumberFormat="1" applyFont="1" applyFill="1" applyBorder="1" applyAlignment="1">
      <alignment horizontal="center"/>
    </xf>
    <xf numFmtId="0" fontId="15" fillId="6" borderId="3" xfId="2" applyNumberFormat="1" applyFont="1" applyFill="1" applyBorder="1" applyAlignment="1">
      <alignment horizontal="center"/>
    </xf>
    <xf numFmtId="168" fontId="15" fillId="6" borderId="3" xfId="1" applyNumberFormat="1" applyFont="1" applyFill="1" applyBorder="1" applyAlignment="1"/>
    <xf numFmtId="170" fontId="15" fillId="6" borderId="3" xfId="1" applyNumberFormat="1" applyFont="1" applyFill="1" applyBorder="1" applyAlignment="1"/>
    <xf numFmtId="169" fontId="12" fillId="0" borderId="0" xfId="0" applyNumberFormat="1" applyFont="1" applyAlignment="1">
      <alignment horizontal="left" indent="3"/>
    </xf>
    <xf numFmtId="0" fontId="15" fillId="6" borderId="7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top"/>
    </xf>
    <xf numFmtId="0" fontId="15" fillId="6" borderId="8" xfId="0" applyFont="1" applyFill="1" applyBorder="1" applyAlignment="1">
      <alignment horizontal="center"/>
    </xf>
    <xf numFmtId="169" fontId="14" fillId="6" borderId="0" xfId="0" applyNumberFormat="1" applyFont="1" applyFill="1" applyAlignment="1">
      <alignment horizontal="left" indent="9"/>
    </xf>
    <xf numFmtId="168" fontId="14" fillId="6" borderId="0" xfId="0" applyNumberFormat="1" applyFont="1" applyFill="1" applyAlignment="1">
      <alignment horizontal="right"/>
    </xf>
    <xf numFmtId="169" fontId="15" fillId="0" borderId="3" xfId="1" applyNumberFormat="1" applyFont="1" applyFill="1" applyBorder="1" applyAlignment="1">
      <alignment horizontal="right" indent="1"/>
    </xf>
    <xf numFmtId="169" fontId="15" fillId="0" borderId="0" xfId="1" applyNumberFormat="1" applyFont="1" applyFill="1" applyBorder="1" applyAlignment="1">
      <alignment horizontal="right" indent="3"/>
    </xf>
    <xf numFmtId="169" fontId="15" fillId="6" borderId="4" xfId="0" applyNumberFormat="1" applyFont="1" applyFill="1" applyBorder="1" applyAlignment="1">
      <alignment horizontal="right"/>
    </xf>
    <xf numFmtId="169" fontId="15" fillId="6" borderId="0" xfId="0" applyNumberFormat="1" applyFont="1" applyFill="1" applyAlignment="1">
      <alignment horizontal="right"/>
    </xf>
    <xf numFmtId="169" fontId="15" fillId="6" borderId="7" xfId="0" applyNumberFormat="1" applyFont="1" applyFill="1" applyBorder="1" applyAlignment="1">
      <alignment horizontal="right"/>
    </xf>
    <xf numFmtId="169" fontId="37" fillId="6" borderId="4" xfId="0" applyNumberFormat="1" applyFont="1" applyFill="1" applyBorder="1" applyAlignment="1">
      <alignment horizontal="right"/>
    </xf>
    <xf numFmtId="169" fontId="37" fillId="6" borderId="0" xfId="0" applyNumberFormat="1" applyFont="1" applyFill="1" applyAlignment="1">
      <alignment horizontal="right"/>
    </xf>
    <xf numFmtId="169" fontId="15" fillId="6" borderId="7" xfId="1" applyNumberFormat="1" applyFont="1" applyFill="1" applyBorder="1" applyAlignment="1">
      <alignment horizontal="right"/>
    </xf>
    <xf numFmtId="169" fontId="15" fillId="6" borderId="4" xfId="1" applyNumberFormat="1" applyFont="1" applyFill="1" applyBorder="1" applyAlignment="1">
      <alignment horizontal="right"/>
    </xf>
    <xf numFmtId="169" fontId="15" fillId="6" borderId="0" xfId="0" applyNumberFormat="1" applyFont="1" applyFill="1" applyAlignment="1">
      <alignment horizontal="center"/>
    </xf>
    <xf numFmtId="169" fontId="14" fillId="6" borderId="0" xfId="1" applyNumberFormat="1" applyFont="1" applyFill="1" applyBorder="1" applyAlignment="1"/>
    <xf numFmtId="0" fontId="15" fillId="6" borderId="0" xfId="0" applyFont="1" applyFill="1" applyAlignment="1">
      <alignment horizontal="center" vertical="center"/>
    </xf>
    <xf numFmtId="169" fontId="14" fillId="6" borderId="7" xfId="1" applyNumberFormat="1" applyFont="1" applyFill="1" applyBorder="1" applyAlignment="1"/>
    <xf numFmtId="169" fontId="15" fillId="6" borderId="7" xfId="1" applyNumberFormat="1" applyFont="1" applyFill="1" applyBorder="1" applyAlignment="1"/>
    <xf numFmtId="169" fontId="29" fillId="6" borderId="0" xfId="1" applyNumberFormat="1" applyFont="1" applyFill="1" applyBorder="1" applyAlignment="1"/>
    <xf numFmtId="169" fontId="15" fillId="6" borderId="0" xfId="1" applyNumberFormat="1" applyFont="1" applyFill="1" applyBorder="1" applyAlignment="1">
      <alignment horizontal="center"/>
    </xf>
    <xf numFmtId="169" fontId="15" fillId="6" borderId="7" xfId="0" applyNumberFormat="1" applyFont="1" applyFill="1" applyBorder="1" applyAlignment="1">
      <alignment horizontal="left"/>
    </xf>
    <xf numFmtId="169" fontId="15" fillId="6" borderId="7" xfId="1" applyNumberFormat="1" applyFont="1" applyFill="1" applyBorder="1" applyAlignment="1">
      <alignment horizontal="center"/>
    </xf>
    <xf numFmtId="169" fontId="15" fillId="6" borderId="0" xfId="1" applyNumberFormat="1" applyFont="1" applyFill="1" applyBorder="1" applyAlignment="1">
      <alignment horizontal="left"/>
    </xf>
    <xf numFmtId="169" fontId="15" fillId="6" borderId="7" xfId="0" applyNumberFormat="1" applyFont="1" applyFill="1" applyBorder="1" applyAlignment="1">
      <alignment horizontal="left" vertical="center"/>
    </xf>
    <xf numFmtId="169" fontId="15" fillId="6" borderId="0" xfId="1" applyNumberFormat="1" applyFont="1" applyFill="1" applyBorder="1" applyAlignment="1">
      <alignment horizontal="left" indent="2"/>
    </xf>
    <xf numFmtId="169" fontId="15" fillId="6" borderId="0" xfId="1" applyNumberFormat="1" applyFont="1" applyFill="1" applyBorder="1" applyAlignment="1">
      <alignment horizontal="left" indent="1"/>
    </xf>
    <xf numFmtId="169" fontId="15" fillId="6" borderId="0" xfId="1" applyNumberFormat="1" applyFont="1" applyFill="1" applyBorder="1" applyAlignment="1">
      <alignment horizontal="right" indent="1"/>
    </xf>
    <xf numFmtId="169" fontId="15" fillId="6" borderId="7" xfId="1" applyNumberFormat="1" applyFont="1" applyFill="1" applyBorder="1" applyAlignment="1">
      <alignment horizontal="left"/>
    </xf>
    <xf numFmtId="169" fontId="15" fillId="6" borderId="0" xfId="0" applyNumberFormat="1" applyFont="1" applyFill="1" applyAlignment="1">
      <alignment horizontal="left"/>
    </xf>
    <xf numFmtId="169" fontId="15" fillId="6" borderId="0" xfId="0" applyNumberFormat="1" applyFont="1" applyFill="1" applyAlignment="1">
      <alignment horizontal="right" indent="1"/>
    </xf>
    <xf numFmtId="169" fontId="15" fillId="6" borderId="0" xfId="0" applyNumberFormat="1" applyFont="1" applyFill="1" applyAlignment="1">
      <alignment horizontal="left" indent="1"/>
    </xf>
    <xf numFmtId="169" fontId="12" fillId="6" borderId="0" xfId="0" applyNumberFormat="1" applyFont="1" applyFill="1" applyAlignment="1">
      <alignment horizontal="right" indent="1"/>
    </xf>
    <xf numFmtId="169" fontId="15" fillId="6" borderId="0" xfId="0" applyNumberFormat="1" applyFont="1" applyFill="1" applyAlignment="1">
      <alignment horizontal="right" indent="2"/>
    </xf>
    <xf numFmtId="169" fontId="12" fillId="6" borderId="0" xfId="0" applyNumberFormat="1" applyFont="1" applyFill="1" applyAlignment="1">
      <alignment horizontal="left" indent="4"/>
    </xf>
    <xf numFmtId="169" fontId="32" fillId="6" borderId="0" xfId="0" applyNumberFormat="1" applyFont="1" applyFill="1" applyAlignment="1">
      <alignment horizontal="left"/>
    </xf>
    <xf numFmtId="169" fontId="32" fillId="6" borderId="0" xfId="0" applyNumberFormat="1" applyFont="1" applyFill="1"/>
    <xf numFmtId="0" fontId="15" fillId="6" borderId="0" xfId="0" applyFont="1" applyFill="1" applyAlignment="1">
      <alignment horizontal="right" indent="1"/>
    </xf>
    <xf numFmtId="0" fontId="15" fillId="6" borderId="0" xfId="0" applyFont="1" applyFill="1" applyAlignment="1">
      <alignment horizontal="left" indent="3"/>
    </xf>
    <xf numFmtId="169" fontId="8" fillId="6" borderId="7" xfId="0" applyNumberFormat="1" applyFont="1" applyFill="1" applyBorder="1"/>
    <xf numFmtId="169" fontId="30" fillId="6" borderId="0" xfId="4" applyNumberFormat="1" applyFont="1" applyFill="1" applyAlignment="1">
      <alignment horizontal="left" wrapText="1" indent="2"/>
    </xf>
    <xf numFmtId="169" fontId="15" fillId="6" borderId="4" xfId="0" applyNumberFormat="1" applyFont="1" applyFill="1" applyBorder="1"/>
    <xf numFmtId="169" fontId="30" fillId="6" borderId="0" xfId="4" applyNumberFormat="1" applyFont="1" applyFill="1" applyAlignment="1">
      <alignment horizontal="right" wrapText="1" indent="1"/>
    </xf>
    <xf numFmtId="0" fontId="32" fillId="6" borderId="0" xfId="0" applyFont="1" applyFill="1"/>
    <xf numFmtId="0" fontId="15" fillId="6" borderId="0" xfId="0" applyFont="1" applyFill="1" applyAlignment="1">
      <alignment horizontal="left" indent="4"/>
    </xf>
    <xf numFmtId="169" fontId="30" fillId="6" borderId="0" xfId="4" applyNumberFormat="1" applyFont="1" applyFill="1" applyAlignment="1">
      <alignment horizontal="right" wrapText="1"/>
    </xf>
    <xf numFmtId="169" fontId="15" fillId="6" borderId="0" xfId="1" applyNumberFormat="1" applyFont="1" applyFill="1" applyBorder="1" applyAlignment="1">
      <alignment horizontal="left" indent="3"/>
    </xf>
    <xf numFmtId="169" fontId="15" fillId="6" borderId="7" xfId="0" applyNumberFormat="1" applyFont="1" applyFill="1" applyBorder="1" applyAlignment="1">
      <alignment horizontal="center"/>
    </xf>
    <xf numFmtId="0" fontId="15" fillId="6" borderId="0" xfId="0" applyFont="1" applyFill="1" applyAlignment="1">
      <alignment horizontal="right"/>
    </xf>
    <xf numFmtId="169" fontId="15" fillId="6" borderId="2" xfId="0" applyNumberFormat="1" applyFont="1" applyFill="1" applyBorder="1" applyAlignment="1">
      <alignment horizontal="left" vertical="center"/>
    </xf>
    <xf numFmtId="169" fontId="15" fillId="6" borderId="3" xfId="0" applyNumberFormat="1" applyFont="1" applyFill="1" applyBorder="1"/>
    <xf numFmtId="169" fontId="32" fillId="6" borderId="3" xfId="0" applyNumberFormat="1" applyFont="1" applyFill="1" applyBorder="1"/>
    <xf numFmtId="0" fontId="15" fillId="6" borderId="3" xfId="0" applyFont="1" applyFill="1" applyBorder="1" applyAlignment="1">
      <alignment horizontal="right"/>
    </xf>
    <xf numFmtId="0" fontId="32" fillId="6" borderId="3" xfId="0" applyFont="1" applyFill="1" applyBorder="1"/>
    <xf numFmtId="0" fontId="15" fillId="6" borderId="3" xfId="0" applyFont="1" applyFill="1" applyBorder="1" applyAlignment="1">
      <alignment horizontal="left" indent="3"/>
    </xf>
    <xf numFmtId="169" fontId="15" fillId="6" borderId="2" xfId="0" applyNumberFormat="1" applyFont="1" applyFill="1" applyBorder="1"/>
    <xf numFmtId="169" fontId="18" fillId="6" borderId="0" xfId="0" applyNumberFormat="1" applyFont="1" applyFill="1"/>
    <xf numFmtId="0" fontId="18" fillId="6" borderId="0" xfId="0" applyFont="1" applyFill="1"/>
    <xf numFmtId="169" fontId="35" fillId="6" borderId="0" xfId="4" applyNumberFormat="1" applyFont="1" applyFill="1" applyAlignment="1">
      <alignment horizontal="right" wrapText="1"/>
    </xf>
    <xf numFmtId="169" fontId="15" fillId="6" borderId="7" xfId="1" applyNumberFormat="1" applyFont="1" applyFill="1" applyBorder="1" applyAlignment="1">
      <alignment horizontal="right" indent="1"/>
    </xf>
    <xf numFmtId="0" fontId="15" fillId="0" borderId="0" xfId="0" applyFont="1" applyAlignment="1">
      <alignment horizontal="right" vertical="top"/>
    </xf>
    <xf numFmtId="169" fontId="15" fillId="0" borderId="18" xfId="0" applyNumberFormat="1" applyFont="1" applyBorder="1" applyAlignment="1">
      <alignment horizontal="right"/>
    </xf>
    <xf numFmtId="0" fontId="11" fillId="6" borderId="0" xfId="0" applyFont="1" applyFill="1"/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center"/>
    </xf>
    <xf numFmtId="0" fontId="12" fillId="6" borderId="0" xfId="0" applyFont="1" applyFill="1"/>
    <xf numFmtId="0" fontId="26" fillId="6" borderId="0" xfId="0" applyFont="1" applyFill="1"/>
    <xf numFmtId="0" fontId="12" fillId="6" borderId="3" xfId="0" applyFont="1" applyFill="1" applyBorder="1"/>
    <xf numFmtId="0" fontId="12" fillId="6" borderId="0" xfId="0" applyFont="1" applyFill="1" applyAlignment="1">
      <alignment horizontal="center"/>
    </xf>
    <xf numFmtId="0" fontId="15" fillId="6" borderId="7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right"/>
    </xf>
    <xf numFmtId="0" fontId="15" fillId="6" borderId="0" xfId="0" applyFont="1" applyFill="1" applyAlignment="1">
      <alignment horizontal="right" wrapText="1"/>
    </xf>
    <xf numFmtId="0" fontId="15" fillId="6" borderId="0" xfId="0" applyFont="1" applyFill="1" applyAlignment="1">
      <alignment horizontal="center" wrapText="1"/>
    </xf>
    <xf numFmtId="0" fontId="15" fillId="6" borderId="7" xfId="0" applyFont="1" applyFill="1" applyBorder="1" applyAlignment="1">
      <alignment horizontal="right"/>
    </xf>
    <xf numFmtId="0" fontId="15" fillId="6" borderId="7" xfId="0" applyFont="1" applyFill="1" applyBorder="1" applyAlignment="1">
      <alignment horizontal="center" wrapText="1"/>
    </xf>
    <xf numFmtId="0" fontId="15" fillId="6" borderId="8" xfId="0" applyFont="1" applyFill="1" applyBorder="1" applyAlignment="1">
      <alignment horizontal="right"/>
    </xf>
    <xf numFmtId="0" fontId="15" fillId="6" borderId="3" xfId="0" applyFont="1" applyFill="1" applyBorder="1" applyAlignment="1">
      <alignment horizontal="right" vertical="top"/>
    </xf>
    <xf numFmtId="0" fontId="15" fillId="6" borderId="0" xfId="0" applyFont="1" applyFill="1" applyAlignment="1">
      <alignment horizontal="right" vertical="top"/>
    </xf>
    <xf numFmtId="0" fontId="15" fillId="6" borderId="2" xfId="0" applyFont="1" applyFill="1" applyBorder="1" applyAlignment="1">
      <alignment horizontal="center" wrapText="1"/>
    </xf>
    <xf numFmtId="164" fontId="15" fillId="6" borderId="0" xfId="2" applyFont="1" applyFill="1" applyBorder="1" applyAlignment="1">
      <alignment horizontal="right"/>
    </xf>
    <xf numFmtId="164" fontId="14" fillId="6" borderId="7" xfId="2" applyFont="1" applyFill="1" applyBorder="1" applyAlignment="1">
      <alignment horizontal="right"/>
    </xf>
    <xf numFmtId="164" fontId="15" fillId="6" borderId="4" xfId="2" applyFont="1" applyFill="1" applyBorder="1" applyAlignment="1">
      <alignment horizontal="right"/>
    </xf>
    <xf numFmtId="0" fontId="22" fillId="6" borderId="0" xfId="0" applyFont="1" applyFill="1"/>
    <xf numFmtId="0" fontId="15" fillId="6" borderId="0" xfId="0" applyFont="1" applyFill="1" applyAlignment="1">
      <alignment horizontal="left" vertical="top"/>
    </xf>
    <xf numFmtId="169" fontId="15" fillId="6" borderId="0" xfId="1" applyNumberFormat="1" applyFont="1" applyFill="1" applyBorder="1" applyAlignment="1">
      <alignment horizontal="left" vertical="center" indent="1"/>
    </xf>
    <xf numFmtId="0" fontId="15" fillId="6" borderId="0" xfId="0" applyFont="1" applyFill="1" applyAlignment="1">
      <alignment horizontal="left" vertical="center"/>
    </xf>
    <xf numFmtId="0" fontId="15" fillId="6" borderId="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top"/>
    </xf>
    <xf numFmtId="168" fontId="15" fillId="6" borderId="0" xfId="0" applyNumberFormat="1" applyFont="1" applyFill="1" applyAlignment="1">
      <alignment horizontal="right"/>
    </xf>
    <xf numFmtId="168" fontId="15" fillId="6" borderId="0" xfId="0" applyNumberFormat="1" applyFont="1" applyFill="1" applyAlignment="1">
      <alignment horizontal="left" vertical="center"/>
    </xf>
    <xf numFmtId="169" fontId="30" fillId="6" borderId="0" xfId="4" applyNumberFormat="1" applyFont="1" applyFill="1" applyAlignment="1">
      <alignment horizontal="left" wrapText="1"/>
    </xf>
    <xf numFmtId="169" fontId="15" fillId="0" borderId="4" xfId="1" applyNumberFormat="1" applyFont="1" applyFill="1" applyBorder="1" applyAlignment="1">
      <alignment horizontal="left" indent="1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9" fontId="14" fillId="0" borderId="2" xfId="1" applyNumberFormat="1" applyFont="1" applyFill="1" applyBorder="1"/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169" fontId="101" fillId="6" borderId="7" xfId="0" applyNumberFormat="1" applyFont="1" applyFill="1" applyBorder="1"/>
    <xf numFmtId="169" fontId="15" fillId="6" borderId="2" xfId="0" applyNumberFormat="1" applyFont="1" applyFill="1" applyBorder="1" applyAlignment="1">
      <alignment horizontal="left" indent="4"/>
    </xf>
    <xf numFmtId="169" fontId="15" fillId="6" borderId="7" xfId="0" applyNumberFormat="1" applyFont="1" applyFill="1" applyBorder="1" applyAlignment="1">
      <alignment horizontal="left" indent="4"/>
    </xf>
    <xf numFmtId="169" fontId="15" fillId="6" borderId="0" xfId="0" applyNumberFormat="1" applyFont="1" applyFill="1" applyAlignment="1">
      <alignment horizontal="left" indent="4"/>
    </xf>
    <xf numFmtId="169" fontId="15" fillId="0" borderId="16" xfId="0" applyNumberFormat="1" applyFont="1" applyBorder="1" applyAlignment="1">
      <alignment horizontal="right"/>
    </xf>
    <xf numFmtId="168" fontId="15" fillId="6" borderId="3" xfId="1" applyNumberFormat="1" applyFont="1" applyFill="1" applyBorder="1" applyAlignment="1">
      <alignment horizontal="right"/>
    </xf>
    <xf numFmtId="168" fontId="14" fillId="6" borderId="3" xfId="0" applyNumberFormat="1" applyFont="1" applyFill="1" applyBorder="1" applyAlignment="1">
      <alignment horizontal="left" indent="8"/>
    </xf>
    <xf numFmtId="168" fontId="14" fillId="6" borderId="0" xfId="1" applyNumberFormat="1" applyFont="1" applyFill="1" applyAlignment="1">
      <alignment horizontal="left" indent="9"/>
    </xf>
    <xf numFmtId="169" fontId="15" fillId="6" borderId="3" xfId="1" applyNumberFormat="1" applyFont="1" applyFill="1" applyBorder="1" applyAlignment="1">
      <alignment horizontal="right"/>
    </xf>
    <xf numFmtId="169" fontId="30" fillId="6" borderId="3" xfId="4" applyNumberFormat="1" applyFont="1" applyFill="1" applyBorder="1" applyAlignment="1">
      <alignment horizontal="right" wrapText="1"/>
    </xf>
    <xf numFmtId="166" fontId="12" fillId="0" borderId="0" xfId="0" applyNumberFormat="1" applyFont="1"/>
    <xf numFmtId="168" fontId="14" fillId="6" borderId="0" xfId="0" applyNumberFormat="1" applyFont="1" applyFill="1" applyAlignment="1">
      <alignment horizontal="left" indent="8"/>
    </xf>
    <xf numFmtId="169" fontId="15" fillId="0" borderId="7" xfId="0" applyNumberFormat="1" applyFont="1" applyBorder="1" applyAlignment="1">
      <alignment horizontal="center" wrapText="1"/>
    </xf>
    <xf numFmtId="169" fontId="43" fillId="0" borderId="18" xfId="0" applyNumberFormat="1" applyFont="1" applyBorder="1" applyAlignment="1">
      <alignment horizontal="center" vertical="center"/>
    </xf>
    <xf numFmtId="169" fontId="43" fillId="0" borderId="16" xfId="0" applyNumberFormat="1" applyFont="1" applyBorder="1" applyAlignment="1">
      <alignment horizontal="center" vertical="center"/>
    </xf>
    <xf numFmtId="169" fontId="15" fillId="0" borderId="3" xfId="0" applyNumberFormat="1" applyFont="1" applyBorder="1" applyAlignment="1">
      <alignment horizontal="right"/>
    </xf>
    <xf numFmtId="169" fontId="15" fillId="6" borderId="4" xfId="1" applyNumberFormat="1" applyFont="1" applyFill="1" applyBorder="1" applyAlignment="1">
      <alignment horizontal="left"/>
    </xf>
    <xf numFmtId="169" fontId="15" fillId="6" borderId="4" xfId="1" applyNumberFormat="1" applyFont="1" applyFill="1" applyBorder="1" applyAlignment="1">
      <alignment horizontal="left" vertical="top" indent="4"/>
    </xf>
    <xf numFmtId="169" fontId="15" fillId="6" borderId="4" xfId="0" applyNumberFormat="1" applyFont="1" applyFill="1" applyBorder="1" applyAlignment="1">
      <alignment horizontal="left"/>
    </xf>
    <xf numFmtId="169" fontId="8" fillId="0" borderId="7" xfId="0" applyNumberFormat="1" applyFont="1" applyBorder="1"/>
    <xf numFmtId="169" fontId="15" fillId="0" borderId="7" xfId="0" applyNumberFormat="1" applyFont="1" applyBorder="1" applyAlignment="1">
      <alignment horizontal="center"/>
    </xf>
    <xf numFmtId="169" fontId="15" fillId="6" borderId="7" xfId="1" applyNumberFormat="1" applyFont="1" applyFill="1" applyBorder="1" applyAlignment="1">
      <alignment horizontal="left" vertical="top" indent="4"/>
    </xf>
    <xf numFmtId="169" fontId="15" fillId="6" borderId="4" xfId="1" applyNumberFormat="1" applyFont="1" applyFill="1" applyBorder="1" applyAlignment="1">
      <alignment horizontal="right" indent="1"/>
    </xf>
    <xf numFmtId="169" fontId="15" fillId="6" borderId="4" xfId="1" applyNumberFormat="1" applyFont="1" applyFill="1" applyBorder="1" applyAlignment="1">
      <alignment horizontal="center"/>
    </xf>
    <xf numFmtId="169" fontId="15" fillId="6" borderId="4" xfId="0" applyNumberFormat="1" applyFont="1" applyFill="1" applyBorder="1" applyAlignment="1">
      <alignment horizontal="center"/>
    </xf>
    <xf numFmtId="169" fontId="15" fillId="6" borderId="3" xfId="0" applyNumberFormat="1" applyFont="1" applyFill="1" applyBorder="1" applyAlignment="1">
      <alignment horizontal="right"/>
    </xf>
    <xf numFmtId="169" fontId="14" fillId="6" borderId="2" xfId="1" applyNumberFormat="1" applyFont="1" applyFill="1" applyBorder="1" applyAlignment="1"/>
    <xf numFmtId="168" fontId="14" fillId="6" borderId="0" xfId="0" applyNumberFormat="1" applyFont="1" applyFill="1" applyAlignment="1">
      <alignment horizontal="left" indent="9"/>
    </xf>
    <xf numFmtId="0" fontId="15" fillId="6" borderId="2" xfId="0" applyFont="1" applyFill="1" applyBorder="1"/>
    <xf numFmtId="170" fontId="15" fillId="6" borderId="2" xfId="1" applyNumberFormat="1" applyFont="1" applyFill="1" applyBorder="1" applyAlignment="1"/>
    <xf numFmtId="0" fontId="15" fillId="6" borderId="2" xfId="0" applyFont="1" applyFill="1" applyBorder="1" applyAlignment="1">
      <alignment horizontal="left"/>
    </xf>
    <xf numFmtId="169" fontId="15" fillId="6" borderId="7" xfId="0" applyNumberFormat="1" applyFont="1" applyFill="1" applyBorder="1" applyAlignment="1">
      <alignment horizontal="center" vertical="center"/>
    </xf>
    <xf numFmtId="3" fontId="10" fillId="0" borderId="18" xfId="0" applyNumberFormat="1" applyFont="1" applyBorder="1"/>
    <xf numFmtId="3" fontId="10" fillId="0" borderId="14" xfId="0" applyNumberFormat="1" applyFont="1" applyBorder="1"/>
    <xf numFmtId="169" fontId="15" fillId="6" borderId="8" xfId="0" applyNumberFormat="1" applyFont="1" applyFill="1" applyBorder="1" applyAlignment="1">
      <alignment horizontal="right" indent="1"/>
    </xf>
    <xf numFmtId="169" fontId="15" fillId="6" borderId="0" xfId="0" applyNumberFormat="1" applyFont="1" applyFill="1" applyBorder="1" applyAlignment="1">
      <alignment horizontal="left"/>
    </xf>
    <xf numFmtId="0" fontId="0" fillId="6" borderId="11" xfId="0" applyFill="1" applyBorder="1"/>
    <xf numFmtId="0" fontId="0" fillId="6" borderId="4" xfId="0" applyFill="1" applyBorder="1"/>
    <xf numFmtId="0" fontId="0" fillId="6" borderId="8" xfId="0" applyFill="1" applyBorder="1"/>
    <xf numFmtId="0" fontId="11" fillId="0" borderId="0" xfId="0" applyFont="1" applyAlignment="1">
      <alignment horizontal="left"/>
    </xf>
    <xf numFmtId="169" fontId="15" fillId="0" borderId="0" xfId="0" applyNumberFormat="1" applyFont="1" applyAlignment="1">
      <alignment horizontal="center" wrapText="1"/>
    </xf>
    <xf numFmtId="169" fontId="15" fillId="0" borderId="19" xfId="0" applyNumberFormat="1" applyFont="1" applyBorder="1" applyAlignment="1">
      <alignment horizontal="center" vertical="center"/>
    </xf>
    <xf numFmtId="169" fontId="43" fillId="0" borderId="14" xfId="0" applyNumberFormat="1" applyFont="1" applyBorder="1" applyAlignment="1">
      <alignment horizontal="center" vertical="center"/>
    </xf>
    <xf numFmtId="169" fontId="43" fillId="0" borderId="18" xfId="0" applyNumberFormat="1" applyFont="1" applyBorder="1" applyAlignment="1">
      <alignment horizontal="center" vertical="center"/>
    </xf>
    <xf numFmtId="169" fontId="43" fillId="0" borderId="16" xfId="0" applyNumberFormat="1" applyFont="1" applyBorder="1" applyAlignment="1">
      <alignment horizontal="center" vertical="center"/>
    </xf>
    <xf numFmtId="169" fontId="43" fillId="0" borderId="0" xfId="0" applyNumberFormat="1" applyFont="1" applyAlignment="1">
      <alignment horizontal="center" vertical="center"/>
    </xf>
    <xf numFmtId="169" fontId="43" fillId="0" borderId="7" xfId="0" applyNumberFormat="1" applyFont="1" applyBorder="1" applyAlignment="1">
      <alignment horizontal="center" vertical="center"/>
    </xf>
    <xf numFmtId="169" fontId="15" fillId="0" borderId="23" xfId="0" applyNumberFormat="1" applyFont="1" applyBorder="1" applyAlignment="1">
      <alignment horizontal="center" vertical="center"/>
    </xf>
    <xf numFmtId="169" fontId="43" fillId="0" borderId="4" xfId="0" applyNumberFormat="1" applyFont="1" applyBorder="1" applyAlignment="1">
      <alignment horizontal="center" vertical="center"/>
    </xf>
    <xf numFmtId="0" fontId="78" fillId="6" borderId="14" xfId="0" applyFont="1" applyFill="1" applyBorder="1" applyAlignment="1">
      <alignment horizontal="center" vertical="center"/>
    </xf>
    <xf numFmtId="0" fontId="78" fillId="6" borderId="18" xfId="0" applyFont="1" applyFill="1" applyBorder="1" applyAlignment="1">
      <alignment horizontal="center" vertical="center"/>
    </xf>
    <xf numFmtId="0" fontId="78" fillId="6" borderId="16" xfId="0" applyFont="1" applyFill="1" applyBorder="1" applyAlignment="1">
      <alignment horizontal="center" vertical="center"/>
    </xf>
    <xf numFmtId="0" fontId="78" fillId="6" borderId="4" xfId="0" applyFont="1" applyFill="1" applyBorder="1" applyAlignment="1">
      <alignment horizontal="center" vertical="center"/>
    </xf>
    <xf numFmtId="0" fontId="78" fillId="6" borderId="0" xfId="0" applyFont="1" applyFill="1" applyAlignment="1">
      <alignment horizontal="center" vertical="center"/>
    </xf>
    <xf numFmtId="0" fontId="78" fillId="6" borderId="7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right"/>
    </xf>
    <xf numFmtId="0" fontId="15" fillId="6" borderId="0" xfId="0" applyFont="1" applyFill="1" applyAlignment="1">
      <alignment horizontal="right" wrapText="1"/>
    </xf>
    <xf numFmtId="0" fontId="15" fillId="6" borderId="3" xfId="0" applyFont="1" applyFill="1" applyBorder="1" applyAlignment="1">
      <alignment horizontal="right" wrapText="1"/>
    </xf>
    <xf numFmtId="0" fontId="15" fillId="6" borderId="0" xfId="0" applyFont="1" applyFill="1" applyAlignment="1">
      <alignment horizontal="center" wrapText="1"/>
    </xf>
    <xf numFmtId="0" fontId="15" fillId="6" borderId="3" xfId="0" applyFont="1" applyFill="1" applyBorder="1" applyAlignment="1">
      <alignment horizontal="center" wrapText="1"/>
    </xf>
    <xf numFmtId="0" fontId="15" fillId="0" borderId="18" xfId="0" applyFont="1" applyBorder="1" applyAlignment="1">
      <alignment horizontal="right" wrapText="1"/>
    </xf>
    <xf numFmtId="0" fontId="15" fillId="0" borderId="0" xfId="0" applyFont="1" applyAlignment="1">
      <alignment horizontal="right" wrapText="1"/>
    </xf>
    <xf numFmtId="0" fontId="15" fillId="0" borderId="14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169" fontId="15" fillId="0" borderId="16" xfId="0" applyNumberFormat="1" applyFont="1" applyBorder="1" applyAlignment="1">
      <alignment vertical="center"/>
    </xf>
    <xf numFmtId="169" fontId="15" fillId="0" borderId="2" xfId="0" applyNumberFormat="1" applyFont="1" applyBorder="1" applyAlignment="1">
      <alignment vertical="center"/>
    </xf>
    <xf numFmtId="169" fontId="15" fillId="0" borderId="16" xfId="0" applyNumberFormat="1" applyFont="1" applyBorder="1" applyAlignment="1">
      <alignment horizontal="center" vertical="center"/>
    </xf>
    <xf numFmtId="169" fontId="15" fillId="0" borderId="2" xfId="0" applyNumberFormat="1" applyFont="1" applyBorder="1" applyAlignment="1">
      <alignment horizontal="center" vertical="center"/>
    </xf>
    <xf numFmtId="169" fontId="15" fillId="0" borderId="14" xfId="0" applyNumberFormat="1" applyFont="1" applyBorder="1" applyAlignment="1">
      <alignment horizontal="left" vertical="center"/>
    </xf>
    <xf numFmtId="169" fontId="15" fillId="0" borderId="8" xfId="0" applyNumberFormat="1" applyFont="1" applyBorder="1" applyAlignment="1">
      <alignment horizontal="left" vertical="center"/>
    </xf>
    <xf numFmtId="169" fontId="15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15" fillId="0" borderId="9" xfId="0" applyNumberFormat="1" applyFont="1" applyBorder="1" applyAlignment="1">
      <alignment horizontal="center" vertical="center"/>
    </xf>
    <xf numFmtId="169" fontId="15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15" fillId="0" borderId="4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169" fontId="15" fillId="0" borderId="7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169" fontId="15" fillId="0" borderId="15" xfId="0" applyNumberFormat="1" applyFont="1" applyBorder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9" fontId="15" fillId="0" borderId="7" xfId="0" applyNumberFormat="1" applyFont="1" applyBorder="1" applyAlignment="1">
      <alignment vertical="center"/>
    </xf>
    <xf numFmtId="169" fontId="15" fillId="0" borderId="4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69" fontId="15" fillId="0" borderId="18" xfId="0" applyNumberFormat="1" applyFont="1" applyBorder="1" applyAlignment="1">
      <alignment horizontal="center" vertical="center" wrapText="1"/>
    </xf>
    <xf numFmtId="169" fontId="15" fillId="0" borderId="3" xfId="0" applyNumberFormat="1" applyFont="1" applyBorder="1" applyAlignment="1">
      <alignment horizontal="center" vertical="center" wrapText="1"/>
    </xf>
    <xf numFmtId="169" fontId="15" fillId="0" borderId="18" xfId="0" applyNumberFormat="1" applyFont="1" applyBorder="1" applyAlignment="1">
      <alignment horizontal="center" vertical="center"/>
    </xf>
    <xf numFmtId="169" fontId="15" fillId="0" borderId="3" xfId="0" applyNumberFormat="1" applyFont="1" applyBorder="1" applyAlignment="1">
      <alignment horizontal="center" vertical="center"/>
    </xf>
    <xf numFmtId="169" fontId="15" fillId="0" borderId="14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69" fontId="15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0" fillId="0" borderId="11" xfId="0" applyFont="1" applyBorder="1" applyAlignment="1">
      <alignment horizontal="center"/>
    </xf>
    <xf numFmtId="0" fontId="60" fillId="0" borderId="10" xfId="0" applyFont="1" applyBorder="1" applyAlignment="1">
      <alignment horizontal="center"/>
    </xf>
    <xf numFmtId="169" fontId="15" fillId="6" borderId="16" xfId="0" applyNumberFormat="1" applyFont="1" applyFill="1" applyBorder="1" applyAlignment="1">
      <alignment vertical="center"/>
    </xf>
    <xf numFmtId="169" fontId="15" fillId="6" borderId="2" xfId="0" applyNumberFormat="1" applyFont="1" applyFill="1" applyBorder="1" applyAlignment="1">
      <alignment vertical="center"/>
    </xf>
    <xf numFmtId="169" fontId="15" fillId="6" borderId="14" xfId="0" applyNumberFormat="1" applyFont="1" applyFill="1" applyBorder="1" applyAlignment="1">
      <alignment horizontal="center" vertical="center"/>
    </xf>
    <xf numFmtId="169" fontId="15" fillId="6" borderId="8" xfId="0" applyNumberFormat="1" applyFont="1" applyFill="1" applyBorder="1" applyAlignment="1">
      <alignment horizontal="center" vertical="center"/>
    </xf>
    <xf numFmtId="169" fontId="15" fillId="6" borderId="18" xfId="0" applyNumberFormat="1" applyFont="1" applyFill="1" applyBorder="1" applyAlignment="1">
      <alignment horizontal="center" vertical="center"/>
    </xf>
    <xf numFmtId="169" fontId="15" fillId="6" borderId="3" xfId="0" applyNumberFormat="1" applyFont="1" applyFill="1" applyBorder="1" applyAlignment="1">
      <alignment horizontal="center" vertical="center"/>
    </xf>
    <xf numFmtId="169" fontId="15" fillId="6" borderId="14" xfId="0" applyNumberFormat="1" applyFont="1" applyFill="1" applyBorder="1" applyAlignment="1">
      <alignment horizontal="center" vertical="center" wrapText="1"/>
    </xf>
    <xf numFmtId="169" fontId="15" fillId="6" borderId="18" xfId="0" applyNumberFormat="1" applyFont="1" applyFill="1" applyBorder="1" applyAlignment="1">
      <alignment horizontal="center" vertical="center" wrapText="1"/>
    </xf>
    <xf numFmtId="169" fontId="15" fillId="6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169" fontId="15" fillId="6" borderId="14" xfId="0" applyNumberFormat="1" applyFont="1" applyFill="1" applyBorder="1" applyAlignment="1">
      <alignment horizontal="left" vertical="center"/>
    </xf>
    <xf numFmtId="169" fontId="15" fillId="6" borderId="8" xfId="0" applyNumberFormat="1" applyFont="1" applyFill="1" applyBorder="1" applyAlignment="1">
      <alignment horizontal="left" vertical="center"/>
    </xf>
    <xf numFmtId="169" fontId="15" fillId="6" borderId="13" xfId="0" applyNumberFormat="1" applyFont="1" applyFill="1" applyBorder="1" applyAlignment="1">
      <alignment horizontal="center" vertical="center"/>
    </xf>
    <xf numFmtId="169" fontId="15" fillId="6" borderId="9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60" fillId="6" borderId="11" xfId="0" applyFont="1" applyFill="1" applyBorder="1" applyAlignment="1">
      <alignment horizontal="center"/>
    </xf>
    <xf numFmtId="0" fontId="60" fillId="6" borderId="10" xfId="0" applyFont="1" applyFill="1" applyBorder="1" applyAlignment="1">
      <alignment horizontal="center"/>
    </xf>
    <xf numFmtId="0" fontId="60" fillId="6" borderId="4" xfId="0" applyFont="1" applyFill="1" applyBorder="1" applyAlignment="1">
      <alignment horizontal="center" wrapText="1"/>
    </xf>
    <xf numFmtId="0" fontId="60" fillId="6" borderId="0" xfId="0" applyFont="1" applyFill="1" applyBorder="1" applyAlignment="1">
      <alignment horizontal="center" wrapText="1"/>
    </xf>
    <xf numFmtId="0" fontId="60" fillId="6" borderId="7" xfId="0" applyFont="1" applyFill="1" applyBorder="1" applyAlignment="1">
      <alignment horizontal="center" wrapText="1"/>
    </xf>
    <xf numFmtId="0" fontId="60" fillId="6" borderId="4" xfId="0" applyFont="1" applyFill="1" applyBorder="1" applyAlignment="1">
      <alignment horizontal="center"/>
    </xf>
    <xf numFmtId="0" fontId="60" fillId="6" borderId="0" xfId="0" applyFont="1" applyFill="1" applyBorder="1" applyAlignment="1">
      <alignment horizontal="center"/>
    </xf>
    <xf numFmtId="0" fontId="60" fillId="6" borderId="7" xfId="0" applyFont="1" applyFill="1" applyBorder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60" fillId="6" borderId="12" xfId="0" applyFont="1" applyFill="1" applyBorder="1" applyAlignment="1">
      <alignment horizontal="center"/>
    </xf>
    <xf numFmtId="0" fontId="60" fillId="6" borderId="4" xfId="0" applyFont="1" applyFill="1" applyBorder="1" applyAlignment="1">
      <alignment horizontal="center" vertical="center" wrapText="1"/>
    </xf>
    <xf numFmtId="0" fontId="60" fillId="6" borderId="0" xfId="0" applyFont="1" applyFill="1" applyBorder="1" applyAlignment="1">
      <alignment horizontal="center" vertical="center" wrapText="1"/>
    </xf>
    <xf numFmtId="0" fontId="60" fillId="6" borderId="7" xfId="0" applyFont="1" applyFill="1" applyBorder="1" applyAlignment="1">
      <alignment horizontal="center" vertical="center" wrapText="1"/>
    </xf>
    <xf numFmtId="0" fontId="87" fillId="6" borderId="16" xfId="11" applyFont="1" applyFill="1" applyBorder="1" applyAlignment="1">
      <alignment horizontal="center" vertical="center"/>
    </xf>
    <xf numFmtId="0" fontId="87" fillId="6" borderId="11" xfId="11" applyFont="1" applyFill="1" applyBorder="1" applyAlignment="1">
      <alignment horizontal="center" vertical="center"/>
    </xf>
    <xf numFmtId="0" fontId="87" fillId="6" borderId="14" xfId="11" applyFont="1" applyFill="1" applyBorder="1" applyAlignment="1">
      <alignment horizontal="center" vertical="center"/>
    </xf>
    <xf numFmtId="0" fontId="87" fillId="6" borderId="14" xfId="11" applyFont="1" applyFill="1" applyBorder="1" applyAlignment="1">
      <alignment horizontal="center" wrapText="1"/>
    </xf>
    <xf numFmtId="0" fontId="87" fillId="6" borderId="8" xfId="11" applyFont="1" applyFill="1" applyBorder="1" applyAlignment="1">
      <alignment horizontal="center" wrapText="1"/>
    </xf>
    <xf numFmtId="0" fontId="87" fillId="6" borderId="18" xfId="11" applyFont="1" applyFill="1" applyBorder="1" applyAlignment="1">
      <alignment horizontal="center" wrapText="1"/>
    </xf>
    <xf numFmtId="0" fontId="87" fillId="6" borderId="3" xfId="11" applyFont="1" applyFill="1" applyBorder="1" applyAlignment="1">
      <alignment horizontal="center" wrapText="1"/>
    </xf>
    <xf numFmtId="0" fontId="87" fillId="6" borderId="16" xfId="11" applyFont="1" applyFill="1" applyBorder="1" applyAlignment="1">
      <alignment horizontal="center"/>
    </xf>
    <xf numFmtId="0" fontId="87" fillId="6" borderId="2" xfId="11" applyFont="1" applyFill="1" applyBorder="1" applyAlignment="1">
      <alignment horizontal="center"/>
    </xf>
    <xf numFmtId="0" fontId="92" fillId="0" borderId="18" xfId="16" applyFont="1" applyBorder="1" applyAlignment="1">
      <alignment horizontal="center"/>
    </xf>
    <xf numFmtId="0" fontId="63" fillId="0" borderId="14" xfId="11" applyFont="1" applyBorder="1" applyAlignment="1">
      <alignment horizontal="center" vertical="center"/>
    </xf>
    <xf numFmtId="0" fontId="63" fillId="0" borderId="18" xfId="11" applyFont="1" applyBorder="1" applyAlignment="1">
      <alignment horizontal="center" vertical="center"/>
    </xf>
    <xf numFmtId="0" fontId="63" fillId="0" borderId="16" xfId="11" applyFont="1" applyBorder="1" applyAlignment="1">
      <alignment horizontal="center" vertical="center"/>
    </xf>
    <xf numFmtId="0" fontId="63" fillId="0" borderId="11" xfId="11" applyFont="1" applyBorder="1" applyAlignment="1">
      <alignment horizontal="center" vertical="center"/>
    </xf>
    <xf numFmtId="0" fontId="63" fillId="0" borderId="17" xfId="11" applyFont="1" applyBorder="1" applyAlignment="1">
      <alignment horizontal="center" vertical="center"/>
    </xf>
    <xf numFmtId="0" fontId="63" fillId="0" borderId="18" xfId="11" applyFont="1" applyBorder="1" applyAlignment="1">
      <alignment horizontal="center" vertical="center" wrapText="1"/>
    </xf>
    <xf numFmtId="0" fontId="63" fillId="0" borderId="3" xfId="11" applyFont="1" applyBorder="1" applyAlignment="1">
      <alignment horizontal="center" vertical="center" wrapText="1"/>
    </xf>
    <xf numFmtId="0" fontId="63" fillId="0" borderId="8" xfId="11" applyFont="1" applyBorder="1" applyAlignment="1">
      <alignment horizontal="center" vertical="center"/>
    </xf>
  </cellXfs>
  <cellStyles count="18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5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VU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VU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/>
      <sheetData sheetId="7" refreshError="1"/>
      <sheetData sheetId="8" refreshError="1"/>
      <sheetData sheetId="9" refreshError="1">
        <row r="2">
          <cell r="C2">
            <v>44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/>
      <sheetData sheetId="21" refreshError="1">
        <row r="16">
          <cell r="D16">
            <v>5558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/>
      <sheetData sheetId="23" refreshError="1">
        <row r="3">
          <cell r="C3">
            <v>51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/>
      <sheetData sheetId="25" refreshError="1">
        <row r="16">
          <cell r="D16">
            <v>5785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/>
      <sheetData sheetId="5" refreshError="1">
        <row r="3">
          <cell r="C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/>
      <sheetData sheetId="7" refreshError="1">
        <row r="7">
          <cell r="C7">
            <v>1793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/>
      <sheetData sheetId="16" refreshError="1">
        <row r="7">
          <cell r="C7">
            <v>1448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/>
      <sheetData sheetId="18" refreshError="1">
        <row r="3">
          <cell r="C3">
            <v>24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/>
      <sheetData sheetId="24" refreshError="1">
        <row r="3">
          <cell r="C3">
            <v>49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C5">
            <v>59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/>
      <sheetData sheetId="13" refreshError="1">
        <row r="12">
          <cell r="D12">
            <v>6964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/>
      <sheetData sheetId="15" refreshError="1">
        <row r="5">
          <cell r="C5">
            <v>47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/>
      <sheetData sheetId="21" refreshError="1">
        <row r="12">
          <cell r="D12">
            <v>4963.2443853820596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/>
      <sheetData sheetId="23" refreshError="1">
        <row r="12">
          <cell r="D12">
            <v>5630.5991912464324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</sheetData>
      <sheetData sheetId="8" refreshError="1"/>
      <sheetData sheetId="9" refreshError="1"/>
      <sheetData sheetId="10" refreshError="1">
        <row r="3">
          <cell r="C3">
            <v>52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/>
      <sheetData sheetId="16" refreshError="1">
        <row r="3">
          <cell r="C3">
            <v>8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/>
      <sheetData sheetId="18" refreshError="1">
        <row r="16">
          <cell r="D16">
            <v>7660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/>
      <sheetData sheetId="20" refreshError="1">
        <row r="3">
          <cell r="C3">
            <v>34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/>
      <sheetData sheetId="22" refreshError="1">
        <row r="3">
          <cell r="C3">
            <v>43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/>
      <sheetData sheetId="1" refreshError="1"/>
      <sheetData sheetId="2" refreshError="1">
        <row r="3">
          <cell r="C3">
            <v>25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/>
      <sheetData sheetId="4" refreshError="1">
        <row r="3">
          <cell r="C3">
            <v>49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/>
      <sheetData sheetId="6" refreshError="1">
        <row r="3">
          <cell r="C3">
            <v>66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/>
      <sheetData sheetId="13" refreshError="1">
        <row r="16">
          <cell r="D16">
            <v>6123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/>
      <sheetData sheetId="19" refreshError="1">
        <row r="16">
          <cell r="D16">
            <v>7052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/>
      <sheetData sheetId="1" refreshError="1"/>
      <sheetData sheetId="2" refreshError="1">
        <row r="3">
          <cell r="C3">
            <v>37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/>
      <sheetData sheetId="11" refreshError="1">
        <row r="16">
          <cell r="D16">
            <v>2655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/>
      <sheetData sheetId="13" refreshError="1">
        <row r="3">
          <cell r="C3">
            <v>54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/>
      <sheetData sheetId="17" refreshError="1">
        <row r="3">
          <cell r="C3">
            <v>21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D3">
            <v>17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 refreshError="1">
        <row r="7">
          <cell r="C7">
            <v>3710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</row>
        <row r="15">
          <cell r="D15">
            <v>467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3.2"/>
  <cols>
    <col min="1" max="1" width="0.88671875" customWidth="1"/>
    <col min="2" max="2" width="5.88671875" customWidth="1"/>
    <col min="3" max="3" width="7.88671875" style="1" customWidth="1"/>
    <col min="4" max="13" width="10.6640625" customWidth="1"/>
    <col min="14" max="14" width="0.88671875" customWidth="1"/>
  </cols>
  <sheetData>
    <row r="1" spans="1:16" s="5" customFormat="1" ht="15.75" customHeight="1">
      <c r="A1" s="906" t="s">
        <v>51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0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I179"/>
  <sheetViews>
    <sheetView showGridLines="0" tabSelected="1" zoomScaleNormal="100" workbookViewId="0">
      <selection activeCell="X38" sqref="X38"/>
    </sheetView>
  </sheetViews>
  <sheetFormatPr defaultColWidth="5.6640625" defaultRowHeight="10.199999999999999"/>
  <cols>
    <col min="1" max="1" width="2.44140625" style="55" customWidth="1"/>
    <col min="2" max="2" width="6.6640625" style="55" customWidth="1"/>
    <col min="3" max="3" width="8" style="55" customWidth="1"/>
    <col min="4" max="4" width="9.6640625" style="55" bestFit="1" customWidth="1"/>
    <col min="5" max="5" width="1.88671875" style="55" hidden="1" customWidth="1"/>
    <col min="6" max="6" width="8.88671875" style="55" bestFit="1" customWidth="1"/>
    <col min="7" max="7" width="2.5546875" style="55" hidden="1" customWidth="1"/>
    <col min="8" max="8" width="9.6640625" style="55" bestFit="1" customWidth="1"/>
    <col min="9" max="9" width="2.33203125" style="55" hidden="1" customWidth="1"/>
    <col min="10" max="10" width="10" style="55" bestFit="1" customWidth="1"/>
    <col min="11" max="11" width="2.5546875" style="55" hidden="1" customWidth="1"/>
    <col min="12" max="12" width="9.6640625" style="55" bestFit="1" customWidth="1"/>
    <col min="13" max="13" width="1.6640625" style="55" hidden="1" customWidth="1"/>
    <col min="14" max="14" width="11.6640625" style="55" bestFit="1" customWidth="1"/>
    <col min="15" max="15" width="2.109375" style="55" customWidth="1"/>
    <col min="16" max="16" width="9.6640625" style="55" bestFit="1" customWidth="1"/>
    <col min="17" max="17" width="2.33203125" style="55" hidden="1" customWidth="1"/>
    <col min="18" max="18" width="8.6640625" style="55" customWidth="1"/>
    <col min="19" max="19" width="2.33203125" style="55" hidden="1" customWidth="1"/>
    <col min="20" max="20" width="10.5546875" style="55" bestFit="1" customWidth="1"/>
    <col min="21" max="21" width="10.33203125" style="55" bestFit="1" customWidth="1"/>
    <col min="22" max="22" width="15.109375" style="55" bestFit="1" customWidth="1"/>
    <col min="23" max="23" width="1.88671875" style="55" hidden="1" customWidth="1"/>
    <col min="24" max="24" width="8.88671875" style="55" bestFit="1" customWidth="1"/>
    <col min="25" max="25" width="2.109375" style="55" customWidth="1"/>
    <col min="26" max="26" width="12.109375" style="55" customWidth="1"/>
    <col min="27" max="27" width="2.109375" style="55" customWidth="1"/>
    <col min="28" max="28" width="14.6640625" style="55" customWidth="1"/>
    <col min="29" max="29" width="1.88671875" style="55" customWidth="1"/>
    <col min="30" max="30" width="9.109375" style="55" customWidth="1"/>
    <col min="31" max="31" width="2.5546875" style="55" customWidth="1"/>
    <col min="32" max="32" width="7.5546875" style="124" customWidth="1"/>
    <col min="33" max="33" width="8.5546875" style="55" bestFit="1" customWidth="1"/>
    <col min="34" max="34" width="7" style="55" bestFit="1" customWidth="1"/>
    <col min="35" max="36" width="5.6640625" style="55"/>
    <col min="37" max="37" width="9" style="55" bestFit="1" customWidth="1"/>
    <col min="38" max="38" width="6.88671875" style="55" bestFit="1" customWidth="1"/>
    <col min="39" max="39" width="7.6640625" style="55" bestFit="1" customWidth="1"/>
    <col min="40" max="40" width="9" style="55" bestFit="1" customWidth="1"/>
    <col min="41" max="41" width="7.6640625" style="55" bestFit="1" customWidth="1"/>
    <col min="42" max="44" width="5.6640625" style="55"/>
    <col min="45" max="45" width="7.44140625" style="55" bestFit="1" customWidth="1"/>
    <col min="46" max="16384" width="5.6640625" style="55"/>
  </cols>
  <sheetData>
    <row r="1" spans="1:34" ht="14.25" customHeight="1">
      <c r="B1" s="106" t="s">
        <v>250</v>
      </c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107"/>
      <c r="N1" s="107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4" ht="14.25" customHeight="1">
      <c r="B2" s="106" t="s">
        <v>109</v>
      </c>
      <c r="C2" s="106"/>
      <c r="D2" s="106"/>
      <c r="E2" s="106"/>
      <c r="F2" s="106"/>
      <c r="G2" s="106"/>
      <c r="H2" s="106"/>
      <c r="I2" s="106"/>
      <c r="J2" s="106"/>
      <c r="K2" s="106"/>
      <c r="L2" s="107"/>
      <c r="M2" s="107"/>
      <c r="N2" s="107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24" t="s">
        <v>132</v>
      </c>
    </row>
    <row r="3" spans="1:34" ht="6" customHeight="1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34" s="50" customFormat="1" ht="19.5" customHeight="1">
      <c r="B4" s="410"/>
      <c r="C4" s="604"/>
      <c r="D4" s="909" t="s">
        <v>70</v>
      </c>
      <c r="E4" s="910"/>
      <c r="F4" s="910"/>
      <c r="G4" s="910"/>
      <c r="H4" s="910"/>
      <c r="I4" s="910"/>
      <c r="J4" s="910"/>
      <c r="K4" s="910"/>
      <c r="L4" s="910"/>
      <c r="M4" s="910"/>
      <c r="N4" s="910"/>
      <c r="O4" s="911"/>
      <c r="P4" s="909" t="s">
        <v>124</v>
      </c>
      <c r="Q4" s="910"/>
      <c r="R4" s="910"/>
      <c r="S4" s="910"/>
      <c r="T4" s="910"/>
      <c r="U4" s="910"/>
      <c r="V4" s="910"/>
      <c r="W4" s="910"/>
      <c r="X4" s="910"/>
      <c r="Y4" s="644"/>
      <c r="Z4" s="880" t="s">
        <v>333</v>
      </c>
      <c r="AA4" s="881"/>
      <c r="AB4" s="831" t="s">
        <v>17</v>
      </c>
      <c r="AC4" s="871"/>
      <c r="AD4" s="831"/>
      <c r="AE4" s="871"/>
      <c r="AF4" s="628"/>
      <c r="AG4" s="382"/>
    </row>
    <row r="5" spans="1:34" s="50" customFormat="1" ht="17.25" customHeight="1">
      <c r="B5" s="155"/>
      <c r="C5" s="87"/>
      <c r="D5" s="915" t="s">
        <v>118</v>
      </c>
      <c r="E5" s="912"/>
      <c r="F5" s="912"/>
      <c r="G5" s="623"/>
      <c r="H5" s="912" t="s">
        <v>119</v>
      </c>
      <c r="I5" s="912"/>
      <c r="J5" s="912"/>
      <c r="K5" s="623"/>
      <c r="L5" s="912" t="s">
        <v>14</v>
      </c>
      <c r="M5" s="912"/>
      <c r="N5" s="912"/>
      <c r="O5" s="913"/>
      <c r="P5" s="914" t="s">
        <v>118</v>
      </c>
      <c r="Q5" s="908"/>
      <c r="R5" s="908"/>
      <c r="S5" s="623"/>
      <c r="T5" s="908" t="s">
        <v>119</v>
      </c>
      <c r="U5" s="908"/>
      <c r="V5" s="908" t="s">
        <v>14</v>
      </c>
      <c r="W5" s="908"/>
      <c r="X5" s="908"/>
      <c r="Y5" s="645"/>
      <c r="AA5" s="886"/>
      <c r="AB5" s="88" t="s">
        <v>128</v>
      </c>
      <c r="AC5" s="542"/>
      <c r="AD5" s="907" t="s">
        <v>198</v>
      </c>
      <c r="AE5" s="879"/>
      <c r="AF5" s="89"/>
      <c r="AG5" s="85"/>
    </row>
    <row r="6" spans="1:34" s="50" customFormat="1" ht="15" customHeight="1">
      <c r="B6" s="383" t="s">
        <v>73</v>
      </c>
      <c r="C6" s="89" t="s">
        <v>115</v>
      </c>
      <c r="D6" s="384" t="s">
        <v>5</v>
      </c>
      <c r="E6" s="89"/>
      <c r="F6" s="88" t="s">
        <v>6</v>
      </c>
      <c r="G6" s="88"/>
      <c r="H6" s="89" t="s">
        <v>5</v>
      </c>
      <c r="I6" s="89"/>
      <c r="J6" s="88" t="s">
        <v>6</v>
      </c>
      <c r="K6" s="88"/>
      <c r="L6" s="88" t="s">
        <v>5</v>
      </c>
      <c r="M6" s="88"/>
      <c r="N6" s="88" t="s">
        <v>6</v>
      </c>
      <c r="O6" s="542"/>
      <c r="P6" s="384" t="s">
        <v>121</v>
      </c>
      <c r="Q6" s="89"/>
      <c r="R6" s="88" t="s">
        <v>120</v>
      </c>
      <c r="S6" s="88"/>
      <c r="T6" s="88" t="s">
        <v>121</v>
      </c>
      <c r="U6" s="88" t="s">
        <v>6</v>
      </c>
      <c r="V6" s="88" t="s">
        <v>121</v>
      </c>
      <c r="W6" s="88"/>
      <c r="X6" s="88" t="s">
        <v>6</v>
      </c>
      <c r="Y6" s="542"/>
      <c r="Z6" s="623" t="s">
        <v>331</v>
      </c>
      <c r="AA6" s="645"/>
      <c r="AB6" s="88" t="s">
        <v>129</v>
      </c>
      <c r="AC6" s="542"/>
      <c r="AD6" s="907"/>
      <c r="AE6" s="879"/>
      <c r="AF6" s="89" t="s">
        <v>74</v>
      </c>
      <c r="AG6" s="85" t="s">
        <v>116</v>
      </c>
    </row>
    <row r="7" spans="1:34" s="50" customFormat="1" ht="19.5" customHeight="1">
      <c r="B7" s="411"/>
      <c r="C7" s="605"/>
      <c r="D7" s="544" t="s">
        <v>71</v>
      </c>
      <c r="E7" s="265"/>
      <c r="F7" s="257" t="s">
        <v>72</v>
      </c>
      <c r="G7" s="257"/>
      <c r="H7" s="265" t="s">
        <v>71</v>
      </c>
      <c r="I7" s="265"/>
      <c r="J7" s="257" t="s">
        <v>72</v>
      </c>
      <c r="K7" s="257"/>
      <c r="L7" s="257" t="s">
        <v>71</v>
      </c>
      <c r="M7" s="257"/>
      <c r="N7" s="257" t="s">
        <v>72</v>
      </c>
      <c r="O7" s="543"/>
      <c r="P7" s="544" t="s">
        <v>71</v>
      </c>
      <c r="Q7" s="265"/>
      <c r="R7" s="257" t="s">
        <v>72</v>
      </c>
      <c r="S7" s="257"/>
      <c r="T7" s="257" t="s">
        <v>71</v>
      </c>
      <c r="U7" s="257" t="s">
        <v>72</v>
      </c>
      <c r="V7" s="257" t="s">
        <v>71</v>
      </c>
      <c r="W7" s="257"/>
      <c r="X7" s="257" t="s">
        <v>72</v>
      </c>
      <c r="Y7" s="543"/>
      <c r="Z7" s="411" t="s">
        <v>330</v>
      </c>
      <c r="AA7" s="887"/>
      <c r="AB7" s="882"/>
      <c r="AC7" s="542"/>
      <c r="AD7" s="882"/>
      <c r="AE7" s="542"/>
      <c r="AF7" s="629"/>
      <c r="AG7" s="90"/>
    </row>
    <row r="8" spans="1:34" s="50" customFormat="1" ht="13.2">
      <c r="B8" s="705">
        <v>2021</v>
      </c>
      <c r="C8" s="326"/>
      <c r="D8" s="726">
        <v>3495</v>
      </c>
      <c r="E8" s="722"/>
      <c r="F8" s="722">
        <v>0</v>
      </c>
      <c r="G8" s="722"/>
      <c r="H8" s="722">
        <v>0</v>
      </c>
      <c r="I8" s="722"/>
      <c r="J8" s="722">
        <v>0</v>
      </c>
      <c r="K8" s="722">
        <v>0</v>
      </c>
      <c r="L8" s="722">
        <v>3495</v>
      </c>
      <c r="M8" s="722" t="s">
        <v>41</v>
      </c>
      <c r="N8" s="722">
        <v>0</v>
      </c>
      <c r="O8" s="788"/>
      <c r="P8" s="726">
        <v>8964</v>
      </c>
      <c r="Q8" s="722">
        <v>0</v>
      </c>
      <c r="R8" s="722">
        <v>0</v>
      </c>
      <c r="S8" s="722">
        <v>0</v>
      </c>
      <c r="T8" s="758" t="s">
        <v>43</v>
      </c>
      <c r="U8" s="758" t="s">
        <v>43</v>
      </c>
      <c r="V8" s="722">
        <v>8964</v>
      </c>
      <c r="W8" s="722"/>
      <c r="X8" s="722">
        <v>0</v>
      </c>
      <c r="Y8" s="722">
        <v>0</v>
      </c>
      <c r="Z8" s="783" t="s">
        <v>43</v>
      </c>
      <c r="AA8" s="782"/>
      <c r="AB8" s="722">
        <v>0</v>
      </c>
      <c r="AC8" s="788"/>
      <c r="AD8" s="722">
        <v>0</v>
      </c>
      <c r="AE8" s="788"/>
      <c r="AF8" s="714">
        <v>2021</v>
      </c>
      <c r="AG8" s="716"/>
      <c r="AH8" s="263"/>
    </row>
    <row r="9" spans="1:34" s="50" customFormat="1" ht="13.2">
      <c r="B9" s="705">
        <v>2022</v>
      </c>
      <c r="C9" s="326"/>
      <c r="D9" s="726">
        <v>18547</v>
      </c>
      <c r="E9" s="722"/>
      <c r="F9" s="722">
        <v>30374</v>
      </c>
      <c r="G9" s="722"/>
      <c r="H9" s="722">
        <v>0</v>
      </c>
      <c r="I9" s="722"/>
      <c r="J9" s="722">
        <v>0</v>
      </c>
      <c r="K9" s="722">
        <v>0</v>
      </c>
      <c r="L9" s="722">
        <v>18547</v>
      </c>
      <c r="M9" s="722">
        <v>0</v>
      </c>
      <c r="N9" s="722">
        <v>30374</v>
      </c>
      <c r="O9" s="722">
        <v>0</v>
      </c>
      <c r="P9" s="726">
        <v>18172</v>
      </c>
      <c r="Q9" s="722">
        <v>0</v>
      </c>
      <c r="R9" s="722">
        <v>27637</v>
      </c>
      <c r="S9" s="722">
        <v>0</v>
      </c>
      <c r="T9" s="758" t="s">
        <v>43</v>
      </c>
      <c r="U9" s="722">
        <v>12</v>
      </c>
      <c r="V9" s="722">
        <v>18172</v>
      </c>
      <c r="W9" s="722">
        <v>0</v>
      </c>
      <c r="X9" s="722">
        <v>27637</v>
      </c>
      <c r="Y9" s="722">
        <v>0</v>
      </c>
      <c r="Z9" s="783" t="s">
        <v>43</v>
      </c>
      <c r="AA9" s="782"/>
      <c r="AB9" s="722">
        <v>34554</v>
      </c>
      <c r="AC9" s="788"/>
      <c r="AD9" s="722">
        <v>65086</v>
      </c>
      <c r="AE9" s="788"/>
      <c r="AF9" s="714">
        <v>2022</v>
      </c>
      <c r="AG9" s="716"/>
      <c r="AH9" s="263"/>
    </row>
    <row r="10" spans="1:34" s="50" customFormat="1" ht="13.2">
      <c r="B10" s="705">
        <v>2023</v>
      </c>
      <c r="C10" s="326"/>
      <c r="D10" s="726">
        <v>29087</v>
      </c>
      <c r="E10" s="722"/>
      <c r="F10" s="722">
        <v>75302</v>
      </c>
      <c r="G10" s="722"/>
      <c r="H10" s="722">
        <v>350</v>
      </c>
      <c r="I10" s="722"/>
      <c r="J10" s="722">
        <v>1697</v>
      </c>
      <c r="K10" s="722">
        <v>0</v>
      </c>
      <c r="L10" s="722">
        <v>29437</v>
      </c>
      <c r="M10" s="722">
        <v>0</v>
      </c>
      <c r="N10" s="722">
        <v>76999</v>
      </c>
      <c r="O10" s="722">
        <v>0</v>
      </c>
      <c r="P10" s="726">
        <v>27855</v>
      </c>
      <c r="Q10" s="722">
        <v>0</v>
      </c>
      <c r="R10" s="722">
        <v>88150</v>
      </c>
      <c r="S10" s="722">
        <v>0</v>
      </c>
      <c r="T10" s="722">
        <v>156</v>
      </c>
      <c r="U10" s="722">
        <v>1231</v>
      </c>
      <c r="V10" s="722">
        <v>28011</v>
      </c>
      <c r="W10" s="722">
        <v>0</v>
      </c>
      <c r="X10" s="722">
        <v>89381</v>
      </c>
      <c r="Y10" s="722">
        <v>0</v>
      </c>
      <c r="Z10" s="783" t="s">
        <v>43</v>
      </c>
      <c r="AA10" s="782"/>
      <c r="AB10" s="722">
        <v>263578</v>
      </c>
      <c r="AC10" s="788"/>
      <c r="AD10" s="722">
        <v>341605</v>
      </c>
      <c r="AE10" s="788"/>
      <c r="AF10" s="714">
        <v>2023</v>
      </c>
      <c r="AG10" s="716"/>
      <c r="AH10" s="263"/>
    </row>
    <row r="11" spans="1:34" s="50" customFormat="1" ht="13.2">
      <c r="B11" s="705">
        <v>2024</v>
      </c>
      <c r="C11" s="326"/>
      <c r="D11" s="726">
        <v>29385</v>
      </c>
      <c r="E11" s="722"/>
      <c r="F11" s="722">
        <v>56685</v>
      </c>
      <c r="G11" s="722"/>
      <c r="H11" s="722">
        <v>539</v>
      </c>
      <c r="I11" s="722"/>
      <c r="J11" s="722">
        <v>2393</v>
      </c>
      <c r="K11" s="722">
        <v>0</v>
      </c>
      <c r="L11" s="722">
        <v>29924</v>
      </c>
      <c r="M11" s="722">
        <v>0</v>
      </c>
      <c r="N11" s="722">
        <v>59078</v>
      </c>
      <c r="O11" s="722">
        <v>0</v>
      </c>
      <c r="P11" s="726">
        <v>22986</v>
      </c>
      <c r="Q11" s="722">
        <v>0</v>
      </c>
      <c r="R11" s="722">
        <v>67863</v>
      </c>
      <c r="S11" s="722">
        <v>0</v>
      </c>
      <c r="T11" s="722">
        <v>256</v>
      </c>
      <c r="U11" s="722">
        <v>2348</v>
      </c>
      <c r="V11" s="722">
        <v>23242</v>
      </c>
      <c r="W11" s="722">
        <v>0</v>
      </c>
      <c r="X11" s="722">
        <v>70498</v>
      </c>
      <c r="Y11" s="722">
        <v>0</v>
      </c>
      <c r="Z11" s="726">
        <v>419</v>
      </c>
      <c r="AA11" s="788"/>
      <c r="AB11" s="722">
        <v>204798</v>
      </c>
      <c r="AC11" s="788"/>
      <c r="AD11" s="722">
        <v>264295</v>
      </c>
      <c r="AE11" s="788"/>
      <c r="AF11" s="714">
        <v>2024</v>
      </c>
      <c r="AG11" s="716"/>
      <c r="AH11" s="263"/>
    </row>
    <row r="12" spans="1:34" s="50" customFormat="1" ht="13.2">
      <c r="B12" s="705">
        <v>2025</v>
      </c>
      <c r="C12" s="326"/>
      <c r="D12" s="726">
        <v>36822</v>
      </c>
      <c r="E12" s="722"/>
      <c r="F12" s="722">
        <v>95318</v>
      </c>
      <c r="G12" s="722"/>
      <c r="H12" s="722">
        <v>164</v>
      </c>
      <c r="I12" s="722"/>
      <c r="J12" s="722">
        <v>601</v>
      </c>
      <c r="K12" s="722">
        <v>0</v>
      </c>
      <c r="L12" s="722">
        <v>36986</v>
      </c>
      <c r="M12" s="722">
        <v>0</v>
      </c>
      <c r="N12" s="722">
        <v>95919</v>
      </c>
      <c r="O12" s="722">
        <v>0</v>
      </c>
      <c r="P12" s="726">
        <v>35264</v>
      </c>
      <c r="Q12" s="722">
        <v>0</v>
      </c>
      <c r="R12" s="722">
        <v>96743</v>
      </c>
      <c r="S12" s="722">
        <v>0</v>
      </c>
      <c r="T12" s="722">
        <v>101</v>
      </c>
      <c r="U12" s="722">
        <v>792</v>
      </c>
      <c r="V12" s="722">
        <v>35419</v>
      </c>
      <c r="W12" s="722">
        <v>0</v>
      </c>
      <c r="X12" s="722">
        <v>96932</v>
      </c>
      <c r="Y12" s="788">
        <v>0</v>
      </c>
      <c r="Z12" s="722">
        <v>1114</v>
      </c>
      <c r="AA12" s="788">
        <v>0</v>
      </c>
      <c r="AB12" s="722">
        <v>178929</v>
      </c>
      <c r="AC12" s="722">
        <v>0</v>
      </c>
      <c r="AD12" s="726">
        <v>275962</v>
      </c>
      <c r="AE12" s="788"/>
      <c r="AF12" s="714">
        <v>2025</v>
      </c>
      <c r="AG12" s="716"/>
      <c r="AH12" s="263"/>
    </row>
    <row r="13" spans="1:34" s="50" customFormat="1" ht="13.2">
      <c r="A13" s="342"/>
      <c r="B13" s="705"/>
      <c r="C13" s="326"/>
      <c r="D13" s="777"/>
      <c r="E13" s="778"/>
      <c r="F13" s="778"/>
      <c r="G13" s="778"/>
      <c r="H13" s="778"/>
      <c r="I13" s="778"/>
      <c r="J13" s="778"/>
      <c r="K13" s="778"/>
      <c r="L13" s="778"/>
      <c r="M13" s="778"/>
      <c r="N13" s="778"/>
      <c r="O13" s="779"/>
      <c r="P13" s="780"/>
      <c r="Q13" s="781"/>
      <c r="R13" s="781"/>
      <c r="S13" s="781"/>
      <c r="T13" s="781"/>
      <c r="U13" s="781"/>
      <c r="V13" s="781"/>
      <c r="W13" s="781"/>
      <c r="X13" s="781"/>
      <c r="Y13" s="779"/>
      <c r="Z13" s="758"/>
      <c r="AA13" s="782"/>
      <c r="AB13" s="778"/>
      <c r="AC13" s="779"/>
      <c r="AD13" s="778"/>
      <c r="AE13" s="779"/>
      <c r="AF13" s="641"/>
      <c r="AG13" s="716"/>
      <c r="AH13" s="263"/>
    </row>
    <row r="14" spans="1:34" s="187" customFormat="1" ht="12.75" customHeight="1">
      <c r="A14" s="717"/>
      <c r="B14" s="705">
        <v>2021</v>
      </c>
      <c r="C14" s="715" t="s">
        <v>228</v>
      </c>
      <c r="D14" s="726">
        <v>325</v>
      </c>
      <c r="E14" s="722"/>
      <c r="F14" s="722">
        <v>0</v>
      </c>
      <c r="G14" s="722" t="s">
        <v>41</v>
      </c>
      <c r="H14" s="722">
        <v>0</v>
      </c>
      <c r="I14" s="722"/>
      <c r="J14" s="722">
        <v>0</v>
      </c>
      <c r="K14" s="722"/>
      <c r="L14" s="790">
        <v>325</v>
      </c>
      <c r="M14" s="790"/>
      <c r="N14" s="722">
        <v>0</v>
      </c>
      <c r="O14" s="788" t="s">
        <v>41</v>
      </c>
      <c r="P14" s="726">
        <v>660</v>
      </c>
      <c r="Q14" s="722"/>
      <c r="R14" s="758" t="s">
        <v>43</v>
      </c>
      <c r="S14" s="722" t="s">
        <v>41</v>
      </c>
      <c r="T14" s="758" t="s">
        <v>43</v>
      </c>
      <c r="U14" s="722">
        <v>0</v>
      </c>
      <c r="V14" s="722">
        <v>660</v>
      </c>
      <c r="W14" s="789"/>
      <c r="X14" s="722">
        <v>0</v>
      </c>
      <c r="Y14" s="788" t="s">
        <v>41</v>
      </c>
      <c r="Z14" s="758" t="s">
        <v>43</v>
      </c>
      <c r="AA14" s="782"/>
      <c r="AB14" s="722">
        <v>0</v>
      </c>
      <c r="AC14" s="788"/>
      <c r="AD14" s="722">
        <v>0</v>
      </c>
      <c r="AE14" s="788"/>
      <c r="AF14" s="641">
        <v>2021</v>
      </c>
      <c r="AG14" s="716" t="s">
        <v>33</v>
      </c>
      <c r="AH14" s="284"/>
    </row>
    <row r="15" spans="1:34" s="187" customFormat="1" ht="12.75" hidden="1" customHeight="1">
      <c r="A15" s="717"/>
      <c r="B15" s="705">
        <v>2021</v>
      </c>
      <c r="C15" s="715" t="s">
        <v>34</v>
      </c>
      <c r="D15" s="726">
        <v>209</v>
      </c>
      <c r="E15" s="722"/>
      <c r="F15" s="722">
        <v>0</v>
      </c>
      <c r="G15" s="722"/>
      <c r="H15" s="722">
        <v>0</v>
      </c>
      <c r="I15" s="722"/>
      <c r="J15" s="722">
        <v>0</v>
      </c>
      <c r="K15" s="722"/>
      <c r="L15" s="790">
        <v>209</v>
      </c>
      <c r="M15" s="790"/>
      <c r="N15" s="722">
        <v>0</v>
      </c>
      <c r="O15" s="788"/>
      <c r="P15" s="726">
        <v>936</v>
      </c>
      <c r="Q15" s="722"/>
      <c r="R15" s="758" t="s">
        <v>43</v>
      </c>
      <c r="S15" s="722"/>
      <c r="T15" s="758" t="s">
        <v>43</v>
      </c>
      <c r="U15" s="722">
        <v>0</v>
      </c>
      <c r="V15" s="722">
        <v>936</v>
      </c>
      <c r="W15" s="789"/>
      <c r="X15" s="722">
        <v>0</v>
      </c>
      <c r="Y15" s="788"/>
      <c r="Z15" s="758" t="s">
        <v>43</v>
      </c>
      <c r="AA15" s="782"/>
      <c r="AB15" s="722">
        <v>0</v>
      </c>
      <c r="AC15" s="788"/>
      <c r="AD15" s="722">
        <v>0</v>
      </c>
      <c r="AE15" s="788"/>
      <c r="AF15" s="641">
        <v>2021</v>
      </c>
      <c r="AG15" s="716" t="s">
        <v>75</v>
      </c>
      <c r="AH15" s="284"/>
    </row>
    <row r="16" spans="1:34" s="187" customFormat="1" ht="12.75" hidden="1" customHeight="1">
      <c r="A16" s="717"/>
      <c r="B16" s="705">
        <v>2021</v>
      </c>
      <c r="C16" s="715" t="s">
        <v>29</v>
      </c>
      <c r="D16" s="726">
        <v>279</v>
      </c>
      <c r="E16" s="722"/>
      <c r="F16" s="722">
        <v>0</v>
      </c>
      <c r="G16" s="722"/>
      <c r="H16" s="722">
        <v>0</v>
      </c>
      <c r="I16" s="722"/>
      <c r="J16" s="722">
        <v>0</v>
      </c>
      <c r="K16" s="722"/>
      <c r="L16" s="790">
        <v>279</v>
      </c>
      <c r="M16" s="790"/>
      <c r="N16" s="722">
        <v>0</v>
      </c>
      <c r="O16" s="788"/>
      <c r="P16" s="726">
        <v>882</v>
      </c>
      <c r="Q16" s="722"/>
      <c r="R16" s="758" t="s">
        <v>43</v>
      </c>
      <c r="S16" s="722"/>
      <c r="T16" s="758" t="s">
        <v>43</v>
      </c>
      <c r="U16" s="722">
        <v>0</v>
      </c>
      <c r="V16" s="722">
        <v>882</v>
      </c>
      <c r="W16" s="789"/>
      <c r="X16" s="722">
        <v>0</v>
      </c>
      <c r="Y16" s="788"/>
      <c r="Z16" s="758" t="s">
        <v>43</v>
      </c>
      <c r="AA16" s="782"/>
      <c r="AB16" s="722">
        <v>0</v>
      </c>
      <c r="AC16" s="788"/>
      <c r="AD16" s="722">
        <v>0</v>
      </c>
      <c r="AE16" s="788"/>
      <c r="AF16" s="641">
        <v>2021</v>
      </c>
      <c r="AG16" s="716" t="s">
        <v>65</v>
      </c>
      <c r="AH16" s="284"/>
    </row>
    <row r="17" spans="1:34" s="187" customFormat="1" ht="12.75" hidden="1" customHeight="1">
      <c r="A17" s="717"/>
      <c r="B17" s="705">
        <v>2021</v>
      </c>
      <c r="C17" s="715" t="s">
        <v>316</v>
      </c>
      <c r="D17" s="726">
        <v>245</v>
      </c>
      <c r="E17" s="722"/>
      <c r="F17" s="722">
        <v>0</v>
      </c>
      <c r="G17" s="722"/>
      <c r="H17" s="722">
        <v>0</v>
      </c>
      <c r="I17" s="722"/>
      <c r="J17" s="722">
        <v>0</v>
      </c>
      <c r="K17" s="722"/>
      <c r="L17" s="790">
        <v>245</v>
      </c>
      <c r="M17" s="790"/>
      <c r="N17" s="722">
        <v>0</v>
      </c>
      <c r="O17" s="788"/>
      <c r="P17" s="726">
        <v>575</v>
      </c>
      <c r="Q17" s="722"/>
      <c r="R17" s="758" t="s">
        <v>43</v>
      </c>
      <c r="S17" s="722"/>
      <c r="T17" s="758" t="s">
        <v>43</v>
      </c>
      <c r="U17" s="722">
        <v>0</v>
      </c>
      <c r="V17" s="722">
        <v>575</v>
      </c>
      <c r="W17" s="789"/>
      <c r="X17" s="722">
        <v>0</v>
      </c>
      <c r="Y17" s="722"/>
      <c r="Z17" s="783" t="s">
        <v>43</v>
      </c>
      <c r="AA17" s="782"/>
      <c r="AB17" s="722">
        <v>0</v>
      </c>
      <c r="AC17" s="788"/>
      <c r="AD17" s="722">
        <v>0</v>
      </c>
      <c r="AE17" s="788"/>
      <c r="AF17" s="641">
        <v>2021</v>
      </c>
      <c r="AG17" s="716" t="s">
        <v>318</v>
      </c>
      <c r="AH17" s="284"/>
    </row>
    <row r="18" spans="1:34" s="187" customFormat="1" ht="12.75" hidden="1" customHeight="1">
      <c r="A18" s="717"/>
      <c r="B18" s="705">
        <v>2021</v>
      </c>
      <c r="C18" s="715" t="s">
        <v>4</v>
      </c>
      <c r="D18" s="726">
        <v>355</v>
      </c>
      <c r="E18" s="722"/>
      <c r="F18" s="722">
        <v>0</v>
      </c>
      <c r="G18" s="722"/>
      <c r="H18" s="722">
        <v>0</v>
      </c>
      <c r="I18" s="722"/>
      <c r="J18" s="722">
        <v>0</v>
      </c>
      <c r="K18" s="722"/>
      <c r="L18" s="790">
        <v>355</v>
      </c>
      <c r="M18" s="790"/>
      <c r="N18" s="722">
        <v>0</v>
      </c>
      <c r="O18" s="788"/>
      <c r="P18" s="726">
        <v>688</v>
      </c>
      <c r="Q18" s="722"/>
      <c r="R18" s="758" t="s">
        <v>43</v>
      </c>
      <c r="S18" s="722"/>
      <c r="T18" s="758" t="s">
        <v>43</v>
      </c>
      <c r="U18" s="722">
        <v>0</v>
      </c>
      <c r="V18" s="722">
        <v>688</v>
      </c>
      <c r="W18" s="789"/>
      <c r="X18" s="722">
        <v>0</v>
      </c>
      <c r="Y18" s="722"/>
      <c r="Z18" s="783" t="s">
        <v>43</v>
      </c>
      <c r="AA18" s="782"/>
      <c r="AB18" s="722">
        <v>0</v>
      </c>
      <c r="AC18" s="788"/>
      <c r="AD18" s="722">
        <v>0</v>
      </c>
      <c r="AE18" s="788"/>
      <c r="AF18" s="641">
        <v>2021</v>
      </c>
      <c r="AG18" s="716" t="s">
        <v>319</v>
      </c>
      <c r="AH18" s="284"/>
    </row>
    <row r="19" spans="1:34" s="187" customFormat="1" ht="12.75" hidden="1" customHeight="1">
      <c r="A19" s="717"/>
      <c r="B19" s="705">
        <v>2021</v>
      </c>
      <c r="C19" s="715" t="s">
        <v>30</v>
      </c>
      <c r="D19" s="726">
        <v>376</v>
      </c>
      <c r="E19" s="722"/>
      <c r="F19" s="722">
        <v>0</v>
      </c>
      <c r="G19" s="722"/>
      <c r="H19" s="722">
        <v>0</v>
      </c>
      <c r="I19" s="722"/>
      <c r="J19" s="722">
        <v>0</v>
      </c>
      <c r="K19" s="722"/>
      <c r="L19" s="790">
        <v>376</v>
      </c>
      <c r="M19" s="790"/>
      <c r="N19" s="722">
        <v>0</v>
      </c>
      <c r="O19" s="788"/>
      <c r="P19" s="726">
        <v>1041</v>
      </c>
      <c r="Q19" s="722"/>
      <c r="R19" s="758" t="s">
        <v>43</v>
      </c>
      <c r="S19" s="722"/>
      <c r="T19" s="758" t="s">
        <v>43</v>
      </c>
      <c r="U19" s="722">
        <v>0</v>
      </c>
      <c r="V19" s="722">
        <v>1041</v>
      </c>
      <c r="W19" s="789"/>
      <c r="X19" s="722">
        <v>0</v>
      </c>
      <c r="Y19" s="722"/>
      <c r="Z19" s="783" t="s">
        <v>43</v>
      </c>
      <c r="AA19" s="782"/>
      <c r="AB19" s="722">
        <v>0</v>
      </c>
      <c r="AC19" s="788"/>
      <c r="AD19" s="722">
        <v>0</v>
      </c>
      <c r="AE19" s="788"/>
      <c r="AF19" s="641">
        <v>2021</v>
      </c>
      <c r="AG19" s="716" t="s">
        <v>320</v>
      </c>
      <c r="AH19" s="284"/>
    </row>
    <row r="20" spans="1:34" s="187" customFormat="1" ht="12.75" hidden="1" customHeight="1">
      <c r="A20" s="717"/>
      <c r="B20" s="705">
        <v>2021</v>
      </c>
      <c r="C20" s="715" t="s">
        <v>36</v>
      </c>
      <c r="D20" s="726">
        <v>98</v>
      </c>
      <c r="E20" s="722"/>
      <c r="F20" s="722">
        <v>0</v>
      </c>
      <c r="G20" s="722"/>
      <c r="H20" s="722">
        <v>0</v>
      </c>
      <c r="I20" s="722"/>
      <c r="J20" s="722">
        <v>0</v>
      </c>
      <c r="K20" s="722"/>
      <c r="L20" s="790">
        <v>98</v>
      </c>
      <c r="M20" s="790"/>
      <c r="N20" s="722">
        <v>0</v>
      </c>
      <c r="O20" s="788"/>
      <c r="P20" s="726">
        <v>822</v>
      </c>
      <c r="Q20" s="722"/>
      <c r="R20" s="758" t="s">
        <v>43</v>
      </c>
      <c r="S20" s="722"/>
      <c r="T20" s="758" t="s">
        <v>43</v>
      </c>
      <c r="U20" s="722">
        <v>0</v>
      </c>
      <c r="V20" s="722">
        <v>822</v>
      </c>
      <c r="W20" s="789"/>
      <c r="X20" s="722">
        <v>0</v>
      </c>
      <c r="Y20" s="722"/>
      <c r="Z20" s="783" t="s">
        <v>43</v>
      </c>
      <c r="AA20" s="782"/>
      <c r="AB20" s="722">
        <v>0</v>
      </c>
      <c r="AC20" s="788"/>
      <c r="AD20" s="722">
        <v>0</v>
      </c>
      <c r="AE20" s="788"/>
      <c r="AF20" s="641">
        <v>2021</v>
      </c>
      <c r="AG20" s="716" t="s">
        <v>232</v>
      </c>
      <c r="AH20" s="284"/>
    </row>
    <row r="21" spans="1:34" s="187" customFormat="1" ht="12.75" hidden="1" customHeight="1">
      <c r="A21" s="717"/>
      <c r="B21" s="705">
        <v>2021</v>
      </c>
      <c r="C21" s="715" t="s">
        <v>237</v>
      </c>
      <c r="D21" s="726">
        <v>244</v>
      </c>
      <c r="E21" s="722"/>
      <c r="F21" s="722">
        <v>0</v>
      </c>
      <c r="G21" s="722"/>
      <c r="H21" s="722">
        <v>0</v>
      </c>
      <c r="I21" s="722"/>
      <c r="J21" s="722">
        <v>0</v>
      </c>
      <c r="K21" s="722"/>
      <c r="L21" s="790">
        <v>244</v>
      </c>
      <c r="M21" s="790"/>
      <c r="N21" s="722">
        <v>0</v>
      </c>
      <c r="O21" s="788"/>
      <c r="P21" s="726">
        <v>1007</v>
      </c>
      <c r="Q21" s="722"/>
      <c r="R21" s="758" t="s">
        <v>43</v>
      </c>
      <c r="S21" s="722"/>
      <c r="T21" s="758" t="s">
        <v>43</v>
      </c>
      <c r="U21" s="722">
        <v>0</v>
      </c>
      <c r="V21" s="722">
        <v>1007</v>
      </c>
      <c r="W21" s="789"/>
      <c r="X21" s="722">
        <v>0</v>
      </c>
      <c r="Y21" s="722"/>
      <c r="Z21" s="783" t="s">
        <v>43</v>
      </c>
      <c r="AA21" s="782"/>
      <c r="AB21" s="722">
        <v>0</v>
      </c>
      <c r="AC21" s="788"/>
      <c r="AD21" s="722">
        <v>0</v>
      </c>
      <c r="AE21" s="788"/>
      <c r="AF21" s="641">
        <v>2021</v>
      </c>
      <c r="AG21" s="716" t="s">
        <v>321</v>
      </c>
      <c r="AH21" s="284"/>
    </row>
    <row r="22" spans="1:34" s="187" customFormat="1" ht="12.75" hidden="1" customHeight="1">
      <c r="A22" s="717"/>
      <c r="B22" s="705">
        <v>2021</v>
      </c>
      <c r="C22" s="715" t="s">
        <v>312</v>
      </c>
      <c r="D22" s="726">
        <v>44</v>
      </c>
      <c r="E22" s="722"/>
      <c r="F22" s="722">
        <v>0</v>
      </c>
      <c r="G22" s="722"/>
      <c r="H22" s="722">
        <v>0</v>
      </c>
      <c r="I22" s="722"/>
      <c r="J22" s="722">
        <v>0</v>
      </c>
      <c r="K22" s="722"/>
      <c r="L22" s="790">
        <v>44</v>
      </c>
      <c r="M22" s="790"/>
      <c r="N22" s="722">
        <v>0</v>
      </c>
      <c r="O22" s="788"/>
      <c r="P22" s="726">
        <v>502</v>
      </c>
      <c r="Q22" s="722"/>
      <c r="R22" s="758" t="s">
        <v>43</v>
      </c>
      <c r="S22" s="722"/>
      <c r="T22" s="758" t="s">
        <v>43</v>
      </c>
      <c r="U22" s="722">
        <v>0</v>
      </c>
      <c r="V22" s="722">
        <v>502</v>
      </c>
      <c r="W22" s="789"/>
      <c r="X22" s="722">
        <v>0</v>
      </c>
      <c r="Y22" s="722"/>
      <c r="Z22" s="783" t="s">
        <v>43</v>
      </c>
      <c r="AA22" s="782"/>
      <c r="AB22" s="722">
        <v>0</v>
      </c>
      <c r="AC22" s="788"/>
      <c r="AD22" s="722">
        <v>0</v>
      </c>
      <c r="AE22" s="788"/>
      <c r="AF22" s="641">
        <v>2021</v>
      </c>
      <c r="AG22" s="716" t="s">
        <v>312</v>
      </c>
      <c r="AH22" s="284"/>
    </row>
    <row r="23" spans="1:34" s="187" customFormat="1" ht="12.75" hidden="1" customHeight="1">
      <c r="A23" s="717"/>
      <c r="B23" s="705">
        <v>2021</v>
      </c>
      <c r="C23" s="715" t="s">
        <v>50</v>
      </c>
      <c r="D23" s="726">
        <v>319</v>
      </c>
      <c r="E23" s="722"/>
      <c r="F23" s="722">
        <v>0</v>
      </c>
      <c r="G23" s="722"/>
      <c r="H23" s="722">
        <v>0</v>
      </c>
      <c r="I23" s="722"/>
      <c r="J23" s="722">
        <v>0</v>
      </c>
      <c r="K23" s="722"/>
      <c r="L23" s="790">
        <v>319</v>
      </c>
      <c r="M23" s="790"/>
      <c r="N23" s="722">
        <v>0</v>
      </c>
      <c r="O23" s="722"/>
      <c r="P23" s="726">
        <v>747</v>
      </c>
      <c r="Q23" s="722"/>
      <c r="R23" s="758" t="s">
        <v>43</v>
      </c>
      <c r="S23" s="722"/>
      <c r="T23" s="758" t="s">
        <v>43</v>
      </c>
      <c r="U23" s="722">
        <v>0</v>
      </c>
      <c r="V23" s="722">
        <v>747</v>
      </c>
      <c r="W23" s="789"/>
      <c r="X23" s="722">
        <v>0</v>
      </c>
      <c r="Y23" s="722"/>
      <c r="Z23" s="783" t="s">
        <v>43</v>
      </c>
      <c r="AA23" s="782"/>
      <c r="AB23" s="722">
        <v>0</v>
      </c>
      <c r="AC23" s="788"/>
      <c r="AD23" s="722">
        <v>0</v>
      </c>
      <c r="AE23" s="788"/>
      <c r="AF23" s="641">
        <v>2021</v>
      </c>
      <c r="AG23" s="716" t="s">
        <v>50</v>
      </c>
      <c r="AH23" s="284"/>
    </row>
    <row r="24" spans="1:34" s="187" customFormat="1" ht="12.75" hidden="1" customHeight="1">
      <c r="A24" s="717"/>
      <c r="B24" s="705">
        <v>2021</v>
      </c>
      <c r="C24" s="794" t="s">
        <v>313</v>
      </c>
      <c r="D24" s="722">
        <v>648</v>
      </c>
      <c r="E24" s="722"/>
      <c r="F24" s="722">
        <v>0</v>
      </c>
      <c r="G24" s="722"/>
      <c r="H24" s="722">
        <v>0</v>
      </c>
      <c r="I24" s="722"/>
      <c r="J24" s="722">
        <v>0</v>
      </c>
      <c r="K24" s="722"/>
      <c r="L24" s="790">
        <v>648</v>
      </c>
      <c r="M24" s="790"/>
      <c r="N24" s="722">
        <v>0</v>
      </c>
      <c r="O24" s="788"/>
      <c r="P24" s="722">
        <v>751</v>
      </c>
      <c r="Q24" s="722"/>
      <c r="R24" s="758" t="s">
        <v>43</v>
      </c>
      <c r="S24" s="722"/>
      <c r="T24" s="758" t="s">
        <v>43</v>
      </c>
      <c r="U24" s="722">
        <v>0</v>
      </c>
      <c r="V24" s="722">
        <v>751</v>
      </c>
      <c r="W24" s="789"/>
      <c r="X24" s="722">
        <v>0</v>
      </c>
      <c r="Y24" s="722"/>
      <c r="Z24" s="783" t="s">
        <v>43</v>
      </c>
      <c r="AA24" s="782"/>
      <c r="AB24" s="722">
        <v>0</v>
      </c>
      <c r="AC24" s="788"/>
      <c r="AD24" s="722">
        <v>0</v>
      </c>
      <c r="AE24" s="788"/>
      <c r="AF24" s="641">
        <v>2021</v>
      </c>
      <c r="AG24" s="716" t="s">
        <v>313</v>
      </c>
      <c r="AH24" s="284"/>
    </row>
    <row r="25" spans="1:34" s="187" customFormat="1" ht="12.75" hidden="1" customHeight="1">
      <c r="A25" s="717"/>
      <c r="B25" s="705">
        <v>2021</v>
      </c>
      <c r="C25" s="794" t="s">
        <v>314</v>
      </c>
      <c r="D25" s="726">
        <v>353</v>
      </c>
      <c r="E25" s="722"/>
      <c r="F25" s="722">
        <v>0</v>
      </c>
      <c r="G25" s="722"/>
      <c r="H25" s="722">
        <v>0</v>
      </c>
      <c r="I25" s="722"/>
      <c r="J25" s="722">
        <v>0</v>
      </c>
      <c r="K25" s="722"/>
      <c r="L25" s="790">
        <v>353</v>
      </c>
      <c r="M25" s="790"/>
      <c r="N25" s="722">
        <v>0</v>
      </c>
      <c r="O25" s="722"/>
      <c r="P25" s="726">
        <v>353</v>
      </c>
      <c r="Q25" s="722"/>
      <c r="R25" s="758" t="s">
        <v>43</v>
      </c>
      <c r="S25" s="722"/>
      <c r="T25" s="758" t="s">
        <v>43</v>
      </c>
      <c r="U25" s="722">
        <v>0</v>
      </c>
      <c r="V25" s="722">
        <v>353</v>
      </c>
      <c r="W25" s="789"/>
      <c r="X25" s="722">
        <v>0</v>
      </c>
      <c r="Y25" s="722"/>
      <c r="Z25" s="783" t="s">
        <v>43</v>
      </c>
      <c r="AA25" s="782"/>
      <c r="AB25" s="722">
        <v>0</v>
      </c>
      <c r="AC25" s="788"/>
      <c r="AD25" s="722">
        <v>0</v>
      </c>
      <c r="AE25" s="788"/>
      <c r="AF25" s="641">
        <v>2021</v>
      </c>
      <c r="AG25" s="716" t="s">
        <v>327</v>
      </c>
      <c r="AH25" s="284"/>
    </row>
    <row r="26" spans="1:34" s="187" customFormat="1" ht="12.75" customHeight="1">
      <c r="A26" s="717"/>
      <c r="B26" s="705">
        <v>2022</v>
      </c>
      <c r="C26" s="794" t="s">
        <v>328</v>
      </c>
      <c r="D26" s="795">
        <v>0</v>
      </c>
      <c r="E26" s="722"/>
      <c r="F26" s="722">
        <v>0</v>
      </c>
      <c r="G26" s="722"/>
      <c r="H26" s="722">
        <v>0</v>
      </c>
      <c r="I26" s="722" t="s">
        <v>41</v>
      </c>
      <c r="J26" s="722">
        <v>0</v>
      </c>
      <c r="K26" s="722"/>
      <c r="L26" s="790">
        <v>0</v>
      </c>
      <c r="M26" s="722">
        <v>0</v>
      </c>
      <c r="N26" s="722">
        <v>0</v>
      </c>
      <c r="O26" s="788"/>
      <c r="P26" s="722">
        <v>955</v>
      </c>
      <c r="Q26" s="722"/>
      <c r="R26" s="758" t="s">
        <v>43</v>
      </c>
      <c r="S26" s="722"/>
      <c r="T26" s="758" t="s">
        <v>43</v>
      </c>
      <c r="U26" s="796">
        <v>0</v>
      </c>
      <c r="V26" s="722">
        <v>955</v>
      </c>
      <c r="W26" s="789"/>
      <c r="X26" s="722">
        <v>0</v>
      </c>
      <c r="Y26" s="722"/>
      <c r="Z26" s="783" t="s">
        <v>43</v>
      </c>
      <c r="AA26" s="782"/>
      <c r="AB26" s="722">
        <v>0</v>
      </c>
      <c r="AC26" s="788"/>
      <c r="AD26" s="722">
        <v>0</v>
      </c>
      <c r="AE26" s="788"/>
      <c r="AF26" s="641">
        <v>2022</v>
      </c>
      <c r="AG26" s="716" t="s">
        <v>228</v>
      </c>
      <c r="AH26" s="264"/>
    </row>
    <row r="27" spans="1:34" s="187" customFormat="1" ht="12.75" hidden="1" customHeight="1">
      <c r="A27" s="717"/>
      <c r="B27" s="705">
        <v>2022</v>
      </c>
      <c r="C27" s="794" t="s">
        <v>315</v>
      </c>
      <c r="D27" s="722">
        <v>374</v>
      </c>
      <c r="E27" s="722"/>
      <c r="F27" s="722">
        <v>0</v>
      </c>
      <c r="G27" s="722"/>
      <c r="H27" s="722">
        <v>0</v>
      </c>
      <c r="I27" s="722"/>
      <c r="J27" s="722">
        <v>0</v>
      </c>
      <c r="K27" s="722"/>
      <c r="L27" s="722">
        <v>374</v>
      </c>
      <c r="M27" s="722"/>
      <c r="N27" s="722">
        <v>0</v>
      </c>
      <c r="O27" s="788"/>
      <c r="P27" s="722">
        <v>1179</v>
      </c>
      <c r="Q27" s="722"/>
      <c r="R27" s="758" t="s">
        <v>43</v>
      </c>
      <c r="S27" s="722"/>
      <c r="T27" s="758" t="s">
        <v>43</v>
      </c>
      <c r="U27" s="796">
        <v>0</v>
      </c>
      <c r="V27" s="722">
        <v>1179</v>
      </c>
      <c r="W27" s="789"/>
      <c r="X27" s="722">
        <v>0</v>
      </c>
      <c r="Y27" s="722"/>
      <c r="Z27" s="783" t="s">
        <v>43</v>
      </c>
      <c r="AA27" s="782"/>
      <c r="AB27" s="722">
        <v>0</v>
      </c>
      <c r="AC27" s="788"/>
      <c r="AD27" s="722">
        <v>0</v>
      </c>
      <c r="AE27" s="788"/>
      <c r="AF27" s="641">
        <v>2022</v>
      </c>
      <c r="AG27" s="716" t="s">
        <v>75</v>
      </c>
      <c r="AH27" s="264"/>
    </row>
    <row r="28" spans="1:34" s="187" customFormat="1" ht="12.75" hidden="1" customHeight="1">
      <c r="A28" s="717"/>
      <c r="B28" s="705">
        <v>2022</v>
      </c>
      <c r="C28" s="715" t="s">
        <v>29</v>
      </c>
      <c r="D28" s="726">
        <v>16</v>
      </c>
      <c r="E28" s="722"/>
      <c r="F28" s="722">
        <v>0</v>
      </c>
      <c r="G28" s="722"/>
      <c r="H28" s="722">
        <v>0</v>
      </c>
      <c r="I28" s="722"/>
      <c r="J28" s="722">
        <v>0</v>
      </c>
      <c r="K28" s="722"/>
      <c r="L28" s="722">
        <v>16</v>
      </c>
      <c r="M28" s="722"/>
      <c r="N28" s="722">
        <v>0</v>
      </c>
      <c r="O28" s="722"/>
      <c r="P28" s="726">
        <v>865</v>
      </c>
      <c r="Q28" s="722"/>
      <c r="R28" s="758" t="s">
        <v>43</v>
      </c>
      <c r="S28" s="722"/>
      <c r="T28" s="758" t="s">
        <v>43</v>
      </c>
      <c r="U28" s="796">
        <v>0</v>
      </c>
      <c r="V28" s="722">
        <v>865</v>
      </c>
      <c r="W28" s="789"/>
      <c r="X28" s="722">
        <v>0</v>
      </c>
      <c r="Y28" s="722"/>
      <c r="Z28" s="783" t="s">
        <v>43</v>
      </c>
      <c r="AA28" s="782"/>
      <c r="AB28" s="722">
        <v>0</v>
      </c>
      <c r="AC28" s="788"/>
      <c r="AD28" s="722">
        <v>0</v>
      </c>
      <c r="AE28" s="788"/>
      <c r="AF28" s="641">
        <v>2022</v>
      </c>
      <c r="AG28" s="716" t="s">
        <v>65</v>
      </c>
      <c r="AH28" s="264"/>
    </row>
    <row r="29" spans="1:34" s="187" customFormat="1" ht="12.75" hidden="1" customHeight="1">
      <c r="A29" s="717"/>
      <c r="B29" s="705">
        <v>2022</v>
      </c>
      <c r="C29" s="715" t="s">
        <v>316</v>
      </c>
      <c r="D29" s="726">
        <v>65</v>
      </c>
      <c r="E29" s="722"/>
      <c r="F29" s="722">
        <v>0</v>
      </c>
      <c r="G29" s="722"/>
      <c r="H29" s="722">
        <v>0</v>
      </c>
      <c r="I29" s="722"/>
      <c r="J29" s="722">
        <v>0</v>
      </c>
      <c r="K29" s="722"/>
      <c r="L29" s="722">
        <v>65</v>
      </c>
      <c r="M29" s="722"/>
      <c r="N29" s="722">
        <v>0</v>
      </c>
      <c r="O29" s="722"/>
      <c r="P29" s="726">
        <v>1213</v>
      </c>
      <c r="Q29" s="722"/>
      <c r="R29" s="758" t="s">
        <v>43</v>
      </c>
      <c r="S29" s="722"/>
      <c r="T29" s="758" t="s">
        <v>43</v>
      </c>
      <c r="U29" s="796">
        <v>0</v>
      </c>
      <c r="V29" s="722">
        <v>1213</v>
      </c>
      <c r="W29" s="789"/>
      <c r="X29" s="722">
        <v>0</v>
      </c>
      <c r="Y29" s="722"/>
      <c r="Z29" s="783" t="s">
        <v>43</v>
      </c>
      <c r="AA29" s="782"/>
      <c r="AB29" s="722">
        <v>0</v>
      </c>
      <c r="AC29" s="788"/>
      <c r="AD29" s="722">
        <v>0</v>
      </c>
      <c r="AE29" s="788"/>
      <c r="AF29" s="641">
        <v>2022</v>
      </c>
      <c r="AG29" s="716" t="s">
        <v>318</v>
      </c>
      <c r="AH29" s="264"/>
    </row>
    <row r="30" spans="1:34" s="187" customFormat="1" ht="12.75" hidden="1" customHeight="1">
      <c r="A30" s="717"/>
      <c r="B30" s="705">
        <v>2022</v>
      </c>
      <c r="C30" s="715" t="s">
        <v>4</v>
      </c>
      <c r="D30" s="726">
        <v>1056</v>
      </c>
      <c r="E30" s="722"/>
      <c r="F30" s="722">
        <v>0</v>
      </c>
      <c r="G30" s="722"/>
      <c r="H30" s="722">
        <v>0</v>
      </c>
      <c r="I30" s="722"/>
      <c r="J30" s="722">
        <v>0</v>
      </c>
      <c r="K30" s="722"/>
      <c r="L30" s="722">
        <v>1056</v>
      </c>
      <c r="M30" s="722"/>
      <c r="N30" s="722">
        <v>0</v>
      </c>
      <c r="O30" s="722"/>
      <c r="P30" s="726">
        <v>1040</v>
      </c>
      <c r="Q30" s="722"/>
      <c r="R30" s="758" t="s">
        <v>43</v>
      </c>
      <c r="S30" s="722"/>
      <c r="T30" s="758" t="s">
        <v>43</v>
      </c>
      <c r="U30" s="796">
        <v>0</v>
      </c>
      <c r="V30" s="722">
        <v>1040</v>
      </c>
      <c r="W30" s="789"/>
      <c r="X30" s="722">
        <v>0</v>
      </c>
      <c r="Y30" s="722"/>
      <c r="Z30" s="783" t="s">
        <v>43</v>
      </c>
      <c r="AA30" s="782"/>
      <c r="AB30" s="722">
        <v>0</v>
      </c>
      <c r="AC30" s="788"/>
      <c r="AD30" s="722">
        <v>0</v>
      </c>
      <c r="AE30" s="788"/>
      <c r="AF30" s="641">
        <v>2022</v>
      </c>
      <c r="AG30" s="716" t="s">
        <v>77</v>
      </c>
      <c r="AH30" s="264"/>
    </row>
    <row r="31" spans="1:34" s="187" customFormat="1" ht="12.75" hidden="1" customHeight="1">
      <c r="A31" s="717"/>
      <c r="B31" s="705">
        <v>2022</v>
      </c>
      <c r="C31" s="715" t="s">
        <v>30</v>
      </c>
      <c r="D31" s="726">
        <v>950</v>
      </c>
      <c r="E31" s="722"/>
      <c r="F31" s="722">
        <v>0</v>
      </c>
      <c r="G31" s="722"/>
      <c r="H31" s="797">
        <v>0</v>
      </c>
      <c r="I31" s="722"/>
      <c r="J31" s="722">
        <v>0</v>
      </c>
      <c r="K31" s="722"/>
      <c r="L31" s="722">
        <v>950</v>
      </c>
      <c r="M31" s="722"/>
      <c r="N31" s="722">
        <v>0</v>
      </c>
      <c r="O31" s="722"/>
      <c r="P31" s="726">
        <v>827</v>
      </c>
      <c r="Q31" s="722"/>
      <c r="R31" s="758" t="s">
        <v>43</v>
      </c>
      <c r="S31" s="722"/>
      <c r="T31" s="758" t="s">
        <v>43</v>
      </c>
      <c r="U31" s="796">
        <v>0</v>
      </c>
      <c r="V31" s="722">
        <v>827</v>
      </c>
      <c r="W31" s="789"/>
      <c r="X31" s="722">
        <v>0</v>
      </c>
      <c r="Y31" s="722"/>
      <c r="Z31" s="783" t="s">
        <v>43</v>
      </c>
      <c r="AA31" s="782"/>
      <c r="AB31" s="722">
        <v>0</v>
      </c>
      <c r="AC31" s="788"/>
      <c r="AD31" s="722">
        <v>0</v>
      </c>
      <c r="AE31" s="788"/>
      <c r="AF31" s="641">
        <v>2022</v>
      </c>
      <c r="AG31" s="716" t="s">
        <v>78</v>
      </c>
      <c r="AH31" s="264"/>
    </row>
    <row r="32" spans="1:34" s="187" customFormat="1" ht="12.75" hidden="1" customHeight="1">
      <c r="A32" s="717"/>
      <c r="B32" s="705">
        <v>2022</v>
      </c>
      <c r="C32" s="794" t="s">
        <v>36</v>
      </c>
      <c r="D32" s="722">
        <v>3342</v>
      </c>
      <c r="E32" s="722"/>
      <c r="F32" s="722">
        <v>3538</v>
      </c>
      <c r="G32" s="722"/>
      <c r="H32" s="797" t="s">
        <v>43</v>
      </c>
      <c r="I32" s="722"/>
      <c r="J32" s="797" t="s">
        <v>43</v>
      </c>
      <c r="K32" s="722"/>
      <c r="L32" s="722">
        <v>3342</v>
      </c>
      <c r="M32" s="722"/>
      <c r="N32" s="722">
        <v>3538</v>
      </c>
      <c r="O32" s="788"/>
      <c r="P32" s="722">
        <v>1150</v>
      </c>
      <c r="Q32" s="722"/>
      <c r="R32" s="722">
        <v>3623</v>
      </c>
      <c r="S32" s="722"/>
      <c r="T32" s="758" t="s">
        <v>43</v>
      </c>
      <c r="U32" s="796">
        <v>12</v>
      </c>
      <c r="V32" s="722">
        <v>1150</v>
      </c>
      <c r="W32" s="789"/>
      <c r="X32" s="797">
        <v>3623</v>
      </c>
      <c r="Y32" s="722"/>
      <c r="Z32" s="884">
        <v>2</v>
      </c>
      <c r="AA32" s="888"/>
      <c r="AB32" s="797" t="s">
        <v>43</v>
      </c>
      <c r="AC32" s="829"/>
      <c r="AD32" s="722">
        <v>3540</v>
      </c>
      <c r="AE32" s="788"/>
      <c r="AF32" s="641">
        <v>2022</v>
      </c>
      <c r="AG32" s="716" t="s">
        <v>79</v>
      </c>
      <c r="AH32" s="264"/>
    </row>
    <row r="33" spans="1:34" s="187" customFormat="1" ht="12.75" hidden="1" customHeight="1">
      <c r="A33" s="717"/>
      <c r="B33" s="705">
        <v>2022</v>
      </c>
      <c r="C33" s="794" t="s">
        <v>237</v>
      </c>
      <c r="D33" s="722">
        <v>2390</v>
      </c>
      <c r="E33" s="722"/>
      <c r="F33" s="722">
        <v>4575</v>
      </c>
      <c r="G33" s="722"/>
      <c r="H33" s="797">
        <v>0</v>
      </c>
      <c r="I33" s="722"/>
      <c r="J33" s="722">
        <v>0</v>
      </c>
      <c r="K33" s="722"/>
      <c r="L33" s="722">
        <v>2390</v>
      </c>
      <c r="M33" s="722"/>
      <c r="N33" s="722">
        <v>4575</v>
      </c>
      <c r="O33" s="788"/>
      <c r="P33" s="722">
        <v>1343</v>
      </c>
      <c r="Q33" s="722"/>
      <c r="R33" s="722">
        <v>4579</v>
      </c>
      <c r="S33" s="722"/>
      <c r="T33" s="758" t="s">
        <v>43</v>
      </c>
      <c r="U33" s="796">
        <v>0</v>
      </c>
      <c r="V33" s="722">
        <v>1343</v>
      </c>
      <c r="W33" s="789"/>
      <c r="X33" s="722">
        <v>4579</v>
      </c>
      <c r="Y33" s="722"/>
      <c r="Z33" s="883">
        <v>156</v>
      </c>
      <c r="AA33" s="793"/>
      <c r="AB33" s="889" t="s">
        <v>43</v>
      </c>
      <c r="AC33" s="829"/>
      <c r="AD33" s="722">
        <v>4731</v>
      </c>
      <c r="AE33" s="788"/>
      <c r="AF33" s="641">
        <v>2022</v>
      </c>
      <c r="AG33" s="716" t="s">
        <v>321</v>
      </c>
      <c r="AH33" s="264"/>
    </row>
    <row r="34" spans="1:34" s="187" customFormat="1" ht="12.75" hidden="1" customHeight="1">
      <c r="A34" s="717"/>
      <c r="B34" s="705">
        <v>2022</v>
      </c>
      <c r="C34" s="794" t="s">
        <v>31</v>
      </c>
      <c r="D34" s="722">
        <v>2546</v>
      </c>
      <c r="E34" s="722"/>
      <c r="F34" s="722">
        <v>5636</v>
      </c>
      <c r="G34" s="722"/>
      <c r="H34" s="797">
        <v>0</v>
      </c>
      <c r="I34" s="722"/>
      <c r="J34" s="722">
        <v>0</v>
      </c>
      <c r="K34" s="722"/>
      <c r="L34" s="722">
        <v>2546</v>
      </c>
      <c r="M34" s="722"/>
      <c r="N34" s="722">
        <v>5636</v>
      </c>
      <c r="O34" s="788"/>
      <c r="P34" s="722">
        <v>1031</v>
      </c>
      <c r="Q34" s="722"/>
      <c r="R34" s="722">
        <v>3028</v>
      </c>
      <c r="S34" s="722"/>
      <c r="T34" s="758" t="s">
        <v>43</v>
      </c>
      <c r="U34" s="796">
        <v>0</v>
      </c>
      <c r="V34" s="722">
        <v>1031</v>
      </c>
      <c r="W34" s="789"/>
      <c r="X34" s="722">
        <v>3028</v>
      </c>
      <c r="Y34" s="722"/>
      <c r="Z34" s="783" t="s">
        <v>43</v>
      </c>
      <c r="AA34" s="758"/>
      <c r="AB34" s="889" t="s">
        <v>43</v>
      </c>
      <c r="AC34" s="829"/>
      <c r="AD34" s="722">
        <v>5636</v>
      </c>
      <c r="AE34" s="788"/>
      <c r="AF34" s="641">
        <v>2022</v>
      </c>
      <c r="AG34" s="716" t="s">
        <v>31</v>
      </c>
      <c r="AH34" s="264"/>
    </row>
    <row r="35" spans="1:34" ht="12.75" hidden="1" customHeight="1">
      <c r="A35" s="695"/>
      <c r="B35" s="705">
        <v>2022</v>
      </c>
      <c r="C35" s="794" t="s">
        <v>50</v>
      </c>
      <c r="D35" s="799">
        <v>1955</v>
      </c>
      <c r="E35" s="799" t="s">
        <v>41</v>
      </c>
      <c r="F35" s="799">
        <v>4104</v>
      </c>
      <c r="G35" s="799" t="s">
        <v>41</v>
      </c>
      <c r="H35" s="800">
        <v>0</v>
      </c>
      <c r="I35" s="799" t="s">
        <v>41</v>
      </c>
      <c r="J35" s="799">
        <v>0</v>
      </c>
      <c r="K35" s="902"/>
      <c r="L35" s="799">
        <v>1955</v>
      </c>
      <c r="M35" s="799" t="s">
        <v>41</v>
      </c>
      <c r="N35" s="799">
        <v>4104</v>
      </c>
      <c r="O35" s="791"/>
      <c r="P35" s="799">
        <v>1498</v>
      </c>
      <c r="Q35" s="799"/>
      <c r="R35" s="799">
        <v>5098</v>
      </c>
      <c r="S35" s="799"/>
      <c r="T35" s="758" t="s">
        <v>43</v>
      </c>
      <c r="U35" s="801">
        <v>0</v>
      </c>
      <c r="V35" s="799">
        <v>1498</v>
      </c>
      <c r="W35" s="799"/>
      <c r="X35" s="799">
        <v>5098</v>
      </c>
      <c r="Y35" s="326"/>
      <c r="Z35" s="783" t="s">
        <v>43</v>
      </c>
      <c r="AA35" s="758"/>
      <c r="AB35" s="889" t="s">
        <v>43</v>
      </c>
      <c r="AC35" s="829"/>
      <c r="AD35" s="793">
        <v>4104</v>
      </c>
      <c r="AE35" s="798"/>
      <c r="AF35" s="641">
        <v>2022</v>
      </c>
      <c r="AG35" s="716" t="s">
        <v>50</v>
      </c>
    </row>
    <row r="36" spans="1:34" ht="12.75" hidden="1" customHeight="1">
      <c r="A36" s="695"/>
      <c r="B36" s="705">
        <v>2022</v>
      </c>
      <c r="C36" s="794" t="s">
        <v>313</v>
      </c>
      <c r="D36" s="799">
        <v>2444</v>
      </c>
      <c r="E36" s="799" t="s">
        <v>41</v>
      </c>
      <c r="F36" s="799">
        <v>4999</v>
      </c>
      <c r="G36" s="799" t="s">
        <v>41</v>
      </c>
      <c r="H36" s="802" t="s">
        <v>43</v>
      </c>
      <c r="I36" s="803" t="s">
        <v>41</v>
      </c>
      <c r="J36" s="802" t="s">
        <v>43</v>
      </c>
      <c r="K36" s="902"/>
      <c r="L36" s="799">
        <v>2444</v>
      </c>
      <c r="M36" s="799" t="s">
        <v>41</v>
      </c>
      <c r="N36" s="799">
        <v>4999</v>
      </c>
      <c r="O36" s="791"/>
      <c r="P36" s="799">
        <v>4283</v>
      </c>
      <c r="Q36" s="799"/>
      <c r="R36" s="799">
        <v>5233</v>
      </c>
      <c r="S36" s="799"/>
      <c r="T36" s="758" t="s">
        <v>43</v>
      </c>
      <c r="U36" s="804" t="s">
        <v>43</v>
      </c>
      <c r="V36" s="799">
        <v>4283</v>
      </c>
      <c r="W36" s="799"/>
      <c r="X36" s="799">
        <v>5233</v>
      </c>
      <c r="Y36" s="326"/>
      <c r="Z36" s="783" t="s">
        <v>43</v>
      </c>
      <c r="AA36" s="758"/>
      <c r="AB36" s="890">
        <v>7782</v>
      </c>
      <c r="AC36" s="792"/>
      <c r="AD36" s="793">
        <v>12781</v>
      </c>
      <c r="AE36" s="798"/>
      <c r="AF36" s="641">
        <v>2022</v>
      </c>
      <c r="AG36" s="716" t="s">
        <v>313</v>
      </c>
      <c r="AH36" s="129"/>
    </row>
    <row r="37" spans="1:34" ht="12.75" hidden="1" customHeight="1">
      <c r="A37" s="695"/>
      <c r="B37" s="705">
        <v>2022</v>
      </c>
      <c r="C37" s="794" t="s">
        <v>314</v>
      </c>
      <c r="D37" s="799">
        <v>3409</v>
      </c>
      <c r="E37" s="805"/>
      <c r="F37" s="799">
        <v>7522</v>
      </c>
      <c r="G37" s="799"/>
      <c r="H37" s="800">
        <v>0</v>
      </c>
      <c r="I37" s="799" t="s">
        <v>41</v>
      </c>
      <c r="J37" s="799">
        <v>0</v>
      </c>
      <c r="K37" s="902"/>
      <c r="L37" s="799">
        <v>3409</v>
      </c>
      <c r="M37" s="799" t="s">
        <v>41</v>
      </c>
      <c r="N37" s="799">
        <v>7522</v>
      </c>
      <c r="O37" s="791"/>
      <c r="P37" s="799">
        <v>2788</v>
      </c>
      <c r="Q37" s="799"/>
      <c r="R37" s="799">
        <v>6076</v>
      </c>
      <c r="S37" s="799"/>
      <c r="T37" s="758" t="s">
        <v>43</v>
      </c>
      <c r="U37" s="801">
        <v>0</v>
      </c>
      <c r="V37" s="799">
        <v>2788</v>
      </c>
      <c r="W37" s="799"/>
      <c r="X37" s="799">
        <v>6076</v>
      </c>
      <c r="Y37" s="326"/>
      <c r="Z37" s="783" t="s">
        <v>43</v>
      </c>
      <c r="AA37" s="758"/>
      <c r="AB37" s="883">
        <v>26772</v>
      </c>
      <c r="AC37" s="798"/>
      <c r="AD37" s="793">
        <v>34294</v>
      </c>
      <c r="AE37" s="798"/>
      <c r="AF37" s="641">
        <v>2022</v>
      </c>
      <c r="AG37" s="716" t="s">
        <v>327</v>
      </c>
      <c r="AH37" s="129"/>
    </row>
    <row r="38" spans="1:34" ht="12.75" customHeight="1">
      <c r="A38" s="695"/>
      <c r="B38" s="313">
        <v>2023</v>
      </c>
      <c r="C38" s="794" t="s">
        <v>33</v>
      </c>
      <c r="D38" s="326">
        <v>1703</v>
      </c>
      <c r="E38" s="806"/>
      <c r="F38" s="325">
        <v>6598</v>
      </c>
      <c r="G38" s="325"/>
      <c r="H38" s="807" t="s">
        <v>43</v>
      </c>
      <c r="I38" s="325"/>
      <c r="J38" s="808" t="s">
        <v>43</v>
      </c>
      <c r="K38" s="325"/>
      <c r="L38" s="326">
        <v>1703</v>
      </c>
      <c r="M38" s="326"/>
      <c r="N38" s="326">
        <v>6598</v>
      </c>
      <c r="O38" s="809"/>
      <c r="P38" s="326">
        <v>2047</v>
      </c>
      <c r="Q38" s="326"/>
      <c r="R38" s="326">
        <v>9307</v>
      </c>
      <c r="S38" s="326"/>
      <c r="T38" s="758" t="s">
        <v>43</v>
      </c>
      <c r="U38" s="810">
        <v>0</v>
      </c>
      <c r="V38" s="326">
        <v>2047</v>
      </c>
      <c r="W38" s="326"/>
      <c r="X38" s="326">
        <v>9307</v>
      </c>
      <c r="Y38" s="342"/>
      <c r="Z38" s="885">
        <v>6</v>
      </c>
      <c r="AA38" s="799"/>
      <c r="AB38" s="811">
        <v>25851</v>
      </c>
      <c r="AC38" s="716"/>
      <c r="AD38" s="326">
        <v>32455</v>
      </c>
      <c r="AE38" s="716"/>
      <c r="AF38" s="641">
        <v>2023</v>
      </c>
      <c r="AG38" s="716" t="s">
        <v>33</v>
      </c>
      <c r="AH38" s="129"/>
    </row>
    <row r="39" spans="1:34" ht="12.75" hidden="1" customHeight="1">
      <c r="A39" s="695"/>
      <c r="B39" s="313">
        <v>2023</v>
      </c>
      <c r="C39" s="794" t="s">
        <v>34</v>
      </c>
      <c r="D39" s="326">
        <v>1635</v>
      </c>
      <c r="E39" s="326" t="s">
        <v>41</v>
      </c>
      <c r="F39" s="325">
        <v>3239</v>
      </c>
      <c r="G39" s="325" t="s">
        <v>41</v>
      </c>
      <c r="H39" s="807" t="s">
        <v>43</v>
      </c>
      <c r="I39" s="325"/>
      <c r="J39" s="808" t="s">
        <v>43</v>
      </c>
      <c r="K39" s="325"/>
      <c r="L39" s="326">
        <v>1635</v>
      </c>
      <c r="M39" s="326" t="s">
        <v>41</v>
      </c>
      <c r="N39" s="326">
        <v>3239</v>
      </c>
      <c r="O39" s="716" t="s">
        <v>41</v>
      </c>
      <c r="P39" s="326">
        <v>3121</v>
      </c>
      <c r="Q39" s="326"/>
      <c r="R39" s="326">
        <v>4357</v>
      </c>
      <c r="S39" s="326"/>
      <c r="T39" s="758" t="s">
        <v>43</v>
      </c>
      <c r="U39" s="810">
        <v>0</v>
      </c>
      <c r="V39" s="326">
        <v>3121</v>
      </c>
      <c r="W39" s="326"/>
      <c r="X39" s="326">
        <v>4357</v>
      </c>
      <c r="Y39" s="342"/>
      <c r="Z39" s="885">
        <v>39</v>
      </c>
      <c r="AA39" s="799"/>
      <c r="AB39" s="811">
        <v>16827</v>
      </c>
      <c r="AC39" s="716"/>
      <c r="AD39" s="326">
        <v>20105</v>
      </c>
      <c r="AE39" s="716"/>
      <c r="AF39" s="641">
        <v>2023</v>
      </c>
      <c r="AG39" s="716" t="s">
        <v>75</v>
      </c>
      <c r="AH39" s="129"/>
    </row>
    <row r="40" spans="1:34" ht="12.75" hidden="1" customHeight="1">
      <c r="A40" s="695"/>
      <c r="B40" s="313">
        <v>2023</v>
      </c>
      <c r="C40" s="715" t="s">
        <v>29</v>
      </c>
      <c r="D40" s="811">
        <v>239</v>
      </c>
      <c r="E40" s="806"/>
      <c r="F40" s="325">
        <v>551</v>
      </c>
      <c r="G40" s="325"/>
      <c r="H40" s="807" t="s">
        <v>43</v>
      </c>
      <c r="I40" s="325"/>
      <c r="J40" s="808" t="s">
        <v>43</v>
      </c>
      <c r="K40" s="325"/>
      <c r="L40" s="326">
        <v>239</v>
      </c>
      <c r="M40" s="326"/>
      <c r="N40" s="326">
        <v>551</v>
      </c>
      <c r="O40" s="342"/>
      <c r="P40" s="811">
        <v>1219</v>
      </c>
      <c r="Q40" s="326"/>
      <c r="R40" s="326">
        <v>1505</v>
      </c>
      <c r="S40" s="326"/>
      <c r="T40" s="758" t="s">
        <v>43</v>
      </c>
      <c r="U40" s="812">
        <v>0</v>
      </c>
      <c r="V40" s="326">
        <v>1219</v>
      </c>
      <c r="W40" s="326"/>
      <c r="X40" s="326">
        <v>1505</v>
      </c>
      <c r="Y40" s="342"/>
      <c r="Z40" s="777" t="s">
        <v>43</v>
      </c>
      <c r="AA40" s="778"/>
      <c r="AB40" s="891">
        <v>20541</v>
      </c>
      <c r="AC40" s="817"/>
      <c r="AD40" s="326">
        <v>21092</v>
      </c>
      <c r="AE40" s="716"/>
      <c r="AF40" s="641">
        <v>2023</v>
      </c>
      <c r="AG40" s="716" t="s">
        <v>29</v>
      </c>
      <c r="AH40" s="129"/>
    </row>
    <row r="41" spans="1:34" s="87" customFormat="1" ht="12.75" hidden="1" customHeight="1">
      <c r="A41" s="326"/>
      <c r="B41" s="313">
        <v>2023</v>
      </c>
      <c r="C41" s="794" t="s">
        <v>35</v>
      </c>
      <c r="D41" s="811">
        <v>2619</v>
      </c>
      <c r="E41" s="806"/>
      <c r="F41" s="325">
        <v>6898</v>
      </c>
      <c r="G41" s="813"/>
      <c r="H41" s="814" t="s">
        <v>43</v>
      </c>
      <c r="I41" s="325"/>
      <c r="J41" s="808" t="s">
        <v>43</v>
      </c>
      <c r="K41" s="325"/>
      <c r="L41" s="326">
        <v>2619</v>
      </c>
      <c r="M41" s="326"/>
      <c r="N41" s="326">
        <v>6898</v>
      </c>
      <c r="O41" s="326"/>
      <c r="P41" s="811">
        <v>2338</v>
      </c>
      <c r="Q41" s="326"/>
      <c r="R41" s="326">
        <v>7045</v>
      </c>
      <c r="S41" s="326"/>
      <c r="T41" s="758" t="s">
        <v>43</v>
      </c>
      <c r="U41" s="815" t="s">
        <v>43</v>
      </c>
      <c r="V41" s="326">
        <v>2338</v>
      </c>
      <c r="W41" s="326"/>
      <c r="X41" s="326">
        <v>7045</v>
      </c>
      <c r="Y41" s="326"/>
      <c r="Z41" s="885">
        <v>43</v>
      </c>
      <c r="AA41" s="799"/>
      <c r="AB41" s="891">
        <v>20610</v>
      </c>
      <c r="AC41" s="817"/>
      <c r="AD41" s="326">
        <v>27551</v>
      </c>
      <c r="AE41" s="716"/>
      <c r="AF41" s="641">
        <v>2023</v>
      </c>
      <c r="AG41" s="716" t="s">
        <v>76</v>
      </c>
      <c r="AH41" s="152"/>
    </row>
    <row r="42" spans="1:34" s="87" customFormat="1" ht="12.75" hidden="1" customHeight="1">
      <c r="A42" s="326"/>
      <c r="B42" s="313">
        <v>2023</v>
      </c>
      <c r="C42" s="794" t="s">
        <v>4</v>
      </c>
      <c r="D42" s="326">
        <v>4168</v>
      </c>
      <c r="E42" s="806"/>
      <c r="F42" s="325">
        <v>5992</v>
      </c>
      <c r="G42" s="813"/>
      <c r="H42" s="816" t="s">
        <v>43</v>
      </c>
      <c r="I42" s="325"/>
      <c r="J42" s="808" t="s">
        <v>43</v>
      </c>
      <c r="K42" s="325"/>
      <c r="L42" s="326">
        <v>4168</v>
      </c>
      <c r="M42" s="326"/>
      <c r="N42" s="326">
        <v>5992</v>
      </c>
      <c r="O42" s="716"/>
      <c r="P42" s="326">
        <v>2502</v>
      </c>
      <c r="Q42" s="326"/>
      <c r="R42" s="326">
        <v>7395</v>
      </c>
      <c r="S42" s="326"/>
      <c r="T42" s="758" t="s">
        <v>43</v>
      </c>
      <c r="U42" s="815">
        <v>0</v>
      </c>
      <c r="V42" s="326">
        <v>2502</v>
      </c>
      <c r="W42" s="326"/>
      <c r="X42" s="326">
        <v>7395</v>
      </c>
      <c r="Y42" s="326"/>
      <c r="Z42" s="811">
        <v>72</v>
      </c>
      <c r="AA42" s="326"/>
      <c r="AB42" s="891">
        <v>14666</v>
      </c>
      <c r="AC42" s="817"/>
      <c r="AD42" s="326">
        <v>20730</v>
      </c>
      <c r="AE42" s="716"/>
      <c r="AF42" s="641">
        <v>2023</v>
      </c>
      <c r="AG42" s="716" t="s">
        <v>77</v>
      </c>
      <c r="AH42" s="152"/>
    </row>
    <row r="43" spans="1:34" s="87" customFormat="1" ht="12.75" hidden="1" customHeight="1">
      <c r="A43" s="326"/>
      <c r="B43" s="313">
        <v>2023</v>
      </c>
      <c r="C43" s="794" t="s">
        <v>30</v>
      </c>
      <c r="D43" s="326">
        <v>3247</v>
      </c>
      <c r="E43" s="806"/>
      <c r="F43" s="325">
        <v>8429</v>
      </c>
      <c r="G43" s="813"/>
      <c r="H43" s="808">
        <v>91</v>
      </c>
      <c r="I43" s="325"/>
      <c r="J43" s="808">
        <v>223</v>
      </c>
      <c r="K43" s="325"/>
      <c r="L43" s="326">
        <v>3338</v>
      </c>
      <c r="M43" s="326"/>
      <c r="N43" s="326">
        <v>8652</v>
      </c>
      <c r="O43" s="716"/>
      <c r="P43" s="326">
        <v>2164</v>
      </c>
      <c r="Q43" s="326"/>
      <c r="R43" s="326">
        <v>7883</v>
      </c>
      <c r="S43" s="326"/>
      <c r="T43" s="326">
        <v>23</v>
      </c>
      <c r="U43" s="815">
        <v>153</v>
      </c>
      <c r="V43" s="326">
        <v>2187</v>
      </c>
      <c r="W43" s="326"/>
      <c r="X43" s="326">
        <v>8036</v>
      </c>
      <c r="Y43" s="326"/>
      <c r="Z43" s="811">
        <v>121</v>
      </c>
      <c r="AA43" s="326"/>
      <c r="AB43" s="891">
        <v>18408</v>
      </c>
      <c r="AC43" s="817"/>
      <c r="AD43" s="326">
        <v>27181</v>
      </c>
      <c r="AE43" s="716"/>
      <c r="AF43" s="641">
        <v>2023</v>
      </c>
      <c r="AG43" s="716" t="s">
        <v>78</v>
      </c>
      <c r="AH43" s="152"/>
    </row>
    <row r="44" spans="1:34" s="87" customFormat="1" ht="12.75" hidden="1" customHeight="1">
      <c r="A44" s="326"/>
      <c r="B44" s="313">
        <v>2023</v>
      </c>
      <c r="C44" s="794" t="s">
        <v>36</v>
      </c>
      <c r="D44" s="326">
        <v>2596</v>
      </c>
      <c r="E44" s="806"/>
      <c r="F44" s="325">
        <v>9443</v>
      </c>
      <c r="G44" s="813"/>
      <c r="H44" s="808">
        <v>39</v>
      </c>
      <c r="I44" s="325"/>
      <c r="J44" s="808">
        <v>255</v>
      </c>
      <c r="K44" s="325"/>
      <c r="L44" s="326">
        <v>2635</v>
      </c>
      <c r="M44" s="326"/>
      <c r="N44" s="326">
        <v>9698</v>
      </c>
      <c r="O44" s="716"/>
      <c r="P44" s="326">
        <v>2340</v>
      </c>
      <c r="Q44" s="326"/>
      <c r="R44" s="326">
        <v>11106</v>
      </c>
      <c r="S44" s="326"/>
      <c r="T44" s="326">
        <v>13</v>
      </c>
      <c r="U44" s="815">
        <v>292</v>
      </c>
      <c r="V44" s="326">
        <v>2353</v>
      </c>
      <c r="W44" s="326"/>
      <c r="X44" s="326">
        <v>11398</v>
      </c>
      <c r="Y44" s="326"/>
      <c r="Z44" s="811">
        <v>118</v>
      </c>
      <c r="AA44" s="326"/>
      <c r="AB44" s="891">
        <v>19906</v>
      </c>
      <c r="AC44" s="817"/>
      <c r="AD44" s="326">
        <v>29722</v>
      </c>
      <c r="AE44" s="716"/>
      <c r="AF44" s="641">
        <v>2023</v>
      </c>
      <c r="AG44" s="716" t="s">
        <v>79</v>
      </c>
      <c r="AH44" s="152"/>
    </row>
    <row r="45" spans="1:34" s="87" customFormat="1" ht="12.75" hidden="1" customHeight="1">
      <c r="A45" s="326"/>
      <c r="B45" s="313">
        <v>2023</v>
      </c>
      <c r="C45" s="794" t="s">
        <v>37</v>
      </c>
      <c r="D45" s="326">
        <v>2570</v>
      </c>
      <c r="E45" s="806"/>
      <c r="F45" s="325">
        <v>8158</v>
      </c>
      <c r="G45" s="813"/>
      <c r="H45" s="808">
        <v>28</v>
      </c>
      <c r="I45" s="325"/>
      <c r="J45" s="808">
        <v>108</v>
      </c>
      <c r="K45" s="325"/>
      <c r="L45" s="326">
        <v>2598</v>
      </c>
      <c r="M45" s="326"/>
      <c r="N45" s="326">
        <v>8266</v>
      </c>
      <c r="O45" s="716"/>
      <c r="P45" s="326">
        <v>2119</v>
      </c>
      <c r="Q45" s="326"/>
      <c r="R45" s="326">
        <v>9469</v>
      </c>
      <c r="S45" s="326"/>
      <c r="T45" s="326">
        <v>18</v>
      </c>
      <c r="U45" s="815">
        <v>137</v>
      </c>
      <c r="V45" s="326">
        <v>2137</v>
      </c>
      <c r="W45" s="326"/>
      <c r="X45" s="326">
        <v>9606</v>
      </c>
      <c r="Y45" s="326"/>
      <c r="Z45" s="811">
        <v>191</v>
      </c>
      <c r="AA45" s="793"/>
      <c r="AB45" s="891">
        <v>21849</v>
      </c>
      <c r="AC45" s="817"/>
      <c r="AD45" s="326">
        <v>30306</v>
      </c>
      <c r="AE45" s="716"/>
      <c r="AF45" s="641">
        <v>2023</v>
      </c>
      <c r="AG45" s="716" t="s">
        <v>80</v>
      </c>
      <c r="AH45" s="152"/>
    </row>
    <row r="46" spans="1:34" s="87" customFormat="1" ht="12.75" hidden="1" customHeight="1">
      <c r="A46" s="326"/>
      <c r="B46" s="313">
        <v>2023</v>
      </c>
      <c r="C46" s="794" t="s">
        <v>31</v>
      </c>
      <c r="D46" s="326">
        <v>3870</v>
      </c>
      <c r="E46" s="326"/>
      <c r="F46" s="325">
        <v>7398</v>
      </c>
      <c r="G46" s="813"/>
      <c r="H46" s="808">
        <v>39</v>
      </c>
      <c r="I46" s="325"/>
      <c r="J46" s="808">
        <v>296</v>
      </c>
      <c r="K46" s="325"/>
      <c r="L46" s="326">
        <v>3909</v>
      </c>
      <c r="M46" s="326"/>
      <c r="N46" s="326">
        <v>7694</v>
      </c>
      <c r="O46" s="716"/>
      <c r="P46" s="326">
        <v>2196</v>
      </c>
      <c r="Q46" s="326"/>
      <c r="R46" s="326">
        <v>8649</v>
      </c>
      <c r="S46" s="326"/>
      <c r="T46" s="326">
        <v>26</v>
      </c>
      <c r="U46" s="815">
        <v>164</v>
      </c>
      <c r="V46" s="326">
        <v>2222</v>
      </c>
      <c r="W46" s="326"/>
      <c r="X46" s="326">
        <v>8813</v>
      </c>
      <c r="Y46" s="326"/>
      <c r="Z46" s="811">
        <v>121</v>
      </c>
      <c r="AA46" s="716"/>
      <c r="AB46" s="784">
        <v>24521</v>
      </c>
      <c r="AC46" s="817"/>
      <c r="AD46" s="326">
        <v>32336</v>
      </c>
      <c r="AE46" s="716"/>
      <c r="AF46" s="641">
        <v>2023</v>
      </c>
      <c r="AG46" s="716" t="s">
        <v>31</v>
      </c>
      <c r="AH46" s="152"/>
    </row>
    <row r="47" spans="1:34" s="87" customFormat="1" ht="12.75" hidden="1" customHeight="1">
      <c r="A47" s="326"/>
      <c r="B47" s="313">
        <v>2023</v>
      </c>
      <c r="C47" s="794" t="s">
        <v>38</v>
      </c>
      <c r="D47" s="326">
        <v>3115</v>
      </c>
      <c r="E47" s="326"/>
      <c r="F47" s="325">
        <v>6977</v>
      </c>
      <c r="G47" s="813"/>
      <c r="H47" s="808">
        <v>44</v>
      </c>
      <c r="I47" s="325"/>
      <c r="J47" s="808">
        <v>222</v>
      </c>
      <c r="K47" s="325"/>
      <c r="L47" s="326">
        <v>3159</v>
      </c>
      <c r="M47" s="326"/>
      <c r="N47" s="326">
        <v>7199</v>
      </c>
      <c r="O47" s="716"/>
      <c r="P47" s="326">
        <v>3411</v>
      </c>
      <c r="Q47" s="326"/>
      <c r="R47" s="326">
        <v>8220</v>
      </c>
      <c r="S47" s="326"/>
      <c r="T47" s="326">
        <v>2</v>
      </c>
      <c r="U47" s="815">
        <v>116</v>
      </c>
      <c r="V47" s="326">
        <v>3413</v>
      </c>
      <c r="W47" s="326"/>
      <c r="X47" s="326">
        <v>8336</v>
      </c>
      <c r="Y47" s="326"/>
      <c r="Z47" s="811">
        <v>161</v>
      </c>
      <c r="AA47" s="716"/>
      <c r="AB47" s="784">
        <v>16119</v>
      </c>
      <c r="AC47" s="817"/>
      <c r="AD47" s="326">
        <v>23479</v>
      </c>
      <c r="AE47" s="716"/>
      <c r="AF47" s="641">
        <v>2023</v>
      </c>
      <c r="AG47" s="716" t="s">
        <v>38</v>
      </c>
      <c r="AH47" s="152"/>
    </row>
    <row r="48" spans="1:34" s="87" customFormat="1" ht="12.75" hidden="1" customHeight="1">
      <c r="A48" s="326"/>
      <c r="B48" s="705">
        <v>2023</v>
      </c>
      <c r="C48" s="794" t="s">
        <v>39</v>
      </c>
      <c r="D48" s="326">
        <v>3167</v>
      </c>
      <c r="E48" s="326"/>
      <c r="F48" s="325">
        <v>5172</v>
      </c>
      <c r="G48" s="813"/>
      <c r="H48" s="808">
        <v>41</v>
      </c>
      <c r="I48" s="325"/>
      <c r="J48" s="808">
        <v>272</v>
      </c>
      <c r="K48" s="325"/>
      <c r="L48" s="326">
        <v>3208</v>
      </c>
      <c r="M48" s="326"/>
      <c r="N48" s="326">
        <v>5444</v>
      </c>
      <c r="O48" s="716"/>
      <c r="P48" s="326">
        <v>4228</v>
      </c>
      <c r="Q48" s="326"/>
      <c r="R48" s="326">
        <v>6398</v>
      </c>
      <c r="S48" s="326"/>
      <c r="T48" s="326">
        <v>9</v>
      </c>
      <c r="U48" s="815">
        <v>45</v>
      </c>
      <c r="V48" s="326">
        <v>4237</v>
      </c>
      <c r="W48" s="326"/>
      <c r="X48" s="326">
        <v>6443</v>
      </c>
      <c r="Y48" s="326"/>
      <c r="Z48" s="811">
        <v>78</v>
      </c>
      <c r="AA48" s="716"/>
      <c r="AB48" s="784">
        <v>19038</v>
      </c>
      <c r="AC48" s="817"/>
      <c r="AD48" s="326">
        <v>24560</v>
      </c>
      <c r="AE48" s="716"/>
      <c r="AF48" s="714">
        <v>2023</v>
      </c>
      <c r="AG48" s="716" t="s">
        <v>39</v>
      </c>
      <c r="AH48" s="152"/>
    </row>
    <row r="49" spans="1:34" s="87" customFormat="1" ht="12.75" hidden="1" customHeight="1">
      <c r="A49" s="326"/>
      <c r="B49" s="705">
        <v>2023</v>
      </c>
      <c r="C49" s="794" t="s">
        <v>32</v>
      </c>
      <c r="D49" s="326">
        <v>158</v>
      </c>
      <c r="E49" s="806"/>
      <c r="F49" s="325">
        <v>6447</v>
      </c>
      <c r="G49" s="813"/>
      <c r="H49" s="808">
        <v>68</v>
      </c>
      <c r="I49" s="325"/>
      <c r="J49" s="808">
        <v>321</v>
      </c>
      <c r="K49" s="325"/>
      <c r="L49" s="326">
        <v>226</v>
      </c>
      <c r="M49" s="326"/>
      <c r="N49" s="326">
        <v>6768</v>
      </c>
      <c r="O49" s="716"/>
      <c r="P49" s="326">
        <v>170</v>
      </c>
      <c r="Q49" s="326"/>
      <c r="R49" s="326">
        <v>6816</v>
      </c>
      <c r="S49" s="326"/>
      <c r="T49" s="326">
        <v>65</v>
      </c>
      <c r="U49" s="815">
        <v>324</v>
      </c>
      <c r="V49" s="326">
        <v>235</v>
      </c>
      <c r="W49" s="326"/>
      <c r="X49" s="326">
        <v>7140</v>
      </c>
      <c r="Y49" s="326"/>
      <c r="Z49" s="811">
        <v>78</v>
      </c>
      <c r="AA49" s="716"/>
      <c r="AB49" s="784">
        <v>45242</v>
      </c>
      <c r="AC49" s="817"/>
      <c r="AD49" s="326">
        <v>52088</v>
      </c>
      <c r="AE49" s="716"/>
      <c r="AF49" s="714">
        <v>2023</v>
      </c>
      <c r="AG49" s="716" t="s">
        <v>81</v>
      </c>
      <c r="AH49" s="152"/>
    </row>
    <row r="50" spans="1:34" s="87" customFormat="1" ht="12.75" customHeight="1">
      <c r="A50" s="326"/>
      <c r="B50" s="705">
        <v>2024</v>
      </c>
      <c r="C50" s="794" t="s">
        <v>33</v>
      </c>
      <c r="D50" s="326">
        <v>1315</v>
      </c>
      <c r="E50" s="806"/>
      <c r="F50" s="325">
        <v>6114</v>
      </c>
      <c r="G50" s="813"/>
      <c r="H50" s="808">
        <v>31</v>
      </c>
      <c r="I50" s="325"/>
      <c r="J50" s="808">
        <v>142</v>
      </c>
      <c r="K50" s="325"/>
      <c r="L50" s="326">
        <v>1346</v>
      </c>
      <c r="M50" s="326"/>
      <c r="N50" s="326">
        <v>6256</v>
      </c>
      <c r="O50" s="716"/>
      <c r="P50" s="326">
        <v>1549</v>
      </c>
      <c r="Q50" s="326"/>
      <c r="R50" s="326">
        <v>8729</v>
      </c>
      <c r="S50" s="326"/>
      <c r="T50" s="326">
        <v>15</v>
      </c>
      <c r="U50" s="815">
        <v>184</v>
      </c>
      <c r="V50" s="326">
        <v>1564</v>
      </c>
      <c r="W50" s="326"/>
      <c r="X50" s="326">
        <v>8913</v>
      </c>
      <c r="Y50" s="326"/>
      <c r="Z50" s="811">
        <v>5</v>
      </c>
      <c r="AA50" s="716"/>
      <c r="AB50" s="784">
        <v>52901</v>
      </c>
      <c r="AC50" s="817"/>
      <c r="AD50" s="326">
        <v>59162</v>
      </c>
      <c r="AE50" s="716"/>
      <c r="AF50" s="641">
        <v>2024</v>
      </c>
      <c r="AG50" s="716" t="s">
        <v>33</v>
      </c>
      <c r="AH50" s="152"/>
    </row>
    <row r="51" spans="1:34" s="87" customFormat="1" ht="12.75" hidden="1" customHeight="1">
      <c r="A51" s="326"/>
      <c r="B51" s="705">
        <v>2024</v>
      </c>
      <c r="C51" s="794" t="s">
        <v>34</v>
      </c>
      <c r="D51" s="326">
        <v>1262</v>
      </c>
      <c r="E51" s="806"/>
      <c r="F51" s="325">
        <v>2592</v>
      </c>
      <c r="G51" s="813"/>
      <c r="H51" s="808">
        <v>36</v>
      </c>
      <c r="I51" s="325"/>
      <c r="J51" s="808">
        <v>162</v>
      </c>
      <c r="K51" s="325"/>
      <c r="L51" s="326">
        <v>1298</v>
      </c>
      <c r="M51" s="326"/>
      <c r="N51" s="326">
        <v>2754</v>
      </c>
      <c r="O51" s="716"/>
      <c r="P51" s="326">
        <v>266</v>
      </c>
      <c r="Q51" s="326"/>
      <c r="R51" s="326">
        <v>5749</v>
      </c>
      <c r="S51" s="326"/>
      <c r="T51" s="326">
        <v>58</v>
      </c>
      <c r="U51" s="815">
        <v>73</v>
      </c>
      <c r="V51" s="326">
        <v>324</v>
      </c>
      <c r="W51" s="326"/>
      <c r="X51" s="326">
        <v>5822</v>
      </c>
      <c r="Y51" s="326"/>
      <c r="Z51" s="811">
        <v>21</v>
      </c>
      <c r="AA51" s="716"/>
      <c r="AB51" s="784">
        <v>28146</v>
      </c>
      <c r="AC51" s="817"/>
      <c r="AD51" s="326">
        <v>30921</v>
      </c>
      <c r="AE51" s="716"/>
      <c r="AF51" s="641">
        <v>2024</v>
      </c>
      <c r="AG51" s="716" t="s">
        <v>75</v>
      </c>
      <c r="AH51" s="152"/>
    </row>
    <row r="52" spans="1:34" s="87" customFormat="1" ht="12.75" hidden="1" customHeight="1">
      <c r="A52" s="326"/>
      <c r="B52" s="705">
        <v>2024</v>
      </c>
      <c r="C52" s="794" t="s">
        <v>29</v>
      </c>
      <c r="D52" s="326">
        <v>1627</v>
      </c>
      <c r="E52" s="806"/>
      <c r="F52" s="325">
        <v>4118</v>
      </c>
      <c r="G52" s="813"/>
      <c r="H52" s="808">
        <v>21</v>
      </c>
      <c r="I52" s="325"/>
      <c r="J52" s="808">
        <v>143</v>
      </c>
      <c r="K52" s="325"/>
      <c r="L52" s="326">
        <v>1648</v>
      </c>
      <c r="M52" s="326"/>
      <c r="N52" s="326">
        <v>4261</v>
      </c>
      <c r="O52" s="716"/>
      <c r="P52" s="326">
        <v>2835</v>
      </c>
      <c r="Q52" s="326"/>
      <c r="R52" s="326">
        <v>4571</v>
      </c>
      <c r="S52" s="326"/>
      <c r="T52" s="326">
        <v>16</v>
      </c>
      <c r="U52" s="815">
        <v>146</v>
      </c>
      <c r="V52" s="326">
        <v>2851</v>
      </c>
      <c r="W52" s="326"/>
      <c r="X52" s="326">
        <v>4717</v>
      </c>
      <c r="Y52" s="326"/>
      <c r="Z52" s="783" t="s">
        <v>43</v>
      </c>
      <c r="AA52" s="782"/>
      <c r="AB52" s="784">
        <v>15875</v>
      </c>
      <c r="AC52" s="817"/>
      <c r="AD52" s="326">
        <v>20136</v>
      </c>
      <c r="AE52" s="716"/>
      <c r="AF52" s="641">
        <v>2024</v>
      </c>
      <c r="AG52" s="716" t="s">
        <v>29</v>
      </c>
      <c r="AH52" s="152"/>
    </row>
    <row r="53" spans="1:34" s="87" customFormat="1" ht="12.75" hidden="1" customHeight="1">
      <c r="A53" s="326"/>
      <c r="B53" s="705">
        <v>2024</v>
      </c>
      <c r="C53" s="794" t="s">
        <v>35</v>
      </c>
      <c r="D53" s="326">
        <v>1742</v>
      </c>
      <c r="E53" s="806"/>
      <c r="F53" s="325">
        <v>4945</v>
      </c>
      <c r="G53" s="813"/>
      <c r="H53" s="808">
        <v>42</v>
      </c>
      <c r="I53" s="325"/>
      <c r="J53" s="808">
        <v>183</v>
      </c>
      <c r="K53" s="325"/>
      <c r="L53" s="326">
        <v>1784</v>
      </c>
      <c r="M53" s="326"/>
      <c r="N53" s="326">
        <v>5128</v>
      </c>
      <c r="O53" s="716"/>
      <c r="P53" s="326">
        <v>1186</v>
      </c>
      <c r="Q53" s="326"/>
      <c r="R53" s="326">
        <v>6382</v>
      </c>
      <c r="S53" s="326"/>
      <c r="T53" s="326">
        <v>5</v>
      </c>
      <c r="U53" s="815">
        <v>76</v>
      </c>
      <c r="V53" s="326">
        <v>1191</v>
      </c>
      <c r="W53" s="326"/>
      <c r="X53" s="326">
        <v>6458</v>
      </c>
      <c r="Y53" s="326"/>
      <c r="Z53" s="811">
        <v>4</v>
      </c>
      <c r="AA53" s="716"/>
      <c r="AB53" s="784">
        <v>13513</v>
      </c>
      <c r="AC53" s="817"/>
      <c r="AD53" s="326">
        <v>18645</v>
      </c>
      <c r="AE53" s="716"/>
      <c r="AF53" s="641">
        <v>2024</v>
      </c>
      <c r="AG53" s="716" t="s">
        <v>76</v>
      </c>
      <c r="AH53" s="152"/>
    </row>
    <row r="54" spans="1:34" s="87" customFormat="1" ht="12.75" hidden="1" customHeight="1">
      <c r="A54" s="326"/>
      <c r="B54" s="313">
        <v>2024</v>
      </c>
      <c r="C54" s="794" t="s">
        <v>4</v>
      </c>
      <c r="D54" s="326">
        <v>1211</v>
      </c>
      <c r="E54" s="806"/>
      <c r="F54" s="818">
        <v>2722</v>
      </c>
      <c r="G54" s="813"/>
      <c r="H54" s="808" t="s">
        <v>43</v>
      </c>
      <c r="I54" s="325"/>
      <c r="J54" s="808" t="s">
        <v>43</v>
      </c>
      <c r="K54" s="325"/>
      <c r="L54" s="326">
        <v>1211</v>
      </c>
      <c r="M54" s="326"/>
      <c r="N54" s="326">
        <v>2722</v>
      </c>
      <c r="O54" s="716"/>
      <c r="P54" s="326">
        <v>924</v>
      </c>
      <c r="Q54" s="326"/>
      <c r="R54" s="326">
        <v>2722</v>
      </c>
      <c r="S54" s="326"/>
      <c r="T54" s="326">
        <v>4</v>
      </c>
      <c r="U54" s="815">
        <v>46</v>
      </c>
      <c r="V54" s="326">
        <v>928</v>
      </c>
      <c r="W54" s="326"/>
      <c r="X54" s="326">
        <v>3055</v>
      </c>
      <c r="Y54" s="326"/>
      <c r="Z54" s="811">
        <v>73</v>
      </c>
      <c r="AA54" s="716"/>
      <c r="AB54" s="784">
        <v>21152</v>
      </c>
      <c r="AC54" s="817"/>
      <c r="AD54" s="326">
        <v>23947</v>
      </c>
      <c r="AE54" s="716"/>
      <c r="AF54" s="641">
        <v>2024</v>
      </c>
      <c r="AG54" s="716" t="s">
        <v>77</v>
      </c>
      <c r="AH54" s="152"/>
    </row>
    <row r="55" spans="1:34" s="87" customFormat="1" ht="12.75" hidden="1" customHeight="1">
      <c r="A55" s="326"/>
      <c r="B55" s="313">
        <v>2024</v>
      </c>
      <c r="C55" s="794" t="s">
        <v>68</v>
      </c>
      <c r="D55" s="326">
        <v>1860</v>
      </c>
      <c r="E55" s="806"/>
      <c r="F55" s="818">
        <v>1943</v>
      </c>
      <c r="G55" s="813"/>
      <c r="H55" s="808" t="s">
        <v>43</v>
      </c>
      <c r="I55" s="325"/>
      <c r="J55" s="808">
        <v>20</v>
      </c>
      <c r="K55" s="325"/>
      <c r="L55" s="326">
        <v>1860</v>
      </c>
      <c r="M55" s="326"/>
      <c r="N55" s="326">
        <v>1963</v>
      </c>
      <c r="O55" s="716"/>
      <c r="P55" s="326">
        <v>950</v>
      </c>
      <c r="Q55" s="326"/>
      <c r="R55" s="326">
        <v>2091</v>
      </c>
      <c r="S55" s="326"/>
      <c r="T55" s="758" t="s">
        <v>43</v>
      </c>
      <c r="U55" s="815">
        <v>61</v>
      </c>
      <c r="V55" s="326">
        <v>950</v>
      </c>
      <c r="W55" s="326"/>
      <c r="X55" s="326">
        <v>2152</v>
      </c>
      <c r="Y55" s="326"/>
      <c r="Z55" s="811">
        <v>37</v>
      </c>
      <c r="AA55" s="716"/>
      <c r="AB55" s="784">
        <v>12020</v>
      </c>
      <c r="AC55" s="817"/>
      <c r="AD55" s="326">
        <v>14020</v>
      </c>
      <c r="AE55" s="716"/>
      <c r="AF55" s="641">
        <v>2024</v>
      </c>
      <c r="AG55" s="716" t="s">
        <v>78</v>
      </c>
      <c r="AH55" s="152"/>
    </row>
    <row r="56" spans="1:34" s="87" customFormat="1" ht="12.75" hidden="1" customHeight="1">
      <c r="A56" s="716"/>
      <c r="B56" s="313">
        <v>2024</v>
      </c>
      <c r="C56" s="794" t="s">
        <v>36</v>
      </c>
      <c r="D56" s="326">
        <v>2159</v>
      </c>
      <c r="E56" s="806"/>
      <c r="F56" s="818">
        <v>4194</v>
      </c>
      <c r="G56" s="813"/>
      <c r="H56" s="808">
        <v>9</v>
      </c>
      <c r="I56" s="325"/>
      <c r="J56" s="808">
        <v>97</v>
      </c>
      <c r="K56" s="325"/>
      <c r="L56" s="326">
        <v>2168</v>
      </c>
      <c r="M56" s="326"/>
      <c r="N56" s="326">
        <v>4291</v>
      </c>
      <c r="O56" s="716"/>
      <c r="P56" s="326">
        <v>1460</v>
      </c>
      <c r="Q56" s="326"/>
      <c r="R56" s="326">
        <v>4667</v>
      </c>
      <c r="S56" s="326"/>
      <c r="T56" s="758" t="s">
        <v>43</v>
      </c>
      <c r="U56" s="815">
        <v>84</v>
      </c>
      <c r="V56" s="326">
        <v>1460</v>
      </c>
      <c r="W56" s="326"/>
      <c r="X56" s="326">
        <v>4751</v>
      </c>
      <c r="Y56" s="326"/>
      <c r="Z56" s="777" t="s">
        <v>43</v>
      </c>
      <c r="AA56" s="779"/>
      <c r="AB56" s="784">
        <v>21816</v>
      </c>
      <c r="AC56" s="817"/>
      <c r="AD56" s="326">
        <v>26107</v>
      </c>
      <c r="AE56" s="716"/>
      <c r="AF56" s="641">
        <v>2024</v>
      </c>
      <c r="AG56" s="716" t="s">
        <v>79</v>
      </c>
      <c r="AH56" s="152"/>
    </row>
    <row r="57" spans="1:34" s="87" customFormat="1" ht="12.75" hidden="1" customHeight="1">
      <c r="A57" s="326"/>
      <c r="B57" s="313">
        <v>2024</v>
      </c>
      <c r="C57" s="794" t="s">
        <v>37</v>
      </c>
      <c r="D57" s="326">
        <v>3289</v>
      </c>
      <c r="E57" s="806"/>
      <c r="F57" s="818">
        <v>5282</v>
      </c>
      <c r="G57" s="813"/>
      <c r="H57" s="808">
        <v>0</v>
      </c>
      <c r="I57" s="325"/>
      <c r="J57" s="808">
        <v>0</v>
      </c>
      <c r="K57" s="325"/>
      <c r="L57" s="326">
        <v>3289</v>
      </c>
      <c r="M57" s="326"/>
      <c r="N57" s="326">
        <v>5282</v>
      </c>
      <c r="O57" s="716"/>
      <c r="P57" s="326">
        <v>2048</v>
      </c>
      <c r="Q57" s="326"/>
      <c r="R57" s="326">
        <v>5905</v>
      </c>
      <c r="S57" s="326"/>
      <c r="T57" s="758" t="s">
        <v>43</v>
      </c>
      <c r="U57" s="860">
        <v>0</v>
      </c>
      <c r="V57" s="326">
        <v>2048</v>
      </c>
      <c r="W57" s="326"/>
      <c r="X57" s="326">
        <v>5905</v>
      </c>
      <c r="Y57" s="716"/>
      <c r="Z57" s="778">
        <v>53</v>
      </c>
      <c r="AA57" s="779"/>
      <c r="AB57" s="784">
        <v>6046</v>
      </c>
      <c r="AC57" s="817"/>
      <c r="AD57" s="326">
        <v>11381</v>
      </c>
      <c r="AE57" s="716"/>
      <c r="AF57" s="641">
        <v>2024</v>
      </c>
      <c r="AG57" s="716" t="s">
        <v>80</v>
      </c>
      <c r="AH57" s="152"/>
    </row>
    <row r="58" spans="1:34" s="87" customFormat="1" ht="12.75" hidden="1" customHeight="1">
      <c r="A58" s="326"/>
      <c r="B58" s="313">
        <v>2024</v>
      </c>
      <c r="C58" s="794" t="s">
        <v>31</v>
      </c>
      <c r="D58" s="326">
        <v>4360</v>
      </c>
      <c r="E58" s="806"/>
      <c r="F58" s="818">
        <v>6475</v>
      </c>
      <c r="G58" s="813"/>
      <c r="H58" s="808">
        <v>93</v>
      </c>
      <c r="I58" s="325"/>
      <c r="J58" s="808">
        <v>477</v>
      </c>
      <c r="K58" s="325"/>
      <c r="L58" s="326">
        <v>4453</v>
      </c>
      <c r="M58" s="326"/>
      <c r="N58" s="326">
        <v>6952</v>
      </c>
      <c r="O58" s="716"/>
      <c r="P58" s="326">
        <v>2553</v>
      </c>
      <c r="Q58" s="326"/>
      <c r="R58" s="326">
        <v>6414</v>
      </c>
      <c r="S58" s="326"/>
      <c r="T58" s="758">
        <v>46</v>
      </c>
      <c r="U58" s="860">
        <v>419</v>
      </c>
      <c r="V58" s="326">
        <v>2599</v>
      </c>
      <c r="W58" s="326"/>
      <c r="X58" s="326">
        <v>6833</v>
      </c>
      <c r="Y58" s="716"/>
      <c r="Z58" s="778">
        <v>130</v>
      </c>
      <c r="AA58" s="779"/>
      <c r="AB58" s="784">
        <v>9432</v>
      </c>
      <c r="AC58" s="817"/>
      <c r="AD58" s="326">
        <v>16514</v>
      </c>
      <c r="AE58" s="716"/>
      <c r="AF58" s="641">
        <v>2024</v>
      </c>
      <c r="AG58" s="716" t="s">
        <v>31</v>
      </c>
      <c r="AH58" s="152"/>
    </row>
    <row r="59" spans="1:34" s="87" customFormat="1" ht="12.75" hidden="1" customHeight="1">
      <c r="A59" s="326"/>
      <c r="B59" s="313">
        <v>2024</v>
      </c>
      <c r="C59" s="794" t="s">
        <v>38</v>
      </c>
      <c r="D59" s="326">
        <v>2970</v>
      </c>
      <c r="E59" s="806"/>
      <c r="F59" s="818">
        <v>6300</v>
      </c>
      <c r="G59" s="813"/>
      <c r="H59" s="808">
        <v>91</v>
      </c>
      <c r="I59" s="325"/>
      <c r="J59" s="808">
        <v>385</v>
      </c>
      <c r="K59" s="325"/>
      <c r="L59" s="326">
        <v>3061</v>
      </c>
      <c r="M59" s="326"/>
      <c r="N59" s="326">
        <v>6685</v>
      </c>
      <c r="O59" s="716"/>
      <c r="P59" s="326">
        <v>2789</v>
      </c>
      <c r="Q59" s="326"/>
      <c r="R59" s="326">
        <v>7857</v>
      </c>
      <c r="S59" s="326"/>
      <c r="T59" s="758">
        <v>54</v>
      </c>
      <c r="U59" s="860">
        <v>492</v>
      </c>
      <c r="V59" s="326">
        <v>2843</v>
      </c>
      <c r="W59" s="326"/>
      <c r="X59" s="326">
        <v>8349</v>
      </c>
      <c r="Y59" s="716"/>
      <c r="Z59" s="777">
        <v>57</v>
      </c>
      <c r="AA59" s="779"/>
      <c r="AB59" s="784">
        <v>5789</v>
      </c>
      <c r="AC59" s="817"/>
      <c r="AD59" s="326">
        <v>12531</v>
      </c>
      <c r="AE59" s="716"/>
      <c r="AF59" s="641">
        <v>2024</v>
      </c>
      <c r="AG59" s="716" t="s">
        <v>38</v>
      </c>
      <c r="AH59" s="152"/>
    </row>
    <row r="60" spans="1:34" s="87" customFormat="1" ht="12.75" hidden="1" customHeight="1">
      <c r="A60" s="326"/>
      <c r="B60" s="313">
        <v>2024</v>
      </c>
      <c r="C60" s="794" t="s">
        <v>39</v>
      </c>
      <c r="D60" s="326">
        <v>3475</v>
      </c>
      <c r="E60" s="806"/>
      <c r="F60" s="818">
        <v>6053</v>
      </c>
      <c r="G60" s="813"/>
      <c r="H60" s="808">
        <v>85</v>
      </c>
      <c r="I60" s="325"/>
      <c r="J60" s="808">
        <v>387</v>
      </c>
      <c r="K60" s="325"/>
      <c r="L60" s="326">
        <v>3560</v>
      </c>
      <c r="M60" s="326"/>
      <c r="N60" s="326">
        <v>6440</v>
      </c>
      <c r="O60" s="716"/>
      <c r="P60" s="326">
        <v>3767</v>
      </c>
      <c r="Q60" s="326"/>
      <c r="R60" s="326">
        <v>6330</v>
      </c>
      <c r="S60" s="326"/>
      <c r="T60" s="758">
        <v>28</v>
      </c>
      <c r="U60" s="860">
        <v>391</v>
      </c>
      <c r="V60" s="326">
        <v>3795</v>
      </c>
      <c r="W60" s="326"/>
      <c r="X60" s="326">
        <v>6721</v>
      </c>
      <c r="Y60" s="716"/>
      <c r="Z60" s="777">
        <v>39</v>
      </c>
      <c r="AA60" s="779"/>
      <c r="AB60" s="784">
        <v>6462</v>
      </c>
      <c r="AC60" s="817"/>
      <c r="AD60" s="326">
        <v>12941</v>
      </c>
      <c r="AE60" s="716"/>
      <c r="AF60" s="641">
        <v>2024</v>
      </c>
      <c r="AG60" s="716" t="s">
        <v>39</v>
      </c>
      <c r="AH60" s="152"/>
    </row>
    <row r="61" spans="1:34" s="87" customFormat="1" ht="12.75" hidden="1" customHeight="1">
      <c r="A61" s="326"/>
      <c r="B61" s="313">
        <v>2024</v>
      </c>
      <c r="C61" s="794" t="s">
        <v>32</v>
      </c>
      <c r="D61" s="326">
        <v>4115</v>
      </c>
      <c r="E61" s="806"/>
      <c r="F61" s="818">
        <v>5947</v>
      </c>
      <c r="G61" s="813"/>
      <c r="H61" s="808">
        <v>131</v>
      </c>
      <c r="I61" s="325"/>
      <c r="J61" s="808">
        <v>397</v>
      </c>
      <c r="K61" s="325"/>
      <c r="L61" s="326">
        <v>4246</v>
      </c>
      <c r="M61" s="326"/>
      <c r="N61" s="326">
        <v>6344</v>
      </c>
      <c r="O61" s="716"/>
      <c r="P61" s="326">
        <v>2659</v>
      </c>
      <c r="Q61" s="326"/>
      <c r="R61" s="326">
        <v>6446</v>
      </c>
      <c r="S61" s="326"/>
      <c r="T61" s="758">
        <v>30</v>
      </c>
      <c r="U61" s="860">
        <v>376</v>
      </c>
      <c r="V61" s="326">
        <v>2689</v>
      </c>
      <c r="W61" s="326"/>
      <c r="X61" s="326">
        <v>6822</v>
      </c>
      <c r="Y61" s="716"/>
      <c r="Z61" s="777" t="s">
        <v>43</v>
      </c>
      <c r="AA61" s="779"/>
      <c r="AB61" s="784">
        <v>11646</v>
      </c>
      <c r="AC61" s="817"/>
      <c r="AD61" s="326">
        <v>17990</v>
      </c>
      <c r="AE61" s="716"/>
      <c r="AF61" s="641">
        <v>2024</v>
      </c>
      <c r="AG61" s="716" t="s">
        <v>81</v>
      </c>
      <c r="AH61" s="152"/>
    </row>
    <row r="62" spans="1:34" s="87" customFormat="1" ht="12.75" customHeight="1">
      <c r="A62" s="326"/>
      <c r="B62" s="313">
        <v>2025</v>
      </c>
      <c r="C62" s="794" t="s">
        <v>33</v>
      </c>
      <c r="D62" s="326">
        <v>2527</v>
      </c>
      <c r="E62" s="806"/>
      <c r="F62" s="818">
        <v>6376</v>
      </c>
      <c r="G62" s="813"/>
      <c r="H62" s="808">
        <v>101</v>
      </c>
      <c r="I62" s="325"/>
      <c r="J62" s="808">
        <v>349</v>
      </c>
      <c r="K62" s="325"/>
      <c r="L62" s="326">
        <v>2628</v>
      </c>
      <c r="M62" s="326"/>
      <c r="N62" s="326">
        <v>6725</v>
      </c>
      <c r="O62" s="716"/>
      <c r="P62" s="326">
        <v>2369</v>
      </c>
      <c r="Q62" s="326"/>
      <c r="R62" s="326">
        <v>7521</v>
      </c>
      <c r="S62" s="326"/>
      <c r="T62" s="758">
        <v>56</v>
      </c>
      <c r="U62" s="860">
        <v>552</v>
      </c>
      <c r="V62" s="326">
        <v>2425</v>
      </c>
      <c r="W62" s="326"/>
      <c r="X62" s="326">
        <v>8073</v>
      </c>
      <c r="Y62" s="716"/>
      <c r="Z62" s="777">
        <v>6</v>
      </c>
      <c r="AA62" s="779"/>
      <c r="AB62" s="784">
        <v>12635</v>
      </c>
      <c r="AC62" s="817"/>
      <c r="AD62" s="326">
        <v>19366</v>
      </c>
      <c r="AE62" s="716"/>
      <c r="AF62" s="641">
        <v>2025</v>
      </c>
      <c r="AG62" s="716" t="s">
        <v>33</v>
      </c>
      <c r="AH62" s="152"/>
    </row>
    <row r="63" spans="1:34" s="87" customFormat="1" ht="12.75" customHeight="1">
      <c r="A63" s="326"/>
      <c r="B63" s="313"/>
      <c r="C63" s="794" t="s">
        <v>34</v>
      </c>
      <c r="D63" s="326">
        <v>1914</v>
      </c>
      <c r="E63" s="806"/>
      <c r="F63" s="818">
        <v>4123</v>
      </c>
      <c r="G63" s="813"/>
      <c r="H63" s="808">
        <v>58</v>
      </c>
      <c r="I63" s="325"/>
      <c r="J63" s="808">
        <v>242</v>
      </c>
      <c r="K63" s="325"/>
      <c r="L63" s="326">
        <v>1972</v>
      </c>
      <c r="M63" s="326"/>
      <c r="N63" s="326">
        <v>4365</v>
      </c>
      <c r="O63" s="716"/>
      <c r="P63" s="326">
        <v>3560</v>
      </c>
      <c r="Q63" s="326"/>
      <c r="R63" s="326">
        <v>4110</v>
      </c>
      <c r="S63" s="326"/>
      <c r="T63" s="758">
        <v>38</v>
      </c>
      <c r="U63" s="860">
        <v>161</v>
      </c>
      <c r="V63" s="326">
        <v>3598</v>
      </c>
      <c r="W63" s="326"/>
      <c r="X63" s="326">
        <v>4271</v>
      </c>
      <c r="Y63" s="716"/>
      <c r="Z63" s="778" t="s">
        <v>43</v>
      </c>
      <c r="AA63" s="779"/>
      <c r="AB63" s="784">
        <v>18948</v>
      </c>
      <c r="AC63" s="817"/>
      <c r="AD63" s="326">
        <v>23313</v>
      </c>
      <c r="AE63" s="716"/>
      <c r="AF63" s="641"/>
      <c r="AG63" s="716" t="s">
        <v>75</v>
      </c>
      <c r="AH63" s="152"/>
    </row>
    <row r="64" spans="1:34" s="87" customFormat="1" ht="12.75" customHeight="1">
      <c r="A64" s="326"/>
      <c r="B64" s="313"/>
      <c r="C64" s="794" t="s">
        <v>29</v>
      </c>
      <c r="D64" s="326">
        <v>2287</v>
      </c>
      <c r="E64" s="806"/>
      <c r="F64" s="818">
        <v>5254</v>
      </c>
      <c r="G64" s="813"/>
      <c r="H64" s="808">
        <v>5</v>
      </c>
      <c r="I64" s="325"/>
      <c r="J64" s="808">
        <v>10</v>
      </c>
      <c r="K64" s="325"/>
      <c r="L64" s="326">
        <v>2292</v>
      </c>
      <c r="M64" s="326"/>
      <c r="N64" s="326">
        <v>5264</v>
      </c>
      <c r="O64" s="716"/>
      <c r="P64" s="326">
        <v>3577</v>
      </c>
      <c r="Q64" s="326"/>
      <c r="R64" s="326">
        <v>5331</v>
      </c>
      <c r="S64" s="326"/>
      <c r="T64" s="758">
        <v>7</v>
      </c>
      <c r="U64" s="860">
        <v>79</v>
      </c>
      <c r="V64" s="326">
        <v>3584</v>
      </c>
      <c r="W64" s="326"/>
      <c r="X64" s="326">
        <v>5410</v>
      </c>
      <c r="Y64" s="716"/>
      <c r="Z64" s="778">
        <v>12</v>
      </c>
      <c r="AA64" s="779"/>
      <c r="AB64" s="870">
        <v>17075</v>
      </c>
      <c r="AC64" s="869"/>
      <c r="AD64" s="326">
        <v>22351</v>
      </c>
      <c r="AE64" s="716"/>
      <c r="AF64" s="641"/>
      <c r="AG64" s="716" t="s">
        <v>29</v>
      </c>
      <c r="AH64" s="152"/>
    </row>
    <row r="65" spans="1:35" s="87" customFormat="1" ht="12.75" customHeight="1">
      <c r="A65" s="326"/>
      <c r="B65" s="313"/>
      <c r="C65" s="794" t="s">
        <v>35</v>
      </c>
      <c r="D65" s="326">
        <v>2974</v>
      </c>
      <c r="E65" s="806"/>
      <c r="F65" s="818">
        <v>8009</v>
      </c>
      <c r="G65" s="813"/>
      <c r="H65" s="808" t="s">
        <v>332</v>
      </c>
      <c r="I65" s="325"/>
      <c r="J65" s="808" t="s">
        <v>332</v>
      </c>
      <c r="K65" s="325"/>
      <c r="L65" s="326">
        <v>2974</v>
      </c>
      <c r="M65" s="326"/>
      <c r="N65" s="326">
        <v>8009</v>
      </c>
      <c r="O65" s="716"/>
      <c r="P65" s="326">
        <v>2516</v>
      </c>
      <c r="Q65" s="326"/>
      <c r="R65" s="326">
        <v>7992</v>
      </c>
      <c r="S65" s="326"/>
      <c r="T65" s="758" t="s">
        <v>332</v>
      </c>
      <c r="U65" s="815" t="s">
        <v>332</v>
      </c>
      <c r="V65" s="326">
        <v>2516</v>
      </c>
      <c r="W65" s="326"/>
      <c r="X65" s="326">
        <v>7992</v>
      </c>
      <c r="Y65" s="716"/>
      <c r="Z65" s="778">
        <v>29</v>
      </c>
      <c r="AA65" s="779"/>
      <c r="AB65" s="870">
        <v>18535</v>
      </c>
      <c r="AC65" s="869"/>
      <c r="AD65" s="326">
        <v>26573</v>
      </c>
      <c r="AE65" s="716"/>
      <c r="AF65" s="641"/>
      <c r="AG65" s="716" t="s">
        <v>76</v>
      </c>
      <c r="AH65" s="152"/>
    </row>
    <row r="66" spans="1:35" s="87" customFormat="1" ht="12.75" customHeight="1">
      <c r="A66" s="326"/>
      <c r="B66" s="313"/>
      <c r="C66" s="794" t="s">
        <v>4</v>
      </c>
      <c r="D66" s="326">
        <v>4259</v>
      </c>
      <c r="E66" s="806"/>
      <c r="F66" s="818">
        <v>7103</v>
      </c>
      <c r="G66" s="813"/>
      <c r="H66" s="808" t="s">
        <v>332</v>
      </c>
      <c r="I66" s="325"/>
      <c r="J66" s="808" t="s">
        <v>332</v>
      </c>
      <c r="K66" s="325"/>
      <c r="L66" s="326">
        <v>4259</v>
      </c>
      <c r="M66" s="326"/>
      <c r="N66" s="326">
        <v>7103</v>
      </c>
      <c r="O66" s="716"/>
      <c r="P66" s="326">
        <v>3056</v>
      </c>
      <c r="Q66" s="326"/>
      <c r="R66" s="326">
        <v>7246</v>
      </c>
      <c r="S66" s="326"/>
      <c r="T66" s="758" t="s">
        <v>332</v>
      </c>
      <c r="U66" s="815" t="s">
        <v>332</v>
      </c>
      <c r="V66" s="326">
        <v>3056</v>
      </c>
      <c r="W66" s="326"/>
      <c r="X66" s="326">
        <v>7246</v>
      </c>
      <c r="Y66" s="716"/>
      <c r="Z66" s="778">
        <v>131</v>
      </c>
      <c r="AA66" s="779"/>
      <c r="AB66" s="870">
        <v>3116</v>
      </c>
      <c r="AC66" s="869"/>
      <c r="AD66" s="326">
        <v>10350</v>
      </c>
      <c r="AE66" s="716"/>
      <c r="AF66" s="641"/>
      <c r="AG66" s="716" t="s">
        <v>77</v>
      </c>
      <c r="AH66" s="152"/>
    </row>
    <row r="67" spans="1:35" s="87" customFormat="1" ht="12.75" customHeight="1">
      <c r="A67" s="326"/>
      <c r="B67" s="313"/>
      <c r="C67" s="794" t="s">
        <v>30</v>
      </c>
      <c r="D67" s="326">
        <v>2952</v>
      </c>
      <c r="E67" s="806"/>
      <c r="F67" s="818">
        <v>8365</v>
      </c>
      <c r="G67" s="813"/>
      <c r="H67" s="808" t="s">
        <v>332</v>
      </c>
      <c r="I67" s="325"/>
      <c r="J67" s="808" t="s">
        <v>332</v>
      </c>
      <c r="K67" s="325"/>
      <c r="L67" s="326">
        <v>2952</v>
      </c>
      <c r="M67" s="326"/>
      <c r="N67" s="326">
        <v>8365</v>
      </c>
      <c r="O67" s="716"/>
      <c r="P67" s="326">
        <v>2319</v>
      </c>
      <c r="Q67" s="326"/>
      <c r="R67" s="326">
        <v>7790</v>
      </c>
      <c r="S67" s="326"/>
      <c r="T67" s="758" t="s">
        <v>332</v>
      </c>
      <c r="U67" s="815" t="s">
        <v>332</v>
      </c>
      <c r="V67" s="326">
        <v>2319</v>
      </c>
      <c r="W67" s="326"/>
      <c r="X67" s="326">
        <v>7790</v>
      </c>
      <c r="Y67" s="716"/>
      <c r="Z67" s="778">
        <v>110</v>
      </c>
      <c r="AA67" s="779"/>
      <c r="AB67" s="870">
        <v>6739</v>
      </c>
      <c r="AC67" s="869"/>
      <c r="AD67" s="326">
        <v>15214</v>
      </c>
      <c r="AE67" s="716"/>
      <c r="AF67" s="641"/>
      <c r="AG67" s="716" t="s">
        <v>78</v>
      </c>
      <c r="AH67" s="152"/>
    </row>
    <row r="68" spans="1:35" s="87" customFormat="1" ht="12.75" customHeight="1">
      <c r="A68" s="326"/>
      <c r="B68" s="313"/>
      <c r="C68" s="794" t="s">
        <v>36</v>
      </c>
      <c r="D68" s="326">
        <v>2980</v>
      </c>
      <c r="E68" s="806"/>
      <c r="F68" s="818">
        <v>10382</v>
      </c>
      <c r="G68" s="813"/>
      <c r="H68" s="808" t="s">
        <v>332</v>
      </c>
      <c r="I68" s="325"/>
      <c r="J68" s="808" t="s">
        <v>332</v>
      </c>
      <c r="K68" s="325"/>
      <c r="L68" s="326">
        <v>2980</v>
      </c>
      <c r="M68" s="326"/>
      <c r="N68" s="326">
        <v>10382</v>
      </c>
      <c r="O68" s="716"/>
      <c r="P68" s="326">
        <v>2377</v>
      </c>
      <c r="Q68" s="326"/>
      <c r="R68" s="326">
        <v>11477</v>
      </c>
      <c r="S68" s="326"/>
      <c r="T68" s="758" t="s">
        <v>332</v>
      </c>
      <c r="U68" s="815" t="s">
        <v>332</v>
      </c>
      <c r="V68" s="326">
        <v>2377</v>
      </c>
      <c r="W68" s="326"/>
      <c r="X68" s="326">
        <v>10382</v>
      </c>
      <c r="Y68" s="716"/>
      <c r="Z68" s="777">
        <v>263</v>
      </c>
      <c r="AA68" s="779"/>
      <c r="AB68" s="870">
        <v>14023</v>
      </c>
      <c r="AC68" s="869"/>
      <c r="AD68" s="326">
        <v>24668</v>
      </c>
      <c r="AE68" s="716"/>
      <c r="AF68" s="641"/>
      <c r="AG68" s="716" t="s">
        <v>79</v>
      </c>
      <c r="AH68" s="152"/>
    </row>
    <row r="69" spans="1:35" s="87" customFormat="1" ht="12.75" customHeight="1">
      <c r="A69" s="326"/>
      <c r="B69" s="313"/>
      <c r="C69" s="794" t="s">
        <v>37</v>
      </c>
      <c r="D69" s="326">
        <v>2969</v>
      </c>
      <c r="E69" s="806"/>
      <c r="F69" s="818">
        <v>9231</v>
      </c>
      <c r="G69" s="813"/>
      <c r="H69" s="808" t="s">
        <v>332</v>
      </c>
      <c r="I69" s="325"/>
      <c r="J69" s="808" t="s">
        <v>332</v>
      </c>
      <c r="K69" s="325"/>
      <c r="L69" s="326">
        <v>2969</v>
      </c>
      <c r="M69" s="326"/>
      <c r="N69" s="326">
        <v>9231</v>
      </c>
      <c r="O69" s="716"/>
      <c r="P69" s="326">
        <v>2445</v>
      </c>
      <c r="Q69" s="326"/>
      <c r="R69" s="326">
        <v>10172</v>
      </c>
      <c r="S69" s="326"/>
      <c r="T69" s="758" t="s">
        <v>332</v>
      </c>
      <c r="U69" s="815" t="s">
        <v>332</v>
      </c>
      <c r="V69" s="326">
        <v>2445</v>
      </c>
      <c r="W69" s="326"/>
      <c r="X69" s="326">
        <v>10172</v>
      </c>
      <c r="Y69" s="716"/>
      <c r="Z69" s="777">
        <v>131</v>
      </c>
      <c r="AA69" s="779"/>
      <c r="AB69" s="800">
        <v>19059</v>
      </c>
      <c r="AC69" s="869"/>
      <c r="AD69" s="811">
        <v>28421</v>
      </c>
      <c r="AE69" s="716"/>
      <c r="AF69" s="641"/>
      <c r="AG69" s="716" t="s">
        <v>321</v>
      </c>
      <c r="AH69" s="152"/>
    </row>
    <row r="70" spans="1:35" s="87" customFormat="1" ht="12.75" customHeight="1">
      <c r="A70" s="326"/>
      <c r="B70" s="313"/>
      <c r="C70" s="794" t="s">
        <v>31</v>
      </c>
      <c r="D70" s="326">
        <v>4405</v>
      </c>
      <c r="E70" s="806"/>
      <c r="F70" s="818">
        <v>9922</v>
      </c>
      <c r="G70" s="813"/>
      <c r="H70" s="808" t="s">
        <v>332</v>
      </c>
      <c r="I70" s="325"/>
      <c r="J70" s="808" t="s">
        <v>332</v>
      </c>
      <c r="K70" s="325"/>
      <c r="L70" s="326">
        <v>4405</v>
      </c>
      <c r="M70" s="326"/>
      <c r="N70" s="326">
        <v>9922</v>
      </c>
      <c r="O70" s="716"/>
      <c r="P70" s="326">
        <v>2809</v>
      </c>
      <c r="Q70" s="326"/>
      <c r="R70" s="326">
        <v>9465</v>
      </c>
      <c r="S70" s="326"/>
      <c r="T70" s="758" t="s">
        <v>332</v>
      </c>
      <c r="U70" s="815" t="s">
        <v>332</v>
      </c>
      <c r="V70" s="326">
        <v>2809</v>
      </c>
      <c r="W70" s="326"/>
      <c r="X70" s="326">
        <v>9465</v>
      </c>
      <c r="Y70" s="716"/>
      <c r="Z70" s="778">
        <v>237</v>
      </c>
      <c r="AA70" s="779"/>
      <c r="AB70" s="800">
        <v>6700</v>
      </c>
      <c r="AC70" s="869"/>
      <c r="AD70" s="326">
        <v>16859</v>
      </c>
      <c r="AE70" s="716"/>
      <c r="AF70" s="641"/>
      <c r="AG70" s="716" t="s">
        <v>31</v>
      </c>
      <c r="AH70" s="152"/>
    </row>
    <row r="71" spans="1:35" s="87" customFormat="1" ht="12.75" customHeight="1">
      <c r="A71" s="326"/>
      <c r="B71" s="313"/>
      <c r="C71" s="794" t="s">
        <v>38</v>
      </c>
      <c r="D71" s="326">
        <v>3296</v>
      </c>
      <c r="E71" s="806"/>
      <c r="F71" s="818">
        <v>9749</v>
      </c>
      <c r="G71" s="813"/>
      <c r="H71" s="808" t="s">
        <v>332</v>
      </c>
      <c r="I71" s="325"/>
      <c r="J71" s="808" t="s">
        <v>332</v>
      </c>
      <c r="K71" s="325"/>
      <c r="L71" s="326">
        <v>3296</v>
      </c>
      <c r="M71" s="326"/>
      <c r="N71" s="326">
        <v>9749</v>
      </c>
      <c r="O71" s="716"/>
      <c r="P71" s="326">
        <v>4552</v>
      </c>
      <c r="Q71" s="326"/>
      <c r="R71" s="326">
        <v>10131</v>
      </c>
      <c r="S71" s="326"/>
      <c r="T71" s="758" t="s">
        <v>332</v>
      </c>
      <c r="U71" s="815" t="s">
        <v>332</v>
      </c>
      <c r="V71" s="326">
        <v>4606</v>
      </c>
      <c r="W71" s="326"/>
      <c r="X71" s="326">
        <v>10623</v>
      </c>
      <c r="Y71" s="716"/>
      <c r="Z71" s="778">
        <v>147</v>
      </c>
      <c r="AA71" s="779"/>
      <c r="AB71" s="800">
        <v>22012</v>
      </c>
      <c r="AC71" s="869"/>
      <c r="AD71" s="811">
        <v>31908</v>
      </c>
      <c r="AE71" s="716"/>
      <c r="AF71" s="641"/>
      <c r="AG71" s="716" t="s">
        <v>38</v>
      </c>
      <c r="AH71" s="152"/>
    </row>
    <row r="72" spans="1:35" s="87" customFormat="1" ht="12.75" customHeight="1">
      <c r="A72" s="326"/>
      <c r="B72" s="313"/>
      <c r="C72" s="794" t="s">
        <v>39</v>
      </c>
      <c r="D72" s="326">
        <v>3368</v>
      </c>
      <c r="E72" s="806"/>
      <c r="F72" s="818">
        <v>8506</v>
      </c>
      <c r="G72" s="813"/>
      <c r="H72" s="808" t="s">
        <v>332</v>
      </c>
      <c r="I72" s="325"/>
      <c r="J72" s="808" t="s">
        <v>332</v>
      </c>
      <c r="K72" s="325"/>
      <c r="L72" s="326">
        <v>3368</v>
      </c>
      <c r="M72" s="326"/>
      <c r="N72" s="326">
        <v>8506</v>
      </c>
      <c r="O72" s="716"/>
      <c r="P72" s="326">
        <v>4026</v>
      </c>
      <c r="Q72" s="326"/>
      <c r="R72" s="326">
        <v>8882</v>
      </c>
      <c r="S72" s="326"/>
      <c r="T72" s="758" t="s">
        <v>332</v>
      </c>
      <c r="U72" s="815" t="s">
        <v>332</v>
      </c>
      <c r="V72" s="326">
        <v>4026</v>
      </c>
      <c r="W72" s="326"/>
      <c r="X72" s="326">
        <v>8882</v>
      </c>
      <c r="Y72" s="716"/>
      <c r="Z72" s="778">
        <v>17</v>
      </c>
      <c r="AA72" s="779"/>
      <c r="AB72" s="800">
        <v>16833</v>
      </c>
      <c r="AC72" s="869"/>
      <c r="AD72" s="811">
        <v>25356</v>
      </c>
      <c r="AE72" s="716"/>
      <c r="AF72" s="641"/>
      <c r="AG72" s="716" t="s">
        <v>39</v>
      </c>
      <c r="AH72" s="152"/>
    </row>
    <row r="73" spans="1:35" s="87" customFormat="1" ht="12.75" customHeight="1">
      <c r="A73" s="326"/>
      <c r="B73" s="313"/>
      <c r="C73" s="794" t="s">
        <v>32</v>
      </c>
      <c r="D73" s="326">
        <v>2891</v>
      </c>
      <c r="E73" s="806"/>
      <c r="F73" s="818">
        <v>8298</v>
      </c>
      <c r="G73" s="813"/>
      <c r="H73" s="808" t="s">
        <v>332</v>
      </c>
      <c r="I73" s="325"/>
      <c r="J73" s="808" t="s">
        <v>332</v>
      </c>
      <c r="K73" s="325"/>
      <c r="L73" s="326">
        <v>2891</v>
      </c>
      <c r="M73" s="326"/>
      <c r="N73" s="87">
        <v>8298</v>
      </c>
      <c r="O73" s="716"/>
      <c r="P73" s="326">
        <v>1658</v>
      </c>
      <c r="Q73" s="326"/>
      <c r="R73" s="326">
        <v>6626</v>
      </c>
      <c r="S73" s="326"/>
      <c r="T73" s="758" t="s">
        <v>332</v>
      </c>
      <c r="U73" s="815" t="s">
        <v>332</v>
      </c>
      <c r="V73" s="326">
        <v>1658</v>
      </c>
      <c r="W73" s="326"/>
      <c r="X73" s="326">
        <v>6626</v>
      </c>
      <c r="Y73" s="716"/>
      <c r="Z73" s="778">
        <v>31</v>
      </c>
      <c r="AA73" s="779"/>
      <c r="AB73" s="800">
        <v>23254</v>
      </c>
      <c r="AC73" s="869"/>
      <c r="AD73" s="326">
        <v>31583</v>
      </c>
      <c r="AE73" s="716"/>
      <c r="AF73" s="641"/>
      <c r="AG73" s="716" t="s">
        <v>81</v>
      </c>
      <c r="AH73" s="152"/>
    </row>
    <row r="74" spans="1:35" s="87" customFormat="1" ht="12.75" customHeight="1">
      <c r="A74" s="326"/>
      <c r="B74" s="772">
        <v>2026</v>
      </c>
      <c r="C74" s="819" t="s">
        <v>33</v>
      </c>
      <c r="D74" s="820">
        <v>2456</v>
      </c>
      <c r="E74" s="821"/>
      <c r="F74" s="822">
        <v>9657</v>
      </c>
      <c r="G74" s="823"/>
      <c r="H74" s="824" t="s">
        <v>332</v>
      </c>
      <c r="I74" s="685"/>
      <c r="J74" s="824" t="s">
        <v>332</v>
      </c>
      <c r="K74" s="685"/>
      <c r="L74" s="820">
        <v>2456</v>
      </c>
      <c r="M74" s="820"/>
      <c r="N74" s="605">
        <v>9657</v>
      </c>
      <c r="O74" s="825"/>
      <c r="P74" s="820">
        <v>2698</v>
      </c>
      <c r="Q74" s="820"/>
      <c r="R74" s="820">
        <v>12184</v>
      </c>
      <c r="S74" s="820"/>
      <c r="T74" s="875" t="s">
        <v>332</v>
      </c>
      <c r="U74" s="876" t="s">
        <v>332</v>
      </c>
      <c r="V74" s="820">
        <v>2698</v>
      </c>
      <c r="W74" s="820"/>
      <c r="X74" s="820">
        <v>12184</v>
      </c>
      <c r="Y74" s="825"/>
      <c r="Z74" s="892">
        <v>5</v>
      </c>
      <c r="AA74" s="892"/>
      <c r="AB74" s="901">
        <v>36017</v>
      </c>
      <c r="AC74" s="868"/>
      <c r="AD74" s="820">
        <v>45679</v>
      </c>
      <c r="AE74" s="825"/>
      <c r="AF74" s="725">
        <v>2026</v>
      </c>
      <c r="AG74" s="825" t="s">
        <v>33</v>
      </c>
      <c r="AH74" s="152"/>
    </row>
    <row r="75" spans="1:35" ht="15" customHeight="1">
      <c r="A75" s="695"/>
      <c r="B75" s="670" t="s">
        <v>341</v>
      </c>
      <c r="C75" s="345"/>
      <c r="D75" s="826"/>
      <c r="E75" s="826"/>
      <c r="F75" s="827"/>
      <c r="G75" s="827"/>
      <c r="H75" s="827"/>
      <c r="I75" s="827"/>
      <c r="J75" s="827"/>
      <c r="K75" s="827"/>
      <c r="L75" s="695"/>
      <c r="M75" s="695"/>
      <c r="N75" s="695"/>
      <c r="O75" s="695"/>
      <c r="P75" s="695"/>
      <c r="Q75" s="695"/>
      <c r="R75" s="695"/>
      <c r="S75" s="695"/>
      <c r="T75" s="695"/>
      <c r="U75" s="828"/>
      <c r="V75" s="695" t="s">
        <v>41</v>
      </c>
      <c r="W75" s="695"/>
      <c r="X75" s="695" t="s">
        <v>41</v>
      </c>
      <c r="Y75" s="695"/>
      <c r="Z75" s="695"/>
      <c r="AA75" s="695"/>
      <c r="AB75" s="695"/>
      <c r="AC75" s="695"/>
      <c r="AD75" s="695"/>
      <c r="AE75" s="695"/>
      <c r="AF75" s="694"/>
      <c r="AG75" s="695"/>
      <c r="AH75" s="129"/>
    </row>
    <row r="76" spans="1:35" ht="15" customHeight="1">
      <c r="A76" s="695"/>
      <c r="B76" s="670"/>
      <c r="C76" s="342" t="s">
        <v>337</v>
      </c>
      <c r="D76" s="826"/>
      <c r="E76" s="826"/>
      <c r="F76" s="827"/>
      <c r="G76" s="827"/>
      <c r="H76" s="827"/>
      <c r="I76" s="827"/>
      <c r="J76" s="827"/>
      <c r="K76" s="827"/>
      <c r="L76" s="695"/>
      <c r="M76" s="695"/>
      <c r="N76" s="695"/>
      <c r="O76" s="695"/>
      <c r="P76" s="695"/>
      <c r="Q76" s="695"/>
      <c r="R76" s="695"/>
      <c r="S76" s="695"/>
      <c r="T76" s="695"/>
      <c r="U76" s="828"/>
      <c r="V76" s="695"/>
      <c r="W76" s="695"/>
      <c r="X76" s="695"/>
      <c r="Y76" s="695"/>
      <c r="Z76" s="695"/>
      <c r="AA76" s="695"/>
      <c r="AB76" s="695"/>
      <c r="AC76" s="695"/>
      <c r="AD76" s="695"/>
      <c r="AE76" s="695"/>
      <c r="AF76" s="694"/>
      <c r="AG76" s="695"/>
      <c r="AH76" s="129"/>
    </row>
    <row r="77" spans="1:35" ht="12.75" customHeight="1">
      <c r="C77" s="1"/>
      <c r="D77" s="114"/>
      <c r="E77" s="114"/>
      <c r="F77" s="47"/>
      <c r="G77" s="47"/>
      <c r="H77" s="634" t="s">
        <v>323</v>
      </c>
      <c r="I77" s="47"/>
      <c r="J77" s="47"/>
      <c r="K77" s="47"/>
      <c r="L77" s="55" t="s">
        <v>41</v>
      </c>
      <c r="U77" s="84" t="s">
        <v>41</v>
      </c>
      <c r="V77" s="55" t="s">
        <v>41</v>
      </c>
      <c r="X77" s="55" t="s">
        <v>41</v>
      </c>
      <c r="AI77" s="129"/>
    </row>
    <row r="78" spans="1:35" ht="12.75" customHeight="1">
      <c r="A78" s="633"/>
      <c r="C78" s="51" t="s">
        <v>325</v>
      </c>
      <c r="D78" s="114"/>
      <c r="E78" s="114"/>
      <c r="F78" s="47"/>
      <c r="G78" s="47"/>
      <c r="H78" s="47"/>
      <c r="I78" s="47"/>
      <c r="J78" s="47"/>
      <c r="K78" s="47"/>
      <c r="L78" s="768"/>
      <c r="U78" s="84"/>
      <c r="AI78" s="129"/>
    </row>
    <row r="80" spans="1:35">
      <c r="P80" s="105"/>
    </row>
    <row r="81" spans="4:32" ht="13.2">
      <c r="D81" s="87"/>
      <c r="E81" s="87"/>
      <c r="X81" s="80"/>
      <c r="AF81" s="55"/>
    </row>
    <row r="82" spans="4:32" ht="13.2">
      <c r="D82" s="87"/>
      <c r="E82" s="87"/>
      <c r="X82" s="80"/>
      <c r="AF82" s="55"/>
    </row>
    <row r="83" spans="4:32" ht="13.2">
      <c r="D83" s="87"/>
      <c r="E83" s="87"/>
      <c r="X83" s="80"/>
      <c r="AF83" s="55"/>
    </row>
    <row r="84" spans="4:32" ht="13.2">
      <c r="D84" s="87"/>
      <c r="E84" s="87"/>
      <c r="X84" s="80"/>
      <c r="AF84" s="55"/>
    </row>
    <row r="85" spans="4:32" ht="13.2">
      <c r="D85" s="87"/>
      <c r="E85" s="87"/>
      <c r="X85" s="80"/>
      <c r="AF85" s="55"/>
    </row>
    <row r="86" spans="4:32" ht="13.2">
      <c r="D86" s="87"/>
      <c r="E86" s="87"/>
      <c r="X86" s="80"/>
      <c r="AF86" s="55"/>
    </row>
    <row r="87" spans="4:32" ht="13.2">
      <c r="D87" s="87"/>
      <c r="E87" s="87"/>
      <c r="X87" s="80"/>
      <c r="AF87" s="55"/>
    </row>
    <row r="88" spans="4:32">
      <c r="V88" s="124"/>
      <c r="X88" s="80"/>
      <c r="AF88" s="55"/>
    </row>
    <row r="89" spans="4:32">
      <c r="V89" s="124"/>
      <c r="X89" s="80"/>
      <c r="AF89" s="55"/>
    </row>
    <row r="90" spans="4:32">
      <c r="V90" s="124"/>
      <c r="X90" s="80"/>
      <c r="AF90" s="55"/>
    </row>
    <row r="179" spans="32:32">
      <c r="AF179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72" orientation="landscape" r:id="rId1"/>
  <headerFooter alignWithMargins="0">
    <oddHeader>&amp;LVanuatu Bureau of Statistics &amp;RInternational Visitors Arrival January 2026</oddHeader>
    <oddFooter>&amp;C&amp;"Times New Roman,Regular"&amp;8Page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Y80"/>
  <sheetViews>
    <sheetView showGridLines="0" topLeftCell="A13" zoomScaleNormal="100" workbookViewId="0">
      <selection activeCell="J81" sqref="J81"/>
    </sheetView>
  </sheetViews>
  <sheetFormatPr defaultColWidth="9.109375" defaultRowHeight="10.199999999999999"/>
  <cols>
    <col min="1" max="1" width="4.88671875" style="36" customWidth="1"/>
    <col min="2" max="2" width="8.44140625" style="36" customWidth="1"/>
    <col min="3" max="3" width="7.44140625" style="36" customWidth="1"/>
    <col min="4" max="4" width="14.33203125" style="36" customWidth="1"/>
    <col min="5" max="5" width="2.109375" style="36" customWidth="1"/>
    <col min="6" max="6" width="17" style="36" customWidth="1"/>
    <col min="7" max="7" width="2.5546875" style="36" customWidth="1"/>
    <col min="8" max="8" width="17" style="36" customWidth="1"/>
    <col min="9" max="9" width="2.5546875" style="36" customWidth="1"/>
    <col min="10" max="10" width="13.44140625" style="36" customWidth="1"/>
    <col min="11" max="11" width="2.5546875" style="36" customWidth="1"/>
    <col min="12" max="12" width="14.88671875" style="64" customWidth="1"/>
    <col min="13" max="14" width="14.88671875" style="36" hidden="1" customWidth="1"/>
    <col min="15" max="15" width="14.88671875" style="36" customWidth="1"/>
    <col min="16" max="16" width="2.109375" style="36" customWidth="1"/>
    <col min="17" max="17" width="11.88671875" style="36" hidden="1" customWidth="1"/>
    <col min="18" max="18" width="5.44140625" style="36" hidden="1" customWidth="1"/>
    <col min="19" max="19" width="8.44140625" style="36" hidden="1" customWidth="1"/>
    <col min="20" max="20" width="0.44140625" style="36" hidden="1" customWidth="1"/>
    <col min="21" max="21" width="9.109375" style="69" customWidth="1"/>
    <col min="22" max="22" width="8.6640625" style="36" customWidth="1"/>
    <col min="23" max="24" width="7.33203125" style="36" customWidth="1"/>
    <col min="25" max="16384" width="9.109375" style="36"/>
  </cols>
  <sheetData>
    <row r="1" spans="1:51" s="54" customFormat="1" ht="15" customHeight="1">
      <c r="A1" s="832"/>
      <c r="B1" s="833" t="s">
        <v>194</v>
      </c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4"/>
      <c r="V1" s="832"/>
      <c r="W1" s="832"/>
      <c r="X1" s="832"/>
    </row>
    <row r="2" spans="1:51" s="54" customFormat="1" ht="15" customHeight="1">
      <c r="A2" s="832"/>
      <c r="B2" s="833" t="s">
        <v>130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4"/>
      <c r="V2" s="832"/>
      <c r="W2" s="832"/>
      <c r="X2" s="832"/>
    </row>
    <row r="3" spans="1:51" ht="8.25" customHeight="1">
      <c r="A3" s="835"/>
      <c r="B3" s="835"/>
      <c r="C3" s="835"/>
      <c r="D3" s="835"/>
      <c r="E3" s="835"/>
      <c r="F3" s="835"/>
      <c r="G3" s="835"/>
      <c r="H3" s="835"/>
      <c r="I3" s="835"/>
      <c r="J3" s="835"/>
      <c r="K3" s="835"/>
      <c r="L3" s="836"/>
      <c r="M3" s="835"/>
      <c r="N3" s="835"/>
      <c r="O3" s="835"/>
      <c r="P3" s="837"/>
      <c r="Q3" s="837"/>
      <c r="R3" s="837"/>
      <c r="S3" s="837"/>
      <c r="T3" s="837"/>
      <c r="U3" s="838"/>
      <c r="V3" s="835"/>
      <c r="W3" s="835"/>
      <c r="X3" s="835"/>
    </row>
    <row r="4" spans="1:51" s="12" customFormat="1" ht="12" customHeight="1">
      <c r="A4" s="325"/>
      <c r="B4" s="925" t="s">
        <v>73</v>
      </c>
      <c r="C4" s="928" t="s">
        <v>115</v>
      </c>
      <c r="D4" s="916" t="s">
        <v>139</v>
      </c>
      <c r="E4" s="917"/>
      <c r="F4" s="917"/>
      <c r="G4" s="917"/>
      <c r="H4" s="917"/>
      <c r="I4" s="917"/>
      <c r="J4" s="917"/>
      <c r="K4" s="917"/>
      <c r="L4" s="917"/>
      <c r="M4" s="917"/>
      <c r="N4" s="917"/>
      <c r="O4" s="917"/>
      <c r="P4" s="918"/>
      <c r="Q4" s="931" t="s">
        <v>95</v>
      </c>
      <c r="R4" s="931"/>
      <c r="S4" s="931"/>
      <c r="T4" s="931"/>
      <c r="U4" s="925" t="s">
        <v>74</v>
      </c>
      <c r="V4" s="922" t="s">
        <v>116</v>
      </c>
      <c r="W4" s="786"/>
      <c r="X4" s="786"/>
    </row>
    <row r="5" spans="1:51" s="12" customFormat="1" ht="10.5" customHeight="1">
      <c r="A5" s="325"/>
      <c r="B5" s="926"/>
      <c r="C5" s="929"/>
      <c r="D5" s="919"/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1"/>
      <c r="Q5" s="932" t="s">
        <v>96</v>
      </c>
      <c r="R5" s="932"/>
      <c r="S5" s="932"/>
      <c r="T5" s="641"/>
      <c r="U5" s="926"/>
      <c r="V5" s="923"/>
      <c r="W5" s="786"/>
      <c r="X5" s="786"/>
    </row>
    <row r="6" spans="1:51" s="12" customFormat="1" ht="17.25" customHeight="1">
      <c r="A6" s="325"/>
      <c r="B6" s="926"/>
      <c r="C6" s="929"/>
      <c r="D6" s="933" t="s">
        <v>18</v>
      </c>
      <c r="E6" s="641"/>
      <c r="F6" s="934" t="s">
        <v>180</v>
      </c>
      <c r="G6" s="842"/>
      <c r="H6" s="934" t="s">
        <v>181</v>
      </c>
      <c r="I6" s="842"/>
      <c r="J6" s="934" t="s">
        <v>182</v>
      </c>
      <c r="K6" s="842"/>
      <c r="L6" s="934" t="s">
        <v>183</v>
      </c>
      <c r="M6" s="818" t="s">
        <v>69</v>
      </c>
      <c r="N6" s="818"/>
      <c r="O6" s="818" t="s">
        <v>19</v>
      </c>
      <c r="P6" s="843"/>
      <c r="Q6" s="818" t="s">
        <v>17</v>
      </c>
      <c r="R6" s="818"/>
      <c r="S6" s="818" t="s">
        <v>12</v>
      </c>
      <c r="T6" s="641"/>
      <c r="U6" s="926"/>
      <c r="V6" s="923"/>
      <c r="W6" s="786"/>
      <c r="X6" s="786"/>
    </row>
    <row r="7" spans="1:51" s="12" customFormat="1" ht="11.25" customHeight="1">
      <c r="A7" s="325"/>
      <c r="B7" s="926"/>
      <c r="C7" s="929"/>
      <c r="D7" s="933"/>
      <c r="E7" s="641"/>
      <c r="F7" s="934"/>
      <c r="G7" s="842"/>
      <c r="H7" s="934"/>
      <c r="I7" s="842"/>
      <c r="J7" s="934"/>
      <c r="K7" s="842"/>
      <c r="L7" s="934"/>
      <c r="M7" s="818" t="s">
        <v>16</v>
      </c>
      <c r="N7" s="818"/>
      <c r="O7" s="818" t="s">
        <v>6</v>
      </c>
      <c r="P7" s="843"/>
      <c r="Q7" s="818"/>
      <c r="R7" s="818"/>
      <c r="S7" s="818"/>
      <c r="T7" s="325"/>
      <c r="U7" s="926"/>
      <c r="V7" s="923"/>
      <c r="W7" s="786"/>
      <c r="X7" s="786"/>
    </row>
    <row r="8" spans="1:51" s="12" customFormat="1" ht="18" customHeight="1">
      <c r="A8" s="325"/>
      <c r="B8" s="926"/>
      <c r="C8" s="929"/>
      <c r="D8" s="840" t="s">
        <v>97</v>
      </c>
      <c r="E8" s="818"/>
      <c r="F8" s="934" t="s">
        <v>187</v>
      </c>
      <c r="G8" s="842"/>
      <c r="H8" s="934" t="s">
        <v>186</v>
      </c>
      <c r="I8" s="842"/>
      <c r="J8" s="818" t="s">
        <v>110</v>
      </c>
      <c r="K8" s="818"/>
      <c r="L8" s="934" t="s">
        <v>184</v>
      </c>
      <c r="M8" s="818" t="s">
        <v>111</v>
      </c>
      <c r="N8" s="818"/>
      <c r="O8" s="936" t="s">
        <v>185</v>
      </c>
      <c r="P8" s="844"/>
      <c r="Q8" s="818" t="s">
        <v>112</v>
      </c>
      <c r="R8" s="818"/>
      <c r="S8" s="818" t="s">
        <v>91</v>
      </c>
      <c r="T8" s="325"/>
      <c r="U8" s="926"/>
      <c r="V8" s="923"/>
      <c r="W8" s="786"/>
      <c r="X8" s="786"/>
    </row>
    <row r="9" spans="1:51" s="12" customFormat="1" ht="14.25" customHeight="1">
      <c r="A9" s="325"/>
      <c r="B9" s="927"/>
      <c r="C9" s="930"/>
      <c r="D9" s="845"/>
      <c r="E9" s="822"/>
      <c r="F9" s="935"/>
      <c r="G9" s="856"/>
      <c r="H9" s="935"/>
      <c r="I9" s="856"/>
      <c r="J9" s="846"/>
      <c r="K9" s="846"/>
      <c r="L9" s="935"/>
      <c r="M9" s="846" t="s">
        <v>94</v>
      </c>
      <c r="N9" s="846"/>
      <c r="O9" s="937"/>
      <c r="P9" s="848"/>
      <c r="Q9" s="822"/>
      <c r="R9" s="822"/>
      <c r="S9" s="822"/>
      <c r="T9" s="685"/>
      <c r="U9" s="927"/>
      <c r="V9" s="924"/>
      <c r="W9" s="786"/>
      <c r="X9" s="786"/>
    </row>
    <row r="10" spans="1:51" s="12" customFormat="1" ht="12.75" customHeight="1">
      <c r="A10" s="325"/>
      <c r="B10" s="313">
        <v>2021</v>
      </c>
      <c r="C10" s="325"/>
      <c r="D10" s="851">
        <v>0</v>
      </c>
      <c r="E10" s="849"/>
      <c r="F10" s="849">
        <v>0</v>
      </c>
      <c r="G10" s="849"/>
      <c r="H10" s="849">
        <v>0</v>
      </c>
      <c r="I10" s="849"/>
      <c r="J10" s="849">
        <v>0</v>
      </c>
      <c r="K10" s="849"/>
      <c r="L10" s="849">
        <v>0</v>
      </c>
      <c r="M10" s="849">
        <v>0</v>
      </c>
      <c r="N10" s="851">
        <v>0</v>
      </c>
      <c r="O10" s="849">
        <v>0</v>
      </c>
      <c r="P10" s="850"/>
      <c r="Q10" s="282"/>
      <c r="R10" s="282"/>
      <c r="S10" s="282"/>
      <c r="T10" s="282"/>
      <c r="U10" s="313">
        <v>2021</v>
      </c>
      <c r="V10" s="315"/>
      <c r="W10" s="786"/>
      <c r="X10" s="786"/>
    </row>
    <row r="11" spans="1:51" s="12" customFormat="1" ht="12.75" customHeight="1">
      <c r="A11" s="325"/>
      <c r="B11" s="313">
        <v>2022</v>
      </c>
      <c r="C11" s="325"/>
      <c r="D11" s="851">
        <v>23859</v>
      </c>
      <c r="E11" s="849"/>
      <c r="F11" s="849">
        <v>3202</v>
      </c>
      <c r="G11" s="849"/>
      <c r="H11" s="849">
        <v>1757</v>
      </c>
      <c r="I11" s="849"/>
      <c r="J11" s="849">
        <v>204</v>
      </c>
      <c r="K11" s="849"/>
      <c r="L11" s="849">
        <v>1352</v>
      </c>
      <c r="M11" s="849">
        <v>0</v>
      </c>
      <c r="N11" s="851">
        <v>0</v>
      </c>
      <c r="O11" s="849">
        <v>30374</v>
      </c>
      <c r="P11" s="850"/>
      <c r="Q11" s="282"/>
      <c r="R11" s="282"/>
      <c r="S11" s="282"/>
      <c r="T11" s="282"/>
      <c r="U11" s="313">
        <v>2022</v>
      </c>
      <c r="V11" s="315"/>
      <c r="W11" s="786"/>
      <c r="X11" s="786"/>
    </row>
    <row r="12" spans="1:51" s="12" customFormat="1" ht="12.75" customHeight="1">
      <c r="A12" s="325"/>
      <c r="B12" s="313">
        <v>2023</v>
      </c>
      <c r="C12" s="325"/>
      <c r="D12" s="851">
        <v>66478</v>
      </c>
      <c r="E12" s="849">
        <v>0</v>
      </c>
      <c r="F12" s="849">
        <v>3870</v>
      </c>
      <c r="G12" s="849"/>
      <c r="H12" s="849">
        <v>2705</v>
      </c>
      <c r="I12" s="849"/>
      <c r="J12" s="849">
        <v>742</v>
      </c>
      <c r="K12" s="849"/>
      <c r="L12" s="849">
        <v>3204</v>
      </c>
      <c r="M12" s="849">
        <v>0</v>
      </c>
      <c r="N12" s="851">
        <v>0</v>
      </c>
      <c r="O12" s="849">
        <v>76999</v>
      </c>
      <c r="P12" s="850"/>
      <c r="Q12" s="282"/>
      <c r="R12" s="282"/>
      <c r="S12" s="282"/>
      <c r="T12" s="282"/>
      <c r="U12" s="313">
        <v>2023</v>
      </c>
      <c r="V12" s="315"/>
      <c r="W12" s="786"/>
      <c r="X12" s="786"/>
    </row>
    <row r="13" spans="1:51" s="12" customFormat="1" ht="12.75" customHeight="1">
      <c r="A13" s="325"/>
      <c r="B13" s="313">
        <v>2024</v>
      </c>
      <c r="C13" s="325"/>
      <c r="D13" s="851">
        <v>43431</v>
      </c>
      <c r="E13" s="849">
        <v>0</v>
      </c>
      <c r="F13" s="849">
        <v>4791</v>
      </c>
      <c r="G13" s="849"/>
      <c r="H13" s="849">
        <v>4180</v>
      </c>
      <c r="I13" s="849"/>
      <c r="J13" s="849">
        <v>500</v>
      </c>
      <c r="K13" s="849"/>
      <c r="L13" s="849">
        <v>6176</v>
      </c>
      <c r="M13" s="849">
        <v>0</v>
      </c>
      <c r="N13" s="851">
        <v>0</v>
      </c>
      <c r="O13" s="849">
        <v>59078</v>
      </c>
      <c r="P13" s="850"/>
      <c r="Q13" s="282"/>
      <c r="R13" s="282"/>
      <c r="S13" s="282"/>
      <c r="T13" s="282"/>
      <c r="U13" s="313">
        <v>2024</v>
      </c>
      <c r="V13" s="315"/>
      <c r="W13" s="786"/>
      <c r="X13" s="786"/>
    </row>
    <row r="14" spans="1:51" s="12" customFormat="1" ht="12.75" customHeight="1">
      <c r="A14" s="325"/>
      <c r="B14" s="313">
        <v>2025</v>
      </c>
      <c r="C14" s="325"/>
      <c r="D14" s="851">
        <v>74631</v>
      </c>
      <c r="E14" s="849">
        <v>0</v>
      </c>
      <c r="F14" s="849">
        <v>6094</v>
      </c>
      <c r="G14" s="849"/>
      <c r="H14" s="849">
        <v>4898</v>
      </c>
      <c r="I14" s="849"/>
      <c r="J14" s="849">
        <v>808</v>
      </c>
      <c r="K14" s="849"/>
      <c r="L14" s="849">
        <v>9488</v>
      </c>
      <c r="M14" s="849">
        <v>0</v>
      </c>
      <c r="N14" s="849">
        <v>0</v>
      </c>
      <c r="O14" s="849">
        <v>95919</v>
      </c>
      <c r="P14" s="850"/>
      <c r="Q14" s="282"/>
      <c r="R14" s="282"/>
      <c r="S14" s="282"/>
      <c r="T14" s="282"/>
      <c r="U14" s="313">
        <v>2025</v>
      </c>
      <c r="V14" s="315"/>
      <c r="W14" s="786"/>
      <c r="X14" s="786"/>
    </row>
    <row r="15" spans="1:51" s="12" customFormat="1" ht="12.75" customHeight="1">
      <c r="A15" s="325"/>
      <c r="B15" s="755"/>
      <c r="C15" s="786"/>
      <c r="D15" s="840"/>
      <c r="E15" s="818"/>
      <c r="F15" s="841"/>
      <c r="G15" s="842"/>
      <c r="H15" s="841"/>
      <c r="I15" s="842"/>
      <c r="J15" s="847"/>
      <c r="K15" s="847"/>
      <c r="L15" s="841"/>
      <c r="M15" s="847"/>
      <c r="N15" s="847"/>
      <c r="O15" s="842"/>
      <c r="P15" s="844"/>
      <c r="Q15" s="818"/>
      <c r="R15" s="818"/>
      <c r="S15" s="818"/>
      <c r="T15" s="325"/>
      <c r="U15" s="755"/>
      <c r="V15" s="839"/>
      <c r="W15" s="786"/>
      <c r="X15" s="786"/>
    </row>
    <row r="16" spans="1:51" s="53" customFormat="1" ht="12.75" customHeight="1">
      <c r="A16" s="852"/>
      <c r="B16" s="313">
        <v>2021</v>
      </c>
      <c r="C16" s="853" t="s">
        <v>228</v>
      </c>
      <c r="D16" s="726">
        <v>0</v>
      </c>
      <c r="E16" s="722"/>
      <c r="F16" s="722">
        <v>0</v>
      </c>
      <c r="G16" s="722"/>
      <c r="H16" s="722">
        <v>0</v>
      </c>
      <c r="I16" s="722"/>
      <c r="J16" s="722">
        <v>0</v>
      </c>
      <c r="K16" s="722"/>
      <c r="L16" s="722">
        <v>0</v>
      </c>
      <c r="M16" s="723"/>
      <c r="N16" s="723"/>
      <c r="O16" s="722">
        <v>0</v>
      </c>
      <c r="P16" s="787"/>
      <c r="Q16" s="725"/>
      <c r="R16" s="725"/>
      <c r="S16" s="725"/>
      <c r="T16" s="725"/>
      <c r="U16" s="313">
        <v>2021</v>
      </c>
      <c r="V16" s="315" t="s">
        <v>228</v>
      </c>
      <c r="W16" s="325"/>
      <c r="X16" s="325"/>
      <c r="Y16" s="12"/>
      <c r="AX16" s="508"/>
      <c r="AY16" s="508"/>
    </row>
    <row r="17" spans="1:51" s="53" customFormat="1" ht="12.75" hidden="1" customHeight="1">
      <c r="A17" s="852"/>
      <c r="B17" s="313">
        <v>2021</v>
      </c>
      <c r="C17" s="853" t="s">
        <v>34</v>
      </c>
      <c r="D17" s="726">
        <v>0</v>
      </c>
      <c r="E17" s="722"/>
      <c r="F17" s="722">
        <v>0</v>
      </c>
      <c r="G17" s="722"/>
      <c r="H17" s="722">
        <v>0</v>
      </c>
      <c r="I17" s="722"/>
      <c r="J17" s="722">
        <v>0</v>
      </c>
      <c r="K17" s="722"/>
      <c r="L17" s="722">
        <v>0</v>
      </c>
      <c r="M17" s="723"/>
      <c r="N17" s="723"/>
      <c r="O17" s="722">
        <v>0</v>
      </c>
      <c r="P17" s="787"/>
      <c r="Q17" s="725"/>
      <c r="R17" s="725"/>
      <c r="S17" s="725"/>
      <c r="T17" s="725"/>
      <c r="U17" s="313">
        <v>2021</v>
      </c>
      <c r="V17" s="315" t="s">
        <v>34</v>
      </c>
      <c r="W17" s="325"/>
      <c r="X17" s="325"/>
      <c r="Y17" s="12"/>
      <c r="AX17" s="508"/>
      <c r="AY17" s="508"/>
    </row>
    <row r="18" spans="1:51" s="53" customFormat="1" ht="12.75" hidden="1" customHeight="1">
      <c r="A18" s="852"/>
      <c r="B18" s="313">
        <v>2021</v>
      </c>
      <c r="C18" s="853" t="s">
        <v>29</v>
      </c>
      <c r="D18" s="726">
        <v>0</v>
      </c>
      <c r="E18" s="722"/>
      <c r="F18" s="722">
        <v>0</v>
      </c>
      <c r="G18" s="722"/>
      <c r="H18" s="722">
        <v>0</v>
      </c>
      <c r="I18" s="722"/>
      <c r="J18" s="722">
        <v>0</v>
      </c>
      <c r="K18" s="722"/>
      <c r="L18" s="722">
        <v>0</v>
      </c>
      <c r="M18" s="723"/>
      <c r="N18" s="723"/>
      <c r="O18" s="722">
        <v>0</v>
      </c>
      <c r="P18" s="787"/>
      <c r="Q18" s="725"/>
      <c r="R18" s="725"/>
      <c r="S18" s="725"/>
      <c r="T18" s="725"/>
      <c r="U18" s="313">
        <v>2021</v>
      </c>
      <c r="V18" s="315" t="s">
        <v>65</v>
      </c>
      <c r="W18" s="325"/>
      <c r="X18" s="325"/>
      <c r="Y18" s="12"/>
      <c r="AX18" s="508"/>
      <c r="AY18" s="508"/>
    </row>
    <row r="19" spans="1:51" s="53" customFormat="1" ht="12.75" hidden="1" customHeight="1">
      <c r="A19" s="852"/>
      <c r="B19" s="313">
        <v>2021</v>
      </c>
      <c r="C19" s="853" t="s">
        <v>316</v>
      </c>
      <c r="D19" s="726">
        <v>0</v>
      </c>
      <c r="E19" s="722"/>
      <c r="F19" s="722">
        <v>0</v>
      </c>
      <c r="G19" s="722"/>
      <c r="H19" s="722">
        <v>0</v>
      </c>
      <c r="I19" s="722"/>
      <c r="J19" s="722">
        <v>0</v>
      </c>
      <c r="K19" s="722"/>
      <c r="L19" s="722">
        <v>0</v>
      </c>
      <c r="M19" s="723"/>
      <c r="N19" s="723"/>
      <c r="O19" s="722">
        <v>0</v>
      </c>
      <c r="P19" s="787"/>
      <c r="Q19" s="725"/>
      <c r="R19" s="725"/>
      <c r="S19" s="725"/>
      <c r="T19" s="725"/>
      <c r="U19" s="313">
        <v>2021</v>
      </c>
      <c r="V19" s="315" t="s">
        <v>318</v>
      </c>
      <c r="W19" s="325"/>
      <c r="X19" s="325"/>
      <c r="Y19" s="12"/>
      <c r="AX19" s="508"/>
      <c r="AY19" s="508"/>
    </row>
    <row r="20" spans="1:51" s="53" customFormat="1" ht="12.75" hidden="1" customHeight="1">
      <c r="A20" s="852"/>
      <c r="B20" s="313">
        <v>2021</v>
      </c>
      <c r="C20" s="853" t="s">
        <v>231</v>
      </c>
      <c r="D20" s="726">
        <v>0</v>
      </c>
      <c r="E20" s="722"/>
      <c r="F20" s="722">
        <v>0</v>
      </c>
      <c r="G20" s="722"/>
      <c r="H20" s="722">
        <v>0</v>
      </c>
      <c r="I20" s="722"/>
      <c r="J20" s="722">
        <v>0</v>
      </c>
      <c r="K20" s="722"/>
      <c r="L20" s="722">
        <v>0</v>
      </c>
      <c r="M20" s="723"/>
      <c r="N20" s="723"/>
      <c r="O20" s="722">
        <v>0</v>
      </c>
      <c r="P20" s="787"/>
      <c r="Q20" s="725"/>
      <c r="R20" s="725"/>
      <c r="S20" s="725"/>
      <c r="T20" s="725"/>
      <c r="U20" s="313">
        <v>2021</v>
      </c>
      <c r="V20" s="315" t="s">
        <v>319</v>
      </c>
      <c r="W20" s="325"/>
      <c r="X20" s="325"/>
      <c r="Y20" s="12"/>
      <c r="AX20" s="508"/>
      <c r="AY20" s="508"/>
    </row>
    <row r="21" spans="1:51" s="53" customFormat="1" ht="12.75" hidden="1" customHeight="1">
      <c r="A21" s="852"/>
      <c r="B21" s="313">
        <v>2021</v>
      </c>
      <c r="C21" s="853" t="s">
        <v>317</v>
      </c>
      <c r="D21" s="726">
        <v>0</v>
      </c>
      <c r="E21" s="722"/>
      <c r="F21" s="722">
        <v>0</v>
      </c>
      <c r="G21" s="722"/>
      <c r="H21" s="722">
        <v>0</v>
      </c>
      <c r="I21" s="722"/>
      <c r="J21" s="722">
        <v>0</v>
      </c>
      <c r="K21" s="722"/>
      <c r="L21" s="722">
        <v>0</v>
      </c>
      <c r="M21" s="723"/>
      <c r="N21" s="723"/>
      <c r="O21" s="722">
        <v>0</v>
      </c>
      <c r="P21" s="787"/>
      <c r="Q21" s="725"/>
      <c r="R21" s="725"/>
      <c r="S21" s="725"/>
      <c r="T21" s="725"/>
      <c r="U21" s="313">
        <v>2021</v>
      </c>
      <c r="V21" s="315" t="s">
        <v>320</v>
      </c>
      <c r="W21" s="325"/>
      <c r="X21" s="325"/>
      <c r="Y21" s="12"/>
      <c r="AX21" s="508"/>
      <c r="AY21" s="508"/>
    </row>
    <row r="22" spans="1:51" s="53" customFormat="1" ht="12.75" hidden="1" customHeight="1">
      <c r="A22" s="852"/>
      <c r="B22" s="313">
        <v>2021</v>
      </c>
      <c r="C22" s="853" t="s">
        <v>36</v>
      </c>
      <c r="D22" s="726">
        <v>0</v>
      </c>
      <c r="E22" s="722"/>
      <c r="F22" s="722">
        <v>0</v>
      </c>
      <c r="G22" s="722"/>
      <c r="H22" s="722">
        <v>0</v>
      </c>
      <c r="I22" s="722"/>
      <c r="J22" s="722">
        <v>0</v>
      </c>
      <c r="K22" s="722"/>
      <c r="L22" s="722">
        <v>0</v>
      </c>
      <c r="M22" s="723"/>
      <c r="N22" s="723"/>
      <c r="O22" s="722">
        <v>0</v>
      </c>
      <c r="P22" s="787"/>
      <c r="Q22" s="725"/>
      <c r="R22" s="725"/>
      <c r="S22" s="725"/>
      <c r="T22" s="725"/>
      <c r="U22" s="313">
        <v>2021</v>
      </c>
      <c r="V22" s="315" t="s">
        <v>232</v>
      </c>
      <c r="W22" s="325"/>
      <c r="X22" s="325"/>
      <c r="Y22" s="12"/>
      <c r="AX22" s="508"/>
      <c r="AY22" s="508"/>
    </row>
    <row r="23" spans="1:51" s="53" customFormat="1" ht="12.75" hidden="1" customHeight="1">
      <c r="A23" s="852"/>
      <c r="B23" s="313">
        <v>2021</v>
      </c>
      <c r="C23" s="853" t="s">
        <v>37</v>
      </c>
      <c r="D23" s="726">
        <v>0</v>
      </c>
      <c r="E23" s="722"/>
      <c r="F23" s="722">
        <v>0</v>
      </c>
      <c r="G23" s="722"/>
      <c r="H23" s="722">
        <v>0</v>
      </c>
      <c r="I23" s="722"/>
      <c r="J23" s="722">
        <v>0</v>
      </c>
      <c r="K23" s="722"/>
      <c r="L23" s="722">
        <v>0</v>
      </c>
      <c r="M23" s="723"/>
      <c r="N23" s="723"/>
      <c r="O23" s="722">
        <v>0</v>
      </c>
      <c r="P23" s="787"/>
      <c r="Q23" s="725"/>
      <c r="R23" s="725"/>
      <c r="S23" s="725"/>
      <c r="T23" s="725"/>
      <c r="U23" s="313">
        <v>2021</v>
      </c>
      <c r="V23" s="315" t="s">
        <v>321</v>
      </c>
      <c r="W23" s="325"/>
      <c r="X23" s="325"/>
      <c r="Y23" s="12"/>
      <c r="AX23" s="508"/>
      <c r="AY23" s="508"/>
    </row>
    <row r="24" spans="1:51" s="53" customFormat="1" ht="12.75" hidden="1" customHeight="1">
      <c r="A24" s="852"/>
      <c r="B24" s="313">
        <v>2021</v>
      </c>
      <c r="C24" s="853" t="s">
        <v>312</v>
      </c>
      <c r="D24" s="726">
        <v>0</v>
      </c>
      <c r="E24" s="722"/>
      <c r="F24" s="722">
        <v>0</v>
      </c>
      <c r="G24" s="722"/>
      <c r="H24" s="722">
        <v>0</v>
      </c>
      <c r="I24" s="722"/>
      <c r="J24" s="722">
        <v>0</v>
      </c>
      <c r="K24" s="722"/>
      <c r="L24" s="722">
        <v>0</v>
      </c>
      <c r="M24" s="722"/>
      <c r="N24" s="722"/>
      <c r="O24" s="722">
        <v>0</v>
      </c>
      <c r="P24" s="787"/>
      <c r="Q24" s="641"/>
      <c r="R24" s="641"/>
      <c r="S24" s="641"/>
      <c r="T24" s="641"/>
      <c r="U24" s="313">
        <v>2021</v>
      </c>
      <c r="V24" s="315" t="s">
        <v>312</v>
      </c>
      <c r="W24" s="325"/>
      <c r="X24" s="325"/>
      <c r="Y24" s="12"/>
      <c r="AX24" s="508"/>
      <c r="AY24" s="508"/>
    </row>
    <row r="25" spans="1:51" s="53" customFormat="1" ht="12.75" hidden="1" customHeight="1">
      <c r="A25" s="852"/>
      <c r="B25" s="313">
        <v>2021</v>
      </c>
      <c r="C25" s="771" t="s">
        <v>50</v>
      </c>
      <c r="D25" s="726">
        <v>0</v>
      </c>
      <c r="E25" s="722"/>
      <c r="F25" s="722">
        <v>0</v>
      </c>
      <c r="G25" s="722"/>
      <c r="H25" s="722">
        <v>0</v>
      </c>
      <c r="I25" s="722"/>
      <c r="J25" s="722">
        <v>0</v>
      </c>
      <c r="K25" s="722"/>
      <c r="L25" s="722">
        <v>0</v>
      </c>
      <c r="M25" s="722"/>
      <c r="N25" s="722"/>
      <c r="O25" s="722">
        <v>0</v>
      </c>
      <c r="P25" s="787"/>
      <c r="Q25" s="641"/>
      <c r="R25" s="641"/>
      <c r="S25" s="641"/>
      <c r="T25" s="641"/>
      <c r="U25" s="313">
        <v>2021</v>
      </c>
      <c r="V25" s="315" t="s">
        <v>50</v>
      </c>
      <c r="W25" s="325"/>
      <c r="X25" s="325"/>
      <c r="Y25" s="12"/>
      <c r="AX25" s="508"/>
      <c r="AY25" s="508"/>
    </row>
    <row r="26" spans="1:51" s="53" customFormat="1" ht="12.75" hidden="1" customHeight="1">
      <c r="A26" s="852"/>
      <c r="B26" s="313">
        <v>2021</v>
      </c>
      <c r="C26" s="853" t="s">
        <v>313</v>
      </c>
      <c r="D26" s="726">
        <v>0</v>
      </c>
      <c r="E26" s="722"/>
      <c r="F26" s="722">
        <v>0</v>
      </c>
      <c r="G26" s="722"/>
      <c r="H26" s="722">
        <v>0</v>
      </c>
      <c r="I26" s="722"/>
      <c r="J26" s="722">
        <v>0</v>
      </c>
      <c r="K26" s="722"/>
      <c r="L26" s="722">
        <v>0</v>
      </c>
      <c r="M26" s="722"/>
      <c r="N26" s="722"/>
      <c r="O26" s="722">
        <v>0</v>
      </c>
      <c r="P26" s="785"/>
      <c r="Q26" s="641"/>
      <c r="R26" s="641"/>
      <c r="S26" s="641"/>
      <c r="T26" s="641"/>
      <c r="U26" s="313">
        <v>2021</v>
      </c>
      <c r="V26" s="315" t="s">
        <v>313</v>
      </c>
      <c r="W26" s="325"/>
      <c r="X26" s="325"/>
      <c r="Y26" s="12"/>
      <c r="AX26" s="508"/>
      <c r="AY26" s="508"/>
    </row>
    <row r="27" spans="1:51" s="53" customFormat="1" ht="12.75" hidden="1" customHeight="1">
      <c r="A27" s="852"/>
      <c r="B27" s="313">
        <v>2021</v>
      </c>
      <c r="C27" s="853" t="s">
        <v>314</v>
      </c>
      <c r="D27" s="726">
        <v>0</v>
      </c>
      <c r="E27" s="722"/>
      <c r="F27" s="722">
        <v>0</v>
      </c>
      <c r="G27" s="722"/>
      <c r="H27" s="722">
        <v>0</v>
      </c>
      <c r="I27" s="722"/>
      <c r="J27" s="722">
        <v>0</v>
      </c>
      <c r="K27" s="722"/>
      <c r="L27" s="722">
        <v>0</v>
      </c>
      <c r="M27" s="722"/>
      <c r="N27" s="722"/>
      <c r="O27" s="722">
        <v>0</v>
      </c>
      <c r="P27" s="785"/>
      <c r="Q27" s="641"/>
      <c r="R27" s="641"/>
      <c r="S27" s="641"/>
      <c r="T27" s="641"/>
      <c r="U27" s="313">
        <v>2021</v>
      </c>
      <c r="V27" s="315" t="s">
        <v>327</v>
      </c>
      <c r="W27" s="325"/>
      <c r="X27" s="325"/>
      <c r="Y27" s="12"/>
      <c r="AX27" s="508"/>
      <c r="AY27" s="508"/>
    </row>
    <row r="28" spans="1:51" s="53" customFormat="1" ht="12.75" customHeight="1">
      <c r="A28" s="852"/>
      <c r="B28" s="313">
        <v>2022</v>
      </c>
      <c r="C28" s="771" t="s">
        <v>228</v>
      </c>
      <c r="D28" s="722">
        <v>0</v>
      </c>
      <c r="E28" s="722"/>
      <c r="F28" s="722">
        <v>0</v>
      </c>
      <c r="G28" s="722"/>
      <c r="H28" s="722">
        <v>0</v>
      </c>
      <c r="I28" s="722"/>
      <c r="J28" s="722">
        <v>0</v>
      </c>
      <c r="K28" s="722"/>
      <c r="L28" s="722">
        <v>0</v>
      </c>
      <c r="M28" s="722"/>
      <c r="N28" s="722"/>
      <c r="O28" s="722">
        <v>0</v>
      </c>
      <c r="P28" s="787"/>
      <c r="Q28" s="641"/>
      <c r="R28" s="641"/>
      <c r="S28" s="641"/>
      <c r="T28" s="641"/>
      <c r="U28" s="313">
        <v>2022</v>
      </c>
      <c r="V28" s="315" t="s">
        <v>328</v>
      </c>
      <c r="W28" s="325"/>
      <c r="X28" s="325"/>
      <c r="Y28" s="12"/>
      <c r="AX28" s="508"/>
      <c r="AY28" s="508"/>
    </row>
    <row r="29" spans="1:51" s="53" customFormat="1" ht="12.75" hidden="1" customHeight="1">
      <c r="A29" s="852"/>
      <c r="B29" s="313">
        <v>2022</v>
      </c>
      <c r="C29" s="853" t="s">
        <v>329</v>
      </c>
      <c r="D29" s="726">
        <v>0</v>
      </c>
      <c r="E29" s="722"/>
      <c r="F29" s="722">
        <v>0</v>
      </c>
      <c r="G29" s="722"/>
      <c r="H29" s="722">
        <v>0</v>
      </c>
      <c r="I29" s="722"/>
      <c r="J29" s="722">
        <v>0</v>
      </c>
      <c r="K29" s="722"/>
      <c r="L29" s="722">
        <v>0</v>
      </c>
      <c r="M29" s="722"/>
      <c r="N29" s="722"/>
      <c r="O29" s="722">
        <v>0</v>
      </c>
      <c r="P29" s="785"/>
      <c r="Q29" s="641"/>
      <c r="R29" s="641"/>
      <c r="S29" s="641"/>
      <c r="T29" s="641"/>
      <c r="U29" s="313">
        <v>2022</v>
      </c>
      <c r="V29" s="315" t="s">
        <v>329</v>
      </c>
      <c r="W29" s="325"/>
      <c r="X29" s="325"/>
      <c r="Y29" s="12"/>
      <c r="AX29" s="508"/>
      <c r="AY29" s="508"/>
    </row>
    <row r="30" spans="1:51" s="53" customFormat="1" ht="12.75" hidden="1" customHeight="1">
      <c r="A30" s="852"/>
      <c r="B30" s="313">
        <v>2022</v>
      </c>
      <c r="C30" s="853" t="s">
        <v>29</v>
      </c>
      <c r="D30" s="726">
        <v>0</v>
      </c>
      <c r="E30" s="722"/>
      <c r="F30" s="722">
        <v>0</v>
      </c>
      <c r="G30" s="722"/>
      <c r="H30" s="722">
        <v>0</v>
      </c>
      <c r="I30" s="722"/>
      <c r="J30" s="722">
        <v>0</v>
      </c>
      <c r="K30" s="722"/>
      <c r="L30" s="722">
        <v>0</v>
      </c>
      <c r="M30" s="722"/>
      <c r="N30" s="722"/>
      <c r="O30" s="722">
        <v>0</v>
      </c>
      <c r="P30" s="785"/>
      <c r="Q30" s="641"/>
      <c r="R30" s="641"/>
      <c r="S30" s="641"/>
      <c r="T30" s="641"/>
      <c r="U30" s="313">
        <v>2022</v>
      </c>
      <c r="V30" s="315" t="s">
        <v>29</v>
      </c>
      <c r="W30" s="325"/>
      <c r="X30" s="325"/>
      <c r="Y30" s="12"/>
      <c r="AX30" s="508"/>
      <c r="AY30" s="508"/>
    </row>
    <row r="31" spans="1:51" s="53" customFormat="1" ht="12.75" hidden="1" customHeight="1">
      <c r="A31" s="852"/>
      <c r="B31" s="313">
        <v>2022</v>
      </c>
      <c r="C31" s="853" t="s">
        <v>35</v>
      </c>
      <c r="D31" s="726">
        <v>0</v>
      </c>
      <c r="E31" s="722"/>
      <c r="F31" s="722">
        <v>0</v>
      </c>
      <c r="G31" s="722"/>
      <c r="H31" s="722">
        <v>0</v>
      </c>
      <c r="I31" s="722"/>
      <c r="J31" s="722">
        <v>0</v>
      </c>
      <c r="K31" s="722"/>
      <c r="L31" s="722">
        <v>0</v>
      </c>
      <c r="M31" s="722"/>
      <c r="N31" s="722"/>
      <c r="O31" s="722">
        <v>0</v>
      </c>
      <c r="P31" s="785"/>
      <c r="Q31" s="641"/>
      <c r="R31" s="641"/>
      <c r="S31" s="641"/>
      <c r="T31" s="641"/>
      <c r="U31" s="313">
        <v>2022</v>
      </c>
      <c r="V31" s="315" t="s">
        <v>318</v>
      </c>
      <c r="W31" s="325"/>
      <c r="X31" s="325"/>
      <c r="Y31" s="12"/>
      <c r="AX31" s="508"/>
      <c r="AY31" s="508"/>
    </row>
    <row r="32" spans="1:51" s="53" customFormat="1" ht="12.75" hidden="1" customHeight="1">
      <c r="A32" s="852"/>
      <c r="B32" s="313">
        <v>2022</v>
      </c>
      <c r="C32" s="853" t="s">
        <v>4</v>
      </c>
      <c r="D32" s="726">
        <v>0</v>
      </c>
      <c r="E32" s="722"/>
      <c r="F32" s="722">
        <v>0</v>
      </c>
      <c r="G32" s="722"/>
      <c r="H32" s="722">
        <v>0</v>
      </c>
      <c r="I32" s="722"/>
      <c r="J32" s="722">
        <v>0</v>
      </c>
      <c r="K32" s="722"/>
      <c r="L32" s="722">
        <v>0</v>
      </c>
      <c r="M32" s="722"/>
      <c r="N32" s="722"/>
      <c r="O32" s="722">
        <v>0</v>
      </c>
      <c r="P32" s="785"/>
      <c r="Q32" s="641"/>
      <c r="R32" s="641"/>
      <c r="S32" s="641"/>
      <c r="T32" s="641"/>
      <c r="U32" s="313">
        <v>2022</v>
      </c>
      <c r="V32" s="315" t="s">
        <v>77</v>
      </c>
      <c r="W32" s="325"/>
      <c r="X32" s="325"/>
      <c r="Y32" s="12"/>
      <c r="AX32" s="508"/>
      <c r="AY32" s="508"/>
    </row>
    <row r="33" spans="1:51" s="53" customFormat="1" ht="12.75" hidden="1" customHeight="1">
      <c r="A33" s="852"/>
      <c r="B33" s="313">
        <v>2022</v>
      </c>
      <c r="C33" s="853" t="s">
        <v>30</v>
      </c>
      <c r="D33" s="726">
        <v>0</v>
      </c>
      <c r="E33" s="722"/>
      <c r="F33" s="722">
        <v>0</v>
      </c>
      <c r="G33" s="722"/>
      <c r="H33" s="722">
        <v>0</v>
      </c>
      <c r="I33" s="722"/>
      <c r="J33" s="722">
        <v>0</v>
      </c>
      <c r="K33" s="722"/>
      <c r="L33" s="722">
        <v>0</v>
      </c>
      <c r="M33" s="722"/>
      <c r="N33" s="722"/>
      <c r="O33" s="722">
        <v>0</v>
      </c>
      <c r="P33" s="785"/>
      <c r="Q33" s="641"/>
      <c r="R33" s="641"/>
      <c r="S33" s="641"/>
      <c r="T33" s="641"/>
      <c r="U33" s="313">
        <v>2022</v>
      </c>
      <c r="V33" s="315" t="s">
        <v>78</v>
      </c>
      <c r="W33" s="325"/>
      <c r="X33" s="325"/>
      <c r="Y33" s="12"/>
      <c r="AX33" s="508"/>
      <c r="AY33" s="508"/>
    </row>
    <row r="34" spans="1:51" s="53" customFormat="1" ht="12.75" hidden="1" customHeight="1">
      <c r="A34" s="852"/>
      <c r="B34" s="313">
        <v>2022</v>
      </c>
      <c r="C34" s="771" t="s">
        <v>36</v>
      </c>
      <c r="D34" s="722">
        <v>2852</v>
      </c>
      <c r="E34" s="722"/>
      <c r="F34" s="722">
        <v>367</v>
      </c>
      <c r="G34" s="722"/>
      <c r="H34" s="722">
        <v>156</v>
      </c>
      <c r="I34" s="722"/>
      <c r="J34" s="722">
        <v>42</v>
      </c>
      <c r="K34" s="722"/>
      <c r="L34" s="722">
        <v>121</v>
      </c>
      <c r="M34" s="722"/>
      <c r="N34" s="722"/>
      <c r="O34" s="722">
        <v>3538</v>
      </c>
      <c r="P34" s="787"/>
      <c r="Q34" s="641"/>
      <c r="R34" s="641"/>
      <c r="S34" s="641"/>
      <c r="T34" s="641"/>
      <c r="U34" s="313">
        <v>2022</v>
      </c>
      <c r="V34" s="315" t="s">
        <v>232</v>
      </c>
      <c r="W34" s="325"/>
      <c r="X34" s="325"/>
      <c r="Y34" s="12"/>
      <c r="AX34" s="508"/>
      <c r="AY34" s="508"/>
    </row>
    <row r="35" spans="1:51" s="53" customFormat="1" ht="12.75" hidden="1" customHeight="1">
      <c r="A35" s="852"/>
      <c r="B35" s="313">
        <v>2022</v>
      </c>
      <c r="C35" s="771" t="s">
        <v>37</v>
      </c>
      <c r="D35" s="722">
        <v>3765</v>
      </c>
      <c r="E35" s="722"/>
      <c r="F35" s="722">
        <v>369</v>
      </c>
      <c r="G35" s="722"/>
      <c r="H35" s="722">
        <v>171</v>
      </c>
      <c r="I35" s="722"/>
      <c r="J35" s="722">
        <v>58</v>
      </c>
      <c r="K35" s="722"/>
      <c r="L35" s="722">
        <v>212</v>
      </c>
      <c r="M35" s="722"/>
      <c r="N35" s="722"/>
      <c r="O35" s="722">
        <v>4575</v>
      </c>
      <c r="P35" s="787"/>
      <c r="Q35" s="641"/>
      <c r="R35" s="641"/>
      <c r="S35" s="641"/>
      <c r="T35" s="641"/>
      <c r="U35" s="313">
        <v>2022</v>
      </c>
      <c r="V35" s="314" t="s">
        <v>321</v>
      </c>
      <c r="W35" s="325"/>
      <c r="X35" s="325"/>
      <c r="Y35" s="12"/>
      <c r="AX35" s="508"/>
      <c r="AY35" s="508"/>
    </row>
    <row r="36" spans="1:51" s="53" customFormat="1" ht="12.75" hidden="1" customHeight="1">
      <c r="A36" s="852"/>
      <c r="B36" s="313">
        <v>2022</v>
      </c>
      <c r="C36" s="853" t="s">
        <v>31</v>
      </c>
      <c r="D36" s="726">
        <v>4315</v>
      </c>
      <c r="E36" s="722"/>
      <c r="F36" s="722">
        <v>548</v>
      </c>
      <c r="G36" s="722"/>
      <c r="H36" s="722">
        <v>352</v>
      </c>
      <c r="I36" s="722"/>
      <c r="J36" s="722">
        <v>11</v>
      </c>
      <c r="K36" s="722"/>
      <c r="L36" s="722">
        <v>410</v>
      </c>
      <c r="M36" s="722"/>
      <c r="N36" s="722"/>
      <c r="O36" s="722">
        <v>5636</v>
      </c>
      <c r="P36" s="785"/>
      <c r="Q36" s="641"/>
      <c r="R36" s="641"/>
      <c r="S36" s="641"/>
      <c r="T36" s="641"/>
      <c r="U36" s="313">
        <v>2022</v>
      </c>
      <c r="V36" s="325" t="s">
        <v>31</v>
      </c>
      <c r="W36" s="682"/>
      <c r="X36" s="325"/>
      <c r="Y36" s="12"/>
      <c r="AX36" s="508"/>
      <c r="AY36" s="508"/>
    </row>
    <row r="37" spans="1:51" s="53" customFormat="1" ht="12.75" hidden="1" customHeight="1">
      <c r="A37" s="852"/>
      <c r="B37" s="313">
        <v>2022</v>
      </c>
      <c r="C37" s="771" t="s">
        <v>50</v>
      </c>
      <c r="D37" s="854">
        <v>3391</v>
      </c>
      <c r="E37" s="854"/>
      <c r="F37" s="854">
        <v>394</v>
      </c>
      <c r="G37" s="854"/>
      <c r="H37" s="854">
        <v>189</v>
      </c>
      <c r="I37" s="854"/>
      <c r="J37" s="854">
        <v>9</v>
      </c>
      <c r="K37" s="854"/>
      <c r="L37" s="854">
        <v>121</v>
      </c>
      <c r="M37" s="854"/>
      <c r="N37" s="854"/>
      <c r="O37" s="722">
        <v>4104</v>
      </c>
      <c r="P37" s="785"/>
      <c r="Q37" s="641"/>
      <c r="R37" s="641"/>
      <c r="S37" s="641"/>
      <c r="T37" s="641"/>
      <c r="U37" s="313">
        <v>2022</v>
      </c>
      <c r="V37" s="716" t="s">
        <v>50</v>
      </c>
      <c r="W37" s="325"/>
      <c r="X37" s="325"/>
      <c r="Y37" s="12"/>
      <c r="AX37" s="508"/>
      <c r="AY37" s="508"/>
    </row>
    <row r="38" spans="1:51" s="53" customFormat="1" ht="12.75" hidden="1" customHeight="1">
      <c r="A38" s="852"/>
      <c r="B38" s="313">
        <v>2022</v>
      </c>
      <c r="C38" s="771" t="s">
        <v>313</v>
      </c>
      <c r="D38" s="854">
        <v>3501</v>
      </c>
      <c r="E38" s="854"/>
      <c r="F38" s="854">
        <v>494</v>
      </c>
      <c r="G38" s="854"/>
      <c r="H38" s="854">
        <v>656</v>
      </c>
      <c r="I38" s="854"/>
      <c r="J38" s="854">
        <v>39</v>
      </c>
      <c r="K38" s="854"/>
      <c r="L38" s="854">
        <v>309</v>
      </c>
      <c r="M38" s="854"/>
      <c r="N38" s="854"/>
      <c r="O38" s="854">
        <v>4999</v>
      </c>
      <c r="P38" s="785"/>
      <c r="Q38" s="641"/>
      <c r="R38" s="641"/>
      <c r="S38" s="641"/>
      <c r="T38" s="641"/>
      <c r="U38" s="313">
        <v>2022</v>
      </c>
      <c r="V38" s="315" t="s">
        <v>313</v>
      </c>
      <c r="W38" s="325"/>
      <c r="X38" s="325"/>
      <c r="Y38" s="12"/>
      <c r="AX38" s="508"/>
      <c r="AY38" s="508"/>
    </row>
    <row r="39" spans="1:51" s="53" customFormat="1" ht="12.75" hidden="1" customHeight="1">
      <c r="A39" s="852"/>
      <c r="B39" s="313">
        <v>2022</v>
      </c>
      <c r="C39" s="769" t="s">
        <v>314</v>
      </c>
      <c r="D39" s="854">
        <v>6035</v>
      </c>
      <c r="E39" s="854"/>
      <c r="F39" s="854">
        <v>1030</v>
      </c>
      <c r="G39" s="854"/>
      <c r="H39" s="854">
        <v>233</v>
      </c>
      <c r="I39" s="854"/>
      <c r="J39" s="854">
        <v>45</v>
      </c>
      <c r="K39" s="854"/>
      <c r="L39" s="854">
        <v>179</v>
      </c>
      <c r="M39" s="854"/>
      <c r="N39" s="854"/>
      <c r="O39" s="854">
        <v>7522</v>
      </c>
      <c r="P39" s="785"/>
      <c r="Q39" s="641"/>
      <c r="R39" s="641"/>
      <c r="S39" s="641"/>
      <c r="T39" s="641"/>
      <c r="U39" s="313">
        <v>2022</v>
      </c>
      <c r="V39" s="314" t="s">
        <v>327</v>
      </c>
      <c r="W39" s="325"/>
      <c r="X39" s="325"/>
      <c r="Y39" s="12"/>
      <c r="AX39" s="508"/>
      <c r="AY39" s="508"/>
    </row>
    <row r="40" spans="1:51" s="53" customFormat="1" ht="12.75" customHeight="1">
      <c r="A40" s="852"/>
      <c r="B40" s="313">
        <v>2023</v>
      </c>
      <c r="C40" s="769" t="s">
        <v>228</v>
      </c>
      <c r="D40" s="726">
        <v>5919</v>
      </c>
      <c r="E40" s="722"/>
      <c r="F40" s="722">
        <v>349</v>
      </c>
      <c r="G40" s="722"/>
      <c r="H40" s="722">
        <v>95</v>
      </c>
      <c r="I40" s="722"/>
      <c r="J40" s="722">
        <v>91</v>
      </c>
      <c r="K40" s="722"/>
      <c r="L40" s="722">
        <v>144</v>
      </c>
      <c r="M40" s="722"/>
      <c r="N40" s="722"/>
      <c r="O40" s="722">
        <v>6598</v>
      </c>
      <c r="P40" s="785"/>
      <c r="Q40" s="641"/>
      <c r="R40" s="641"/>
      <c r="S40" s="641"/>
      <c r="T40" s="641"/>
      <c r="U40" s="313">
        <v>2023</v>
      </c>
      <c r="V40" s="314" t="s">
        <v>33</v>
      </c>
      <c r="W40" s="325"/>
      <c r="X40" s="325"/>
      <c r="Y40" s="12"/>
      <c r="AX40" s="508"/>
      <c r="AY40" s="508"/>
    </row>
    <row r="41" spans="1:51" s="53" customFormat="1" ht="12.75" hidden="1" customHeight="1">
      <c r="A41" s="852"/>
      <c r="B41" s="313">
        <v>2023</v>
      </c>
      <c r="C41" s="855" t="s">
        <v>34</v>
      </c>
      <c r="D41" s="726">
        <v>2576</v>
      </c>
      <c r="E41" s="722" t="s">
        <v>41</v>
      </c>
      <c r="F41" s="722">
        <v>214</v>
      </c>
      <c r="G41" s="722" t="s">
        <v>41</v>
      </c>
      <c r="H41" s="722">
        <v>163</v>
      </c>
      <c r="I41" s="722" t="s">
        <v>41</v>
      </c>
      <c r="J41" s="722">
        <v>64</v>
      </c>
      <c r="K41" s="722"/>
      <c r="L41" s="722">
        <v>222</v>
      </c>
      <c r="M41" s="722"/>
      <c r="N41" s="722"/>
      <c r="O41" s="722">
        <v>3239</v>
      </c>
      <c r="P41" s="722" t="s">
        <v>41</v>
      </c>
      <c r="Q41" s="641"/>
      <c r="R41" s="641"/>
      <c r="S41" s="641"/>
      <c r="T41" s="641"/>
      <c r="U41" s="313">
        <v>2023</v>
      </c>
      <c r="V41" s="314" t="s">
        <v>75</v>
      </c>
      <c r="W41" s="325"/>
      <c r="X41" s="325"/>
      <c r="Y41" s="12"/>
      <c r="AX41" s="508"/>
      <c r="AY41" s="508"/>
    </row>
    <row r="42" spans="1:51" s="53" customFormat="1" ht="12.75" hidden="1" customHeight="1">
      <c r="A42" s="852"/>
      <c r="B42" s="313">
        <v>2023</v>
      </c>
      <c r="C42" s="769" t="s">
        <v>29</v>
      </c>
      <c r="D42" s="722">
        <v>352</v>
      </c>
      <c r="E42" s="722"/>
      <c r="F42" s="722">
        <v>51</v>
      </c>
      <c r="G42" s="722"/>
      <c r="H42" s="722">
        <v>79</v>
      </c>
      <c r="I42" s="722"/>
      <c r="J42" s="758">
        <v>0</v>
      </c>
      <c r="K42" s="722"/>
      <c r="L42" s="722">
        <v>69</v>
      </c>
      <c r="M42" s="722"/>
      <c r="N42" s="722"/>
      <c r="O42" s="722">
        <v>551</v>
      </c>
      <c r="P42" s="787"/>
      <c r="Q42" s="641"/>
      <c r="R42" s="641"/>
      <c r="S42" s="641"/>
      <c r="T42" s="641"/>
      <c r="U42" s="313">
        <v>2023</v>
      </c>
      <c r="V42" s="314" t="s">
        <v>29</v>
      </c>
      <c r="W42" s="325"/>
      <c r="X42" s="325"/>
      <c r="Y42" s="12"/>
      <c r="AX42" s="508"/>
      <c r="AY42" s="508"/>
    </row>
    <row r="43" spans="1:51" s="53" customFormat="1" ht="12.75" hidden="1" customHeight="1">
      <c r="A43" s="852"/>
      <c r="B43" s="313">
        <v>2023</v>
      </c>
      <c r="C43" s="769" t="s">
        <v>35</v>
      </c>
      <c r="D43" s="722">
        <v>6128</v>
      </c>
      <c r="E43" s="722"/>
      <c r="F43" s="722">
        <v>310</v>
      </c>
      <c r="G43" s="722"/>
      <c r="H43" s="722">
        <v>89</v>
      </c>
      <c r="I43" s="722"/>
      <c r="J43" s="722">
        <v>29</v>
      </c>
      <c r="K43" s="722"/>
      <c r="L43" s="722">
        <v>342</v>
      </c>
      <c r="M43" s="722"/>
      <c r="N43" s="722"/>
      <c r="O43" s="722">
        <v>6898</v>
      </c>
      <c r="P43" s="787"/>
      <c r="Q43" s="641"/>
      <c r="R43" s="641"/>
      <c r="S43" s="641"/>
      <c r="T43" s="641"/>
      <c r="U43" s="313">
        <v>2023</v>
      </c>
      <c r="V43" s="315" t="s">
        <v>76</v>
      </c>
      <c r="W43" s="325"/>
      <c r="X43" s="325"/>
      <c r="Y43" s="12"/>
      <c r="AX43" s="508"/>
      <c r="AY43" s="508"/>
    </row>
    <row r="44" spans="1:51" s="53" customFormat="1" ht="12.75" hidden="1" customHeight="1">
      <c r="A44" s="852"/>
      <c r="B44" s="313">
        <v>2023</v>
      </c>
      <c r="C44" s="769" t="s">
        <v>4</v>
      </c>
      <c r="D44" s="722">
        <v>5178</v>
      </c>
      <c r="E44" s="722"/>
      <c r="F44" s="722">
        <v>207</v>
      </c>
      <c r="G44" s="722"/>
      <c r="H44" s="722">
        <v>355</v>
      </c>
      <c r="I44" s="722"/>
      <c r="J44" s="722">
        <v>17</v>
      </c>
      <c r="K44" s="722"/>
      <c r="L44" s="722">
        <v>235</v>
      </c>
      <c r="M44" s="722"/>
      <c r="N44" s="722"/>
      <c r="O44" s="722">
        <v>5992</v>
      </c>
      <c r="P44" s="787"/>
      <c r="Q44" s="641"/>
      <c r="R44" s="641"/>
      <c r="S44" s="641"/>
      <c r="T44" s="641"/>
      <c r="U44" s="313">
        <v>2023</v>
      </c>
      <c r="V44" s="315" t="s">
        <v>77</v>
      </c>
      <c r="W44" s="325"/>
      <c r="X44" s="325"/>
      <c r="Y44" s="12"/>
      <c r="AX44" s="508"/>
      <c r="AY44" s="508"/>
    </row>
    <row r="45" spans="1:51" s="53" customFormat="1" ht="12.75" hidden="1" customHeight="1">
      <c r="A45" s="852"/>
      <c r="B45" s="313">
        <v>2023</v>
      </c>
      <c r="C45" s="769" t="s">
        <v>30</v>
      </c>
      <c r="D45" s="722">
        <v>7720</v>
      </c>
      <c r="E45" s="722"/>
      <c r="F45" s="722">
        <v>357</v>
      </c>
      <c r="G45" s="722"/>
      <c r="H45" s="722">
        <v>265</v>
      </c>
      <c r="I45" s="722"/>
      <c r="J45" s="722">
        <v>68</v>
      </c>
      <c r="K45" s="722"/>
      <c r="L45" s="722">
        <v>242</v>
      </c>
      <c r="M45" s="722"/>
      <c r="N45" s="722"/>
      <c r="O45" s="722">
        <v>8652</v>
      </c>
      <c r="P45" s="787"/>
      <c r="Q45" s="641"/>
      <c r="R45" s="641"/>
      <c r="S45" s="641"/>
      <c r="T45" s="641"/>
      <c r="U45" s="313">
        <v>2023</v>
      </c>
      <c r="V45" s="315" t="s">
        <v>78</v>
      </c>
      <c r="W45" s="325"/>
      <c r="X45" s="325"/>
      <c r="Y45" s="12"/>
      <c r="AX45" s="508"/>
      <c r="AY45" s="508"/>
    </row>
    <row r="46" spans="1:51" s="53" customFormat="1" ht="12.75" hidden="1" customHeight="1">
      <c r="A46" s="852"/>
      <c r="B46" s="313">
        <v>2023</v>
      </c>
      <c r="C46" s="769" t="s">
        <v>36</v>
      </c>
      <c r="D46" s="722">
        <v>8534</v>
      </c>
      <c r="E46" s="722"/>
      <c r="F46" s="722">
        <v>375</v>
      </c>
      <c r="G46" s="722"/>
      <c r="H46" s="722">
        <v>247</v>
      </c>
      <c r="I46" s="722"/>
      <c r="J46" s="722">
        <v>74</v>
      </c>
      <c r="K46" s="722"/>
      <c r="L46" s="722">
        <v>468</v>
      </c>
      <c r="M46" s="722"/>
      <c r="N46" s="722"/>
      <c r="O46" s="722">
        <v>9698</v>
      </c>
      <c r="P46" s="787"/>
      <c r="Q46" s="641"/>
      <c r="R46" s="641"/>
      <c r="S46" s="641"/>
      <c r="T46" s="641"/>
      <c r="U46" s="313">
        <v>2023</v>
      </c>
      <c r="V46" s="315" t="s">
        <v>79</v>
      </c>
      <c r="W46" s="325"/>
      <c r="X46" s="325"/>
      <c r="Y46" s="12"/>
      <c r="AX46" s="508"/>
      <c r="AY46" s="508"/>
    </row>
    <row r="47" spans="1:51" s="53" customFormat="1" ht="12.75" hidden="1" customHeight="1">
      <c r="A47" s="852"/>
      <c r="B47" s="313">
        <v>2023</v>
      </c>
      <c r="C47" s="769" t="s">
        <v>37</v>
      </c>
      <c r="D47" s="722">
        <v>7085</v>
      </c>
      <c r="E47" s="722"/>
      <c r="F47" s="722">
        <v>308</v>
      </c>
      <c r="G47" s="722"/>
      <c r="H47" s="722">
        <v>390</v>
      </c>
      <c r="I47" s="722"/>
      <c r="J47" s="722">
        <v>93</v>
      </c>
      <c r="K47" s="722"/>
      <c r="L47" s="722">
        <v>390</v>
      </c>
      <c r="M47" s="722"/>
      <c r="N47" s="722"/>
      <c r="O47" s="722">
        <v>8266</v>
      </c>
      <c r="P47" s="787"/>
      <c r="Q47" s="641"/>
      <c r="R47" s="641"/>
      <c r="S47" s="641"/>
      <c r="T47" s="641"/>
      <c r="U47" s="313">
        <v>2023</v>
      </c>
      <c r="V47" s="315" t="s">
        <v>80</v>
      </c>
      <c r="W47" s="325"/>
      <c r="X47" s="325"/>
      <c r="Y47" s="12"/>
      <c r="AX47" s="508"/>
      <c r="AY47" s="508"/>
    </row>
    <row r="48" spans="1:51" s="53" customFormat="1" ht="12.75" hidden="1" customHeight="1">
      <c r="A48" s="852"/>
      <c r="B48" s="313">
        <v>2023</v>
      </c>
      <c r="C48" s="769" t="s">
        <v>31</v>
      </c>
      <c r="D48" s="722">
        <v>6750</v>
      </c>
      <c r="E48" s="722"/>
      <c r="F48" s="722">
        <v>332</v>
      </c>
      <c r="G48" s="722"/>
      <c r="H48" s="722">
        <v>303</v>
      </c>
      <c r="I48" s="722"/>
      <c r="J48" s="722">
        <v>73</v>
      </c>
      <c r="K48" s="722"/>
      <c r="L48" s="722">
        <v>236</v>
      </c>
      <c r="M48" s="722"/>
      <c r="N48" s="722"/>
      <c r="O48" s="722">
        <v>7694</v>
      </c>
      <c r="P48" s="785"/>
      <c r="Q48" s="641"/>
      <c r="R48" s="641"/>
      <c r="S48" s="641"/>
      <c r="T48" s="641"/>
      <c r="U48" s="313">
        <v>2023</v>
      </c>
      <c r="V48" s="315" t="s">
        <v>31</v>
      </c>
      <c r="W48" s="682"/>
      <c r="X48" s="325"/>
      <c r="Y48" s="12"/>
      <c r="AX48" s="508"/>
      <c r="AY48" s="508"/>
    </row>
    <row r="49" spans="1:51" s="53" customFormat="1" ht="12.75" hidden="1" customHeight="1">
      <c r="A49" s="852"/>
      <c r="B49" s="313">
        <v>2023</v>
      </c>
      <c r="C49" s="769" t="s">
        <v>38</v>
      </c>
      <c r="D49" s="722">
        <v>6148</v>
      </c>
      <c r="E49" s="722"/>
      <c r="F49" s="722">
        <v>355</v>
      </c>
      <c r="G49" s="722"/>
      <c r="H49" s="722">
        <v>300</v>
      </c>
      <c r="I49" s="722"/>
      <c r="J49" s="722">
        <v>94</v>
      </c>
      <c r="K49" s="722"/>
      <c r="L49" s="722">
        <v>302</v>
      </c>
      <c r="M49" s="722"/>
      <c r="N49" s="722"/>
      <c r="O49" s="722">
        <v>7199</v>
      </c>
      <c r="P49" s="787"/>
      <c r="Q49" s="641"/>
      <c r="R49" s="641"/>
      <c r="S49" s="641"/>
      <c r="T49" s="641"/>
      <c r="U49" s="313">
        <v>2023</v>
      </c>
      <c r="V49" s="315" t="s">
        <v>38</v>
      </c>
      <c r="W49" s="325"/>
      <c r="X49" s="325"/>
      <c r="Y49" s="12"/>
      <c r="AX49" s="508"/>
      <c r="AY49" s="508"/>
    </row>
    <row r="50" spans="1:51" s="53" customFormat="1" ht="12.75" hidden="1" customHeight="1">
      <c r="A50" s="852"/>
      <c r="B50" s="313">
        <v>2023</v>
      </c>
      <c r="C50" s="769" t="s">
        <v>39</v>
      </c>
      <c r="D50" s="722">
        <v>4431</v>
      </c>
      <c r="E50" s="722"/>
      <c r="F50" s="722">
        <v>360</v>
      </c>
      <c r="G50" s="722"/>
      <c r="H50" s="722">
        <v>264</v>
      </c>
      <c r="I50" s="722"/>
      <c r="J50" s="722">
        <v>57</v>
      </c>
      <c r="K50" s="722"/>
      <c r="L50" s="722">
        <v>332</v>
      </c>
      <c r="M50" s="722"/>
      <c r="N50" s="722"/>
      <c r="O50" s="722">
        <v>5444</v>
      </c>
      <c r="P50" s="787"/>
      <c r="Q50" s="641"/>
      <c r="R50" s="641"/>
      <c r="S50" s="641"/>
      <c r="T50" s="641"/>
      <c r="U50" s="313">
        <v>2023</v>
      </c>
      <c r="V50" s="315" t="s">
        <v>39</v>
      </c>
      <c r="W50" s="325"/>
      <c r="X50" s="325"/>
      <c r="Y50" s="12"/>
      <c r="AX50" s="508"/>
      <c r="AY50" s="508"/>
    </row>
    <row r="51" spans="1:51" s="53" customFormat="1" ht="12.75" hidden="1" customHeight="1">
      <c r="A51" s="852"/>
      <c r="B51" s="313">
        <v>2023</v>
      </c>
      <c r="C51" s="769" t="s">
        <v>32</v>
      </c>
      <c r="D51" s="722">
        <v>5657</v>
      </c>
      <c r="E51" s="722"/>
      <c r="F51" s="722">
        <v>652</v>
      </c>
      <c r="G51" s="722"/>
      <c r="H51" s="722">
        <v>155</v>
      </c>
      <c r="I51" s="722"/>
      <c r="J51" s="722">
        <v>82</v>
      </c>
      <c r="K51" s="722"/>
      <c r="L51" s="722">
        <v>222</v>
      </c>
      <c r="M51" s="722"/>
      <c r="N51" s="722"/>
      <c r="O51" s="722">
        <v>6768</v>
      </c>
      <c r="P51" s="787"/>
      <c r="Q51" s="641"/>
      <c r="R51" s="641"/>
      <c r="S51" s="641"/>
      <c r="T51" s="641"/>
      <c r="U51" s="313">
        <v>2023</v>
      </c>
      <c r="V51" s="315" t="s">
        <v>81</v>
      </c>
      <c r="W51" s="325"/>
      <c r="X51" s="325"/>
      <c r="Y51" s="12"/>
      <c r="Z51" s="87"/>
      <c r="AX51" s="508"/>
      <c r="AY51" s="508"/>
    </row>
    <row r="52" spans="1:51" s="53" customFormat="1" ht="12.75" customHeight="1">
      <c r="A52" s="852"/>
      <c r="B52" s="313">
        <v>2024</v>
      </c>
      <c r="C52" s="769" t="s">
        <v>33</v>
      </c>
      <c r="D52" s="722">
        <v>4759</v>
      </c>
      <c r="E52" s="722"/>
      <c r="F52" s="722">
        <v>631</v>
      </c>
      <c r="G52" s="722"/>
      <c r="H52" s="722">
        <v>96</v>
      </c>
      <c r="I52" s="722"/>
      <c r="J52" s="722">
        <v>24</v>
      </c>
      <c r="K52" s="722"/>
      <c r="L52" s="722">
        <v>746</v>
      </c>
      <c r="M52" s="722"/>
      <c r="N52" s="722"/>
      <c r="O52" s="722">
        <v>6256</v>
      </c>
      <c r="P52" s="787"/>
      <c r="Q52" s="641"/>
      <c r="R52" s="641"/>
      <c r="S52" s="641"/>
      <c r="T52" s="641"/>
      <c r="U52" s="313">
        <v>2024</v>
      </c>
      <c r="V52" s="315" t="s">
        <v>33</v>
      </c>
      <c r="W52" s="325"/>
      <c r="X52" s="325"/>
      <c r="Y52" s="12"/>
      <c r="AX52" s="508"/>
      <c r="AY52" s="508"/>
    </row>
    <row r="53" spans="1:51" s="53" customFormat="1" ht="12.75" hidden="1" customHeight="1">
      <c r="A53" s="852"/>
      <c r="B53" s="313">
        <v>2024</v>
      </c>
      <c r="C53" s="769" t="s">
        <v>34</v>
      </c>
      <c r="D53" s="722">
        <v>1959</v>
      </c>
      <c r="E53" s="722"/>
      <c r="F53" s="722">
        <v>204</v>
      </c>
      <c r="G53" s="722"/>
      <c r="H53" s="722">
        <v>202</v>
      </c>
      <c r="I53" s="722"/>
      <c r="J53" s="722">
        <v>3</v>
      </c>
      <c r="K53" s="722"/>
      <c r="L53" s="722">
        <v>386</v>
      </c>
      <c r="M53" s="722"/>
      <c r="N53" s="722"/>
      <c r="O53" s="722">
        <v>2754</v>
      </c>
      <c r="P53" s="787"/>
      <c r="Q53" s="641"/>
      <c r="R53" s="641"/>
      <c r="S53" s="641"/>
      <c r="T53" s="641"/>
      <c r="U53" s="313">
        <v>2024</v>
      </c>
      <c r="V53" s="315" t="s">
        <v>75</v>
      </c>
      <c r="W53" s="325"/>
      <c r="X53" s="325"/>
      <c r="Y53" s="12"/>
      <c r="AX53" s="508"/>
      <c r="AY53" s="508"/>
    </row>
    <row r="54" spans="1:51" s="53" customFormat="1" ht="12.75" hidden="1" customHeight="1">
      <c r="A54" s="852"/>
      <c r="B54" s="313">
        <v>2024</v>
      </c>
      <c r="C54" s="769" t="s">
        <v>29</v>
      </c>
      <c r="D54" s="722">
        <v>3300</v>
      </c>
      <c r="E54" s="722"/>
      <c r="F54" s="722">
        <v>243</v>
      </c>
      <c r="G54" s="722"/>
      <c r="H54" s="722">
        <v>276</v>
      </c>
      <c r="I54" s="722"/>
      <c r="J54" s="722">
        <v>62</v>
      </c>
      <c r="K54" s="722"/>
      <c r="L54" s="722">
        <v>380</v>
      </c>
      <c r="M54" s="722"/>
      <c r="N54" s="722"/>
      <c r="O54" s="722">
        <v>4261</v>
      </c>
      <c r="P54" s="787"/>
      <c r="Q54" s="641"/>
      <c r="R54" s="641"/>
      <c r="S54" s="641"/>
      <c r="T54" s="641"/>
      <c r="U54" s="313">
        <v>2024</v>
      </c>
      <c r="V54" s="315" t="s">
        <v>29</v>
      </c>
      <c r="W54" s="325"/>
      <c r="X54" s="325"/>
      <c r="Y54" s="12"/>
      <c r="AX54" s="508"/>
      <c r="AY54" s="508"/>
    </row>
    <row r="55" spans="1:51" s="53" customFormat="1" ht="12.75" hidden="1" customHeight="1">
      <c r="A55" s="852"/>
      <c r="B55" s="313">
        <v>2024</v>
      </c>
      <c r="C55" s="769" t="s">
        <v>35</v>
      </c>
      <c r="D55" s="722">
        <v>3874</v>
      </c>
      <c r="E55" s="722"/>
      <c r="F55" s="722">
        <v>276</v>
      </c>
      <c r="G55" s="722"/>
      <c r="H55" s="722">
        <v>393</v>
      </c>
      <c r="I55" s="722"/>
      <c r="J55" s="722">
        <v>16</v>
      </c>
      <c r="K55" s="722"/>
      <c r="L55" s="722">
        <v>569</v>
      </c>
      <c r="M55" s="722"/>
      <c r="N55" s="722"/>
      <c r="O55" s="722">
        <v>5128</v>
      </c>
      <c r="P55" s="787"/>
      <c r="Q55" s="641"/>
      <c r="R55" s="641"/>
      <c r="S55" s="641"/>
      <c r="T55" s="641"/>
      <c r="U55" s="313">
        <v>2024</v>
      </c>
      <c r="V55" s="315" t="s">
        <v>76</v>
      </c>
      <c r="W55" s="325"/>
      <c r="X55" s="325"/>
      <c r="Y55" s="12"/>
      <c r="AX55" s="508"/>
      <c r="AY55" s="508"/>
    </row>
    <row r="56" spans="1:51" s="53" customFormat="1" ht="12.75" hidden="1" customHeight="1">
      <c r="A56" s="852"/>
      <c r="B56" s="313">
        <v>2024</v>
      </c>
      <c r="C56" s="769" t="s">
        <v>4</v>
      </c>
      <c r="D56" s="722">
        <v>1940</v>
      </c>
      <c r="E56" s="722"/>
      <c r="F56" s="722">
        <v>190</v>
      </c>
      <c r="G56" s="722"/>
      <c r="H56" s="722">
        <v>281</v>
      </c>
      <c r="I56" s="722"/>
      <c r="J56" s="722">
        <v>3</v>
      </c>
      <c r="K56" s="722"/>
      <c r="L56" s="722">
        <v>308</v>
      </c>
      <c r="M56" s="722"/>
      <c r="N56" s="722"/>
      <c r="O56" s="722">
        <v>2722</v>
      </c>
      <c r="P56" s="787"/>
      <c r="Q56" s="641"/>
      <c r="R56" s="641"/>
      <c r="S56" s="641"/>
      <c r="T56" s="641"/>
      <c r="U56" s="641">
        <v>2024</v>
      </c>
      <c r="V56" s="315" t="s">
        <v>77</v>
      </c>
      <c r="W56" s="325"/>
      <c r="X56" s="325"/>
      <c r="Y56" s="12"/>
      <c r="AX56" s="508"/>
      <c r="AY56" s="508"/>
    </row>
    <row r="57" spans="1:51" s="53" customFormat="1" ht="12.75" hidden="1" customHeight="1">
      <c r="A57" s="852"/>
      <c r="B57" s="313">
        <v>2024</v>
      </c>
      <c r="C57" s="769" t="s">
        <v>30</v>
      </c>
      <c r="D57" s="722">
        <v>1368</v>
      </c>
      <c r="E57" s="722"/>
      <c r="F57" s="722">
        <v>133</v>
      </c>
      <c r="G57" s="722"/>
      <c r="H57" s="722">
        <v>220</v>
      </c>
      <c r="I57" s="722"/>
      <c r="J57" s="722">
        <v>5</v>
      </c>
      <c r="K57" s="722"/>
      <c r="L57" s="722">
        <v>237</v>
      </c>
      <c r="M57" s="722"/>
      <c r="N57" s="722"/>
      <c r="O57" s="722">
        <v>1963</v>
      </c>
      <c r="P57" s="787"/>
      <c r="Q57" s="641"/>
      <c r="R57" s="641"/>
      <c r="S57" s="641"/>
      <c r="T57" s="641"/>
      <c r="U57" s="641">
        <v>2024</v>
      </c>
      <c r="V57" s="315" t="s">
        <v>78</v>
      </c>
      <c r="W57" s="325"/>
      <c r="X57" s="325"/>
      <c r="Y57" s="12"/>
      <c r="AX57" s="508"/>
      <c r="AY57" s="508"/>
    </row>
    <row r="58" spans="1:51" s="53" customFormat="1" ht="12.75" hidden="1" customHeight="1">
      <c r="A58" s="852"/>
      <c r="B58" s="313">
        <v>2024</v>
      </c>
      <c r="C58" s="769" t="s">
        <v>36</v>
      </c>
      <c r="D58" s="722">
        <v>3321</v>
      </c>
      <c r="E58" s="722"/>
      <c r="F58" s="722">
        <v>354</v>
      </c>
      <c r="G58" s="722"/>
      <c r="H58" s="722">
        <v>232</v>
      </c>
      <c r="I58" s="722"/>
      <c r="J58" s="722">
        <v>13</v>
      </c>
      <c r="K58" s="722"/>
      <c r="L58" s="722">
        <v>371</v>
      </c>
      <c r="M58" s="722"/>
      <c r="N58" s="722"/>
      <c r="O58" s="722">
        <v>4291</v>
      </c>
      <c r="P58" s="787"/>
      <c r="Q58" s="641"/>
      <c r="R58" s="641"/>
      <c r="S58" s="641"/>
      <c r="T58" s="641"/>
      <c r="U58" s="641">
        <v>2024</v>
      </c>
      <c r="V58" s="315" t="s">
        <v>79</v>
      </c>
      <c r="W58" s="325"/>
      <c r="X58" s="325"/>
      <c r="Y58" s="12"/>
      <c r="AX58" s="508"/>
      <c r="AY58" s="508"/>
    </row>
    <row r="59" spans="1:51" s="53" customFormat="1" ht="12.75" hidden="1" customHeight="1">
      <c r="A59" s="852"/>
      <c r="B59" s="313">
        <v>2024</v>
      </c>
      <c r="C59" s="769" t="s">
        <v>37</v>
      </c>
      <c r="D59" s="722">
        <v>3697</v>
      </c>
      <c r="E59" s="722"/>
      <c r="F59" s="722">
        <v>455</v>
      </c>
      <c r="G59" s="722"/>
      <c r="H59" s="722">
        <v>481</v>
      </c>
      <c r="I59" s="722"/>
      <c r="J59" s="722">
        <v>20</v>
      </c>
      <c r="K59" s="722"/>
      <c r="L59" s="722">
        <v>629</v>
      </c>
      <c r="M59" s="722"/>
      <c r="N59" s="722"/>
      <c r="O59" s="722">
        <v>5282</v>
      </c>
      <c r="P59" s="787"/>
      <c r="Q59" s="641"/>
      <c r="R59" s="641"/>
      <c r="S59" s="641"/>
      <c r="T59" s="641"/>
      <c r="U59" s="641">
        <v>2024</v>
      </c>
      <c r="V59" s="315" t="s">
        <v>80</v>
      </c>
      <c r="W59" s="325"/>
      <c r="X59" s="325"/>
      <c r="Y59" s="12"/>
      <c r="AX59" s="508"/>
      <c r="AY59" s="508"/>
    </row>
    <row r="60" spans="1:51" s="53" customFormat="1" ht="12.75" hidden="1" customHeight="1">
      <c r="A60" s="852"/>
      <c r="B60" s="313">
        <v>2024</v>
      </c>
      <c r="C60" s="769" t="s">
        <v>31</v>
      </c>
      <c r="D60" s="722">
        <v>5387</v>
      </c>
      <c r="E60" s="722"/>
      <c r="F60" s="722">
        <v>510</v>
      </c>
      <c r="G60" s="722"/>
      <c r="H60" s="722">
        <v>600</v>
      </c>
      <c r="I60" s="722"/>
      <c r="J60" s="722">
        <v>27</v>
      </c>
      <c r="K60" s="722"/>
      <c r="L60" s="722">
        <v>428</v>
      </c>
      <c r="M60" s="722"/>
      <c r="N60" s="722"/>
      <c r="O60" s="722">
        <v>6952</v>
      </c>
      <c r="P60" s="787"/>
      <c r="Q60" s="641"/>
      <c r="R60" s="641"/>
      <c r="S60" s="641"/>
      <c r="T60" s="641"/>
      <c r="U60" s="641">
        <v>2024</v>
      </c>
      <c r="V60" s="315" t="s">
        <v>31</v>
      </c>
      <c r="W60" s="325"/>
      <c r="X60" s="325"/>
      <c r="Y60" s="12"/>
      <c r="AX60" s="508"/>
      <c r="AY60" s="508"/>
    </row>
    <row r="61" spans="1:51" s="53" customFormat="1" ht="12.75" hidden="1" customHeight="1">
      <c r="A61" s="852"/>
      <c r="B61" s="313">
        <v>2024</v>
      </c>
      <c r="C61" s="769" t="s">
        <v>38</v>
      </c>
      <c r="D61" s="722">
        <v>4985</v>
      </c>
      <c r="E61" s="722"/>
      <c r="F61" s="722">
        <v>548</v>
      </c>
      <c r="G61" s="722"/>
      <c r="H61" s="722">
        <v>461</v>
      </c>
      <c r="I61" s="722"/>
      <c r="J61" s="722">
        <v>48</v>
      </c>
      <c r="K61" s="722"/>
      <c r="L61" s="722">
        <v>643</v>
      </c>
      <c r="M61" s="722"/>
      <c r="N61" s="722"/>
      <c r="O61" s="722">
        <v>6685</v>
      </c>
      <c r="P61" s="787"/>
      <c r="Q61" s="641"/>
      <c r="R61" s="641"/>
      <c r="S61" s="641"/>
      <c r="T61" s="641"/>
      <c r="U61" s="641">
        <v>2024</v>
      </c>
      <c r="V61" s="315" t="s">
        <v>38</v>
      </c>
      <c r="W61" s="325"/>
      <c r="X61" s="325"/>
      <c r="Y61" s="12"/>
      <c r="AX61" s="508"/>
      <c r="AY61" s="508"/>
    </row>
    <row r="62" spans="1:51" s="53" customFormat="1" ht="12.75" hidden="1" customHeight="1">
      <c r="A62" s="852"/>
      <c r="B62" s="313">
        <v>2024</v>
      </c>
      <c r="C62" s="769" t="s">
        <v>39</v>
      </c>
      <c r="D62" s="722">
        <v>4475</v>
      </c>
      <c r="E62" s="722"/>
      <c r="F62" s="722">
        <v>600</v>
      </c>
      <c r="G62" s="722"/>
      <c r="H62" s="722">
        <v>581</v>
      </c>
      <c r="I62" s="722"/>
      <c r="J62" s="722">
        <v>90</v>
      </c>
      <c r="K62" s="722"/>
      <c r="L62" s="722">
        <v>694</v>
      </c>
      <c r="M62" s="722"/>
      <c r="N62" s="722"/>
      <c r="O62" s="722">
        <v>6440</v>
      </c>
      <c r="P62" s="787"/>
      <c r="Q62" s="641"/>
      <c r="R62" s="641"/>
      <c r="S62" s="641"/>
      <c r="T62" s="641"/>
      <c r="U62" s="641">
        <v>2024</v>
      </c>
      <c r="V62" s="315" t="s">
        <v>39</v>
      </c>
      <c r="W62" s="325"/>
      <c r="X62" s="325"/>
      <c r="Y62" s="12"/>
      <c r="AX62" s="508"/>
      <c r="AY62" s="508"/>
    </row>
    <row r="63" spans="1:51" s="53" customFormat="1" ht="12.75" hidden="1" customHeight="1">
      <c r="A63" s="852"/>
      <c r="B63" s="313">
        <v>2024</v>
      </c>
      <c r="C63" s="769" t="s">
        <v>32</v>
      </c>
      <c r="D63" s="722">
        <v>4366</v>
      </c>
      <c r="E63" s="722"/>
      <c r="F63" s="722">
        <v>647</v>
      </c>
      <c r="G63" s="722"/>
      <c r="H63" s="722">
        <v>357</v>
      </c>
      <c r="I63" s="722"/>
      <c r="J63" s="722">
        <v>189</v>
      </c>
      <c r="K63" s="722"/>
      <c r="L63" s="722">
        <v>785</v>
      </c>
      <c r="M63" s="722"/>
      <c r="N63" s="722"/>
      <c r="O63" s="722">
        <v>6344</v>
      </c>
      <c r="P63" s="787"/>
      <c r="Q63" s="641"/>
      <c r="R63" s="641"/>
      <c r="S63" s="641"/>
      <c r="T63" s="641"/>
      <c r="U63" s="641">
        <v>2024</v>
      </c>
      <c r="V63" s="315" t="s">
        <v>81</v>
      </c>
      <c r="W63" s="325"/>
      <c r="X63" s="325"/>
      <c r="Y63" s="12"/>
      <c r="AX63" s="508"/>
      <c r="AY63" s="508"/>
    </row>
    <row r="64" spans="1:51" s="53" customFormat="1" ht="12.75" customHeight="1">
      <c r="A64" s="852"/>
      <c r="B64" s="313">
        <v>2025</v>
      </c>
      <c r="C64" s="769" t="s">
        <v>33</v>
      </c>
      <c r="D64" s="722">
        <v>4981</v>
      </c>
      <c r="E64" s="722"/>
      <c r="F64" s="722">
        <v>627</v>
      </c>
      <c r="G64" s="722"/>
      <c r="H64" s="722">
        <v>172</v>
      </c>
      <c r="I64" s="722"/>
      <c r="J64" s="722">
        <v>94</v>
      </c>
      <c r="K64" s="722"/>
      <c r="L64" s="722">
        <v>851</v>
      </c>
      <c r="M64" s="722"/>
      <c r="N64" s="722"/>
      <c r="O64" s="722">
        <v>6725</v>
      </c>
      <c r="P64" s="787"/>
      <c r="Q64" s="641"/>
      <c r="R64" s="641"/>
      <c r="S64" s="641"/>
      <c r="T64" s="641"/>
      <c r="U64" s="641">
        <v>2025</v>
      </c>
      <c r="V64" s="315" t="s">
        <v>33</v>
      </c>
      <c r="W64" s="325"/>
      <c r="X64" s="325"/>
      <c r="Y64" s="12"/>
      <c r="AX64" s="508"/>
      <c r="AY64" s="508"/>
    </row>
    <row r="65" spans="1:51" s="53" customFormat="1" ht="12.75" customHeight="1">
      <c r="A65" s="852"/>
      <c r="B65" s="313"/>
      <c r="C65" s="769" t="s">
        <v>34</v>
      </c>
      <c r="D65" s="722">
        <v>2711</v>
      </c>
      <c r="E65" s="722"/>
      <c r="F65" s="722">
        <v>348</v>
      </c>
      <c r="G65" s="722"/>
      <c r="H65" s="722">
        <v>270</v>
      </c>
      <c r="I65" s="722"/>
      <c r="J65" s="722">
        <v>122</v>
      </c>
      <c r="K65" s="722"/>
      <c r="L65" s="722">
        <v>914</v>
      </c>
      <c r="M65" s="722"/>
      <c r="N65" s="722"/>
      <c r="O65" s="722">
        <v>4365</v>
      </c>
      <c r="P65" s="787"/>
      <c r="Q65" s="641"/>
      <c r="R65" s="641"/>
      <c r="S65" s="641"/>
      <c r="T65" s="641"/>
      <c r="U65" s="641"/>
      <c r="V65" s="315" t="s">
        <v>75</v>
      </c>
      <c r="W65" s="325"/>
      <c r="X65" s="325"/>
      <c r="Y65" s="12"/>
      <c r="AX65" s="508"/>
      <c r="AY65" s="508"/>
    </row>
    <row r="66" spans="1:51" s="53" customFormat="1" ht="12.75" customHeight="1">
      <c r="A66" s="852"/>
      <c r="B66" s="313"/>
      <c r="C66" s="769" t="s">
        <v>29</v>
      </c>
      <c r="D66" s="722">
        <v>3646</v>
      </c>
      <c r="E66" s="722"/>
      <c r="F66" s="722">
        <v>426</v>
      </c>
      <c r="G66" s="722"/>
      <c r="H66" s="722">
        <v>485</v>
      </c>
      <c r="I66" s="722"/>
      <c r="J66" s="722">
        <v>97</v>
      </c>
      <c r="K66" s="722"/>
      <c r="L66" s="722">
        <v>610</v>
      </c>
      <c r="M66" s="722"/>
      <c r="N66" s="722"/>
      <c r="O66" s="722">
        <v>5264</v>
      </c>
      <c r="P66" s="787"/>
      <c r="Q66" s="641"/>
      <c r="R66" s="641"/>
      <c r="S66" s="641"/>
      <c r="T66" s="641"/>
      <c r="U66" s="641"/>
      <c r="V66" s="315" t="s">
        <v>29</v>
      </c>
      <c r="W66" s="325"/>
      <c r="X66" s="325"/>
      <c r="Y66" s="12"/>
      <c r="AX66" s="508"/>
      <c r="AY66" s="508"/>
    </row>
    <row r="67" spans="1:51" s="53" customFormat="1" ht="12.75" customHeight="1">
      <c r="A67" s="852"/>
      <c r="B67" s="313"/>
      <c r="C67" s="769" t="s">
        <v>35</v>
      </c>
      <c r="D67" s="722">
        <v>6307</v>
      </c>
      <c r="E67" s="722"/>
      <c r="F67" s="722">
        <v>500</v>
      </c>
      <c r="G67" s="722"/>
      <c r="H67" s="722">
        <v>301</v>
      </c>
      <c r="I67" s="722"/>
      <c r="J67" s="722">
        <v>48</v>
      </c>
      <c r="K67" s="722"/>
      <c r="L67" s="722">
        <v>853</v>
      </c>
      <c r="M67" s="722"/>
      <c r="N67" s="722"/>
      <c r="O67" s="722">
        <v>8009</v>
      </c>
      <c r="P67" s="787"/>
      <c r="Q67" s="641"/>
      <c r="R67" s="641"/>
      <c r="S67" s="641"/>
      <c r="T67" s="641"/>
      <c r="U67" s="641"/>
      <c r="V67" s="315" t="s">
        <v>76</v>
      </c>
      <c r="W67" s="325"/>
      <c r="X67" s="325"/>
      <c r="Y67" s="12"/>
      <c r="AX67" s="508"/>
      <c r="AY67" s="508"/>
    </row>
    <row r="68" spans="1:51" s="53" customFormat="1" ht="12.75" customHeight="1">
      <c r="A68" s="852"/>
      <c r="B68" s="313"/>
      <c r="C68" s="769" t="s">
        <v>4</v>
      </c>
      <c r="D68" s="722">
        <v>5592</v>
      </c>
      <c r="E68" s="722"/>
      <c r="F68" s="722">
        <v>416</v>
      </c>
      <c r="G68" s="722"/>
      <c r="H68" s="722">
        <v>421</v>
      </c>
      <c r="I68" s="722"/>
      <c r="J68" s="722">
        <v>21</v>
      </c>
      <c r="K68" s="722"/>
      <c r="L68" s="722">
        <v>653</v>
      </c>
      <c r="M68" s="722"/>
      <c r="N68" s="722"/>
      <c r="O68" s="722">
        <v>7103</v>
      </c>
      <c r="P68" s="787"/>
      <c r="Q68" s="641"/>
      <c r="R68" s="641"/>
      <c r="S68" s="641"/>
      <c r="T68" s="641"/>
      <c r="U68" s="641"/>
      <c r="V68" s="315" t="s">
        <v>77</v>
      </c>
      <c r="W68" s="325"/>
      <c r="X68" s="325"/>
      <c r="Y68" s="12"/>
      <c r="AX68" s="508"/>
      <c r="AY68" s="508"/>
    </row>
    <row r="69" spans="1:51" s="53" customFormat="1" ht="12.75" customHeight="1">
      <c r="A69" s="852"/>
      <c r="B69" s="313"/>
      <c r="C69" s="769" t="s">
        <v>30</v>
      </c>
      <c r="D69" s="722">
        <v>6728</v>
      </c>
      <c r="E69" s="722"/>
      <c r="F69" s="722">
        <v>469</v>
      </c>
      <c r="G69" s="722"/>
      <c r="H69" s="722">
        <v>468</v>
      </c>
      <c r="I69" s="722"/>
      <c r="J69" s="722">
        <v>61</v>
      </c>
      <c r="K69" s="722"/>
      <c r="L69" s="722">
        <v>639</v>
      </c>
      <c r="M69" s="722"/>
      <c r="N69" s="722"/>
      <c r="O69" s="722">
        <v>8365</v>
      </c>
      <c r="P69" s="787"/>
      <c r="Q69" s="641"/>
      <c r="R69" s="641"/>
      <c r="S69" s="641"/>
      <c r="T69" s="641"/>
      <c r="U69" s="641"/>
      <c r="V69" s="315" t="s">
        <v>78</v>
      </c>
      <c r="W69" s="325"/>
      <c r="X69" s="325"/>
      <c r="Y69" s="12"/>
      <c r="AX69" s="508"/>
      <c r="AY69" s="508"/>
    </row>
    <row r="70" spans="1:51" s="53" customFormat="1" ht="12.75" customHeight="1">
      <c r="A70" s="852"/>
      <c r="B70" s="313"/>
      <c r="C70" s="769" t="s">
        <v>36</v>
      </c>
      <c r="D70" s="722">
        <v>8579</v>
      </c>
      <c r="E70" s="722"/>
      <c r="F70" s="722">
        <v>557</v>
      </c>
      <c r="G70" s="722"/>
      <c r="H70" s="722">
        <v>552</v>
      </c>
      <c r="I70" s="722"/>
      <c r="J70" s="722">
        <v>50</v>
      </c>
      <c r="K70" s="722"/>
      <c r="L70" s="722">
        <v>644</v>
      </c>
      <c r="M70" s="722"/>
      <c r="N70" s="722"/>
      <c r="O70" s="722">
        <v>10382</v>
      </c>
      <c r="P70" s="787"/>
      <c r="Q70" s="641"/>
      <c r="R70" s="641"/>
      <c r="S70" s="641"/>
      <c r="T70" s="641"/>
      <c r="U70" s="641"/>
      <c r="V70" s="315" t="s">
        <v>79</v>
      </c>
      <c r="W70" s="325"/>
      <c r="X70" s="325"/>
      <c r="Y70" s="12"/>
      <c r="AX70" s="508"/>
      <c r="AY70" s="508"/>
    </row>
    <row r="71" spans="1:51" s="53" customFormat="1" ht="12.75" customHeight="1">
      <c r="A71" s="852"/>
      <c r="B71" s="313"/>
      <c r="C71" s="855" t="s">
        <v>37</v>
      </c>
      <c r="D71" s="726">
        <v>7190</v>
      </c>
      <c r="E71" s="722"/>
      <c r="F71" s="722">
        <v>581</v>
      </c>
      <c r="G71" s="722"/>
      <c r="H71" s="722">
        <v>592</v>
      </c>
      <c r="I71" s="722"/>
      <c r="J71" s="722">
        <v>52</v>
      </c>
      <c r="K71" s="722"/>
      <c r="L71" s="722">
        <v>816</v>
      </c>
      <c r="M71" s="722"/>
      <c r="N71" s="722"/>
      <c r="O71" s="722">
        <v>9231</v>
      </c>
      <c r="P71" s="785"/>
      <c r="Q71" s="641"/>
      <c r="R71" s="641"/>
      <c r="S71" s="641"/>
      <c r="T71" s="641"/>
      <c r="U71" s="313"/>
      <c r="V71" s="716" t="s">
        <v>321</v>
      </c>
      <c r="W71" s="325"/>
      <c r="X71" s="325"/>
      <c r="Y71" s="12"/>
      <c r="AX71" s="508"/>
      <c r="AY71" s="508"/>
    </row>
    <row r="72" spans="1:51" s="53" customFormat="1" ht="12.75" customHeight="1">
      <c r="A72" s="852"/>
      <c r="B72" s="313"/>
      <c r="C72" s="769" t="s">
        <v>31</v>
      </c>
      <c r="D72" s="722">
        <v>8051</v>
      </c>
      <c r="E72" s="722"/>
      <c r="F72" s="722">
        <v>533</v>
      </c>
      <c r="G72" s="722"/>
      <c r="H72" s="722">
        <v>445</v>
      </c>
      <c r="I72" s="722"/>
      <c r="J72" s="722">
        <v>84</v>
      </c>
      <c r="K72" s="722"/>
      <c r="L72" s="722">
        <v>809</v>
      </c>
      <c r="M72" s="722"/>
      <c r="N72" s="722"/>
      <c r="O72" s="722">
        <v>9922</v>
      </c>
      <c r="P72" s="787"/>
      <c r="Q72" s="641"/>
      <c r="R72" s="641"/>
      <c r="S72" s="641"/>
      <c r="T72" s="641"/>
      <c r="U72" s="641"/>
      <c r="V72" s="716" t="s">
        <v>31</v>
      </c>
      <c r="W72" s="325"/>
      <c r="X72" s="325"/>
      <c r="Y72" s="12"/>
      <c r="AX72" s="508"/>
      <c r="AY72" s="508"/>
    </row>
    <row r="73" spans="1:51" s="53" customFormat="1" ht="12.75" customHeight="1">
      <c r="A73" s="852"/>
      <c r="B73" s="313"/>
      <c r="C73" s="769" t="s">
        <v>38</v>
      </c>
      <c r="D73" s="722">
        <v>7572</v>
      </c>
      <c r="E73" s="722"/>
      <c r="F73" s="722">
        <v>525</v>
      </c>
      <c r="G73" s="722"/>
      <c r="H73" s="722">
        <v>601</v>
      </c>
      <c r="I73" s="722"/>
      <c r="J73" s="722">
        <v>83</v>
      </c>
      <c r="K73" s="722"/>
      <c r="L73" s="722">
        <v>968</v>
      </c>
      <c r="M73" s="722"/>
      <c r="N73" s="722"/>
      <c r="O73" s="722">
        <v>9749</v>
      </c>
      <c r="P73" s="787"/>
      <c r="Q73" s="641"/>
      <c r="R73" s="641"/>
      <c r="S73" s="641"/>
      <c r="T73" s="641"/>
      <c r="U73" s="641"/>
      <c r="V73" s="716" t="s">
        <v>38</v>
      </c>
      <c r="W73" s="325"/>
      <c r="X73" s="325"/>
      <c r="Y73" s="12"/>
      <c r="AX73" s="508"/>
      <c r="AY73" s="508"/>
    </row>
    <row r="74" spans="1:51" s="53" customFormat="1" ht="12.75" customHeight="1">
      <c r="A74" s="852"/>
      <c r="B74" s="313"/>
      <c r="C74" s="769" t="s">
        <v>39</v>
      </c>
      <c r="D74" s="722">
        <v>6219</v>
      </c>
      <c r="E74" s="722"/>
      <c r="F74" s="722">
        <v>511</v>
      </c>
      <c r="G74" s="722"/>
      <c r="H74" s="722">
        <v>536</v>
      </c>
      <c r="I74" s="722"/>
      <c r="J74" s="722">
        <v>23</v>
      </c>
      <c r="K74" s="722"/>
      <c r="L74" s="722">
        <v>1217</v>
      </c>
      <c r="M74" s="722"/>
      <c r="N74" s="722"/>
      <c r="O74" s="722">
        <v>8506</v>
      </c>
      <c r="P74" s="787"/>
      <c r="Q74" s="641"/>
      <c r="R74" s="641"/>
      <c r="S74" s="641"/>
      <c r="T74" s="641"/>
      <c r="U74" s="641"/>
      <c r="V74" s="716" t="s">
        <v>39</v>
      </c>
      <c r="W74" s="325"/>
      <c r="X74" s="325"/>
      <c r="Y74" s="12"/>
      <c r="AX74" s="508"/>
      <c r="AY74" s="508"/>
    </row>
    <row r="75" spans="1:51" s="53" customFormat="1" ht="12.75" customHeight="1">
      <c r="A75" s="852"/>
      <c r="B75" s="313"/>
      <c r="C75" s="769" t="s">
        <v>32</v>
      </c>
      <c r="D75" s="722">
        <v>7055</v>
      </c>
      <c r="E75" s="722"/>
      <c r="F75" s="722">
        <v>601</v>
      </c>
      <c r="G75" s="722"/>
      <c r="H75" s="722">
        <v>55</v>
      </c>
      <c r="I75" s="722"/>
      <c r="J75" s="722">
        <v>73</v>
      </c>
      <c r="K75" s="722"/>
      <c r="L75" s="722">
        <v>514</v>
      </c>
      <c r="M75" s="722"/>
      <c r="N75" s="722"/>
      <c r="O75" s="722">
        <v>8298</v>
      </c>
      <c r="P75" s="787"/>
      <c r="Q75" s="641"/>
      <c r="R75" s="641"/>
      <c r="S75" s="641"/>
      <c r="T75" s="641"/>
      <c r="U75" s="641"/>
      <c r="V75" s="716" t="s">
        <v>81</v>
      </c>
      <c r="W75" s="325"/>
      <c r="X75" s="325"/>
      <c r="Y75" s="12"/>
      <c r="AX75" s="508"/>
      <c r="AY75" s="508"/>
    </row>
    <row r="76" spans="1:51" s="53" customFormat="1" ht="12.75" customHeight="1">
      <c r="A76" s="852"/>
      <c r="B76" s="772">
        <v>2026</v>
      </c>
      <c r="C76" s="770" t="s">
        <v>33</v>
      </c>
      <c r="D76" s="723">
        <v>7470</v>
      </c>
      <c r="E76" s="723"/>
      <c r="F76" s="723">
        <v>605</v>
      </c>
      <c r="G76" s="723"/>
      <c r="H76" s="723">
        <v>297</v>
      </c>
      <c r="I76" s="723"/>
      <c r="J76" s="723">
        <v>28</v>
      </c>
      <c r="K76" s="723"/>
      <c r="L76" s="723">
        <v>1257</v>
      </c>
      <c r="M76" s="723"/>
      <c r="N76" s="723"/>
      <c r="O76" s="723">
        <v>9657</v>
      </c>
      <c r="P76" s="893"/>
      <c r="Q76" s="725"/>
      <c r="R76" s="725"/>
      <c r="S76" s="725"/>
      <c r="T76" s="725"/>
      <c r="U76" s="725">
        <v>2026</v>
      </c>
      <c r="V76" s="825" t="s">
        <v>33</v>
      </c>
      <c r="W76" s="325"/>
      <c r="X76" s="325"/>
      <c r="Y76" s="12"/>
      <c r="AX76" s="508"/>
      <c r="AY76" s="508"/>
    </row>
    <row r="77" spans="1:51" ht="16.5" customHeight="1">
      <c r="A77" s="53"/>
      <c r="B77" s="79" t="s">
        <v>338</v>
      </c>
      <c r="C77" s="113"/>
      <c r="D77" s="47"/>
      <c r="E77" s="47"/>
      <c r="F77" s="2"/>
      <c r="G77" s="2"/>
      <c r="H77" s="50"/>
      <c r="I77" s="50"/>
      <c r="J77"/>
      <c r="K77"/>
      <c r="L77" s="284"/>
      <c r="M77" s="53"/>
      <c r="N77" s="53"/>
      <c r="O77" s="285"/>
      <c r="P77" s="285"/>
      <c r="Q77" s="877"/>
      <c r="R77" s="53"/>
      <c r="S77" s="53"/>
      <c r="T77" s="53"/>
      <c r="U77" s="120"/>
      <c r="V77" s="53"/>
      <c r="W77" s="53"/>
      <c r="X77" s="53"/>
    </row>
    <row r="78" spans="1:51">
      <c r="C78" s="1"/>
      <c r="E78" s="321"/>
      <c r="F78" s="635" t="s">
        <v>324</v>
      </c>
      <c r="G78" s="321"/>
      <c r="H78" s="321"/>
      <c r="I78" s="321"/>
      <c r="J78" s="321"/>
      <c r="K78" s="321"/>
      <c r="L78" s="321"/>
      <c r="M78" s="321"/>
      <c r="N78" s="321"/>
      <c r="O78" s="321"/>
    </row>
    <row r="79" spans="1:51">
      <c r="C79" s="51" t="s">
        <v>325</v>
      </c>
      <c r="E79" s="321"/>
      <c r="F79" s="635"/>
      <c r="G79" s="321"/>
      <c r="H79" s="321"/>
      <c r="I79" s="321"/>
      <c r="J79" s="321"/>
      <c r="K79" s="321"/>
      <c r="L79" s="321"/>
      <c r="M79" s="321"/>
      <c r="N79" s="321"/>
      <c r="O79" s="321"/>
    </row>
    <row r="80" spans="1:51" ht="13.2">
      <c r="I80" s="12"/>
    </row>
  </sheetData>
  <autoFilter ref="B1:D81" xr:uid="{00000000-0001-0000-0200-000000000000}"/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0" type="noConversion"/>
  <pageMargins left="0.25" right="0.25" top="0.75" bottom="0.75" header="0.3" footer="0.3"/>
  <pageSetup paperSize="9" orientation="landscape" r:id="rId1"/>
  <headerFooter alignWithMargins="0">
    <oddHeader>&amp;LVanuatu Bureau of Statistics &amp;RInternational Visitors Arrival January 2026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B1:AW79"/>
  <sheetViews>
    <sheetView showGridLines="0" zoomScaleNormal="100" zoomScaleSheetLayoutView="75" workbookViewId="0">
      <selection activeCell="J27" sqref="J27"/>
    </sheetView>
  </sheetViews>
  <sheetFormatPr defaultRowHeight="13.2"/>
  <cols>
    <col min="1" max="1" width="2.5546875" customWidth="1"/>
    <col min="2" max="2" width="6.109375" customWidth="1"/>
    <col min="3" max="3" width="9.33203125" style="1" customWidth="1"/>
    <col min="4" max="4" width="11.6640625" customWidth="1"/>
    <col min="5" max="5" width="2.33203125" customWidth="1"/>
    <col min="6" max="6" width="11.33203125" customWidth="1"/>
    <col min="7" max="7" width="2.33203125" customWidth="1"/>
    <col min="8" max="8" width="11.6640625" customWidth="1"/>
    <col min="9" max="9" width="2.33203125" customWidth="1"/>
    <col min="10" max="10" width="11.6640625" customWidth="1"/>
    <col min="11" max="11" width="2.33203125" customWidth="1"/>
    <col min="12" max="12" width="11.6640625" customWidth="1"/>
    <col min="13" max="13" width="2.33203125" customWidth="1"/>
    <col min="14" max="14" width="11.6640625" customWidth="1"/>
    <col min="15" max="15" width="2.33203125" customWidth="1"/>
    <col min="16" max="16" width="11.6640625" customWidth="1"/>
    <col min="17" max="17" width="2.33203125" customWidth="1"/>
    <col min="18" max="18" width="8.44140625" customWidth="1"/>
    <col min="19" max="19" width="2.33203125" customWidth="1"/>
    <col min="20" max="20" width="8.44140625" customWidth="1"/>
    <col min="21" max="21" width="2.33203125" customWidth="1"/>
    <col min="22" max="22" width="2.88671875" hidden="1" customWidth="1"/>
    <col min="23" max="23" width="14.44140625" customWidth="1"/>
    <col min="24" max="24" width="2.44140625" customWidth="1"/>
    <col min="25" max="25" width="7.88671875" style="121" customWidth="1"/>
    <col min="26" max="26" width="7.88671875" customWidth="1"/>
    <col min="28" max="28" width="18.5546875" bestFit="1" customWidth="1"/>
  </cols>
  <sheetData>
    <row r="1" spans="2:49" s="5" customFormat="1" ht="14.25" customHeight="1">
      <c r="B1" s="66" t="s">
        <v>195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19"/>
    </row>
    <row r="2" spans="2:49" s="5" customFormat="1" ht="14.25" customHeight="1">
      <c r="B2" s="66" t="s">
        <v>131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19"/>
    </row>
    <row r="3" spans="2:49" s="1" customFormat="1" ht="6" customHeight="1">
      <c r="Y3" s="70"/>
    </row>
    <row r="4" spans="2:49" s="12" customFormat="1" ht="17.25" customHeight="1">
      <c r="B4" s="143"/>
      <c r="C4" s="636"/>
      <c r="D4" s="940" t="s">
        <v>20</v>
      </c>
      <c r="E4" s="564"/>
      <c r="F4" s="942" t="s">
        <v>133</v>
      </c>
      <c r="G4" s="564"/>
      <c r="H4" s="938" t="s">
        <v>134</v>
      </c>
      <c r="I4" s="564"/>
      <c r="J4" s="944" t="s">
        <v>135</v>
      </c>
      <c r="K4" s="564"/>
      <c r="L4" s="564" t="s">
        <v>21</v>
      </c>
      <c r="M4" s="564"/>
      <c r="N4" s="938" t="s">
        <v>136</v>
      </c>
      <c r="O4" s="564"/>
      <c r="P4" s="564" t="s">
        <v>22</v>
      </c>
      <c r="Q4" s="564"/>
      <c r="R4" s="564" t="s">
        <v>207</v>
      </c>
      <c r="S4" s="564"/>
      <c r="T4" s="938" t="s">
        <v>137</v>
      </c>
      <c r="U4" s="564"/>
      <c r="V4" s="564"/>
      <c r="W4" s="564" t="s">
        <v>14</v>
      </c>
      <c r="X4" s="565"/>
      <c r="Y4" s="636"/>
      <c r="Z4" s="510"/>
    </row>
    <row r="5" spans="2:49" s="12" customFormat="1" ht="12" customHeight="1">
      <c r="B5" s="11"/>
      <c r="D5" s="941"/>
      <c r="E5" s="563"/>
      <c r="F5" s="943"/>
      <c r="G5" s="563"/>
      <c r="H5" s="939"/>
      <c r="I5" s="563"/>
      <c r="J5" s="945"/>
      <c r="K5" s="563"/>
      <c r="L5" s="563"/>
      <c r="M5" s="563"/>
      <c r="N5" s="939"/>
      <c r="O5" s="563"/>
      <c r="P5" s="563"/>
      <c r="Q5" s="563"/>
      <c r="R5" s="563"/>
      <c r="S5" s="563"/>
      <c r="T5" s="939"/>
      <c r="U5" s="563"/>
      <c r="V5" s="563"/>
      <c r="W5" s="563"/>
      <c r="X5" s="97"/>
      <c r="Y5" s="75"/>
      <c r="Z5" s="71"/>
    </row>
    <row r="6" spans="2:49" s="12" customFormat="1" ht="5.25" customHeight="1">
      <c r="B6" s="11"/>
      <c r="D6" s="64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97"/>
      <c r="Y6" s="75"/>
      <c r="Z6" s="71"/>
    </row>
    <row r="7" spans="2:49" s="12" customFormat="1" ht="14.25" customHeight="1">
      <c r="B7" s="68" t="s">
        <v>73</v>
      </c>
      <c r="C7" s="12" t="s">
        <v>115</v>
      </c>
      <c r="D7" s="643" t="s">
        <v>83</v>
      </c>
      <c r="E7" s="563"/>
      <c r="F7" s="563" t="s">
        <v>90</v>
      </c>
      <c r="G7" s="563"/>
      <c r="H7" s="563" t="s">
        <v>90</v>
      </c>
      <c r="I7" s="563"/>
      <c r="J7" s="563" t="s">
        <v>86</v>
      </c>
      <c r="K7" s="563"/>
      <c r="L7" s="563"/>
      <c r="M7" s="563"/>
      <c r="N7" s="563" t="s">
        <v>87</v>
      </c>
      <c r="O7" s="563"/>
      <c r="P7" s="563" t="s">
        <v>84</v>
      </c>
      <c r="Q7" s="563"/>
      <c r="R7" s="563" t="s">
        <v>208</v>
      </c>
      <c r="S7" s="563"/>
      <c r="T7" s="563" t="s">
        <v>91</v>
      </c>
      <c r="U7" s="563"/>
      <c r="V7" s="563"/>
      <c r="W7" s="75"/>
      <c r="X7" s="566"/>
      <c r="Y7" s="75" t="s">
        <v>74</v>
      </c>
      <c r="Z7" s="71" t="s">
        <v>116</v>
      </c>
    </row>
    <row r="8" spans="2:49" s="12" customFormat="1" ht="17.25" customHeight="1">
      <c r="B8" s="91"/>
      <c r="C8" s="94"/>
      <c r="D8" s="99"/>
      <c r="E8" s="92"/>
      <c r="F8" s="93" t="s">
        <v>89</v>
      </c>
      <c r="G8" s="92"/>
      <c r="H8" s="93" t="s">
        <v>85</v>
      </c>
      <c r="I8" s="92"/>
      <c r="J8" s="93" t="s">
        <v>104</v>
      </c>
      <c r="K8" s="92"/>
      <c r="L8" s="93"/>
      <c r="M8" s="92"/>
      <c r="N8" s="93" t="s">
        <v>88</v>
      </c>
      <c r="O8" s="92"/>
      <c r="P8" s="93"/>
      <c r="Q8" s="92"/>
      <c r="R8" s="93"/>
      <c r="S8" s="92"/>
      <c r="T8" s="93" t="s">
        <v>92</v>
      </c>
      <c r="U8" s="92"/>
      <c r="V8" s="92"/>
      <c r="W8" s="96"/>
      <c r="X8" s="101"/>
      <c r="Y8" s="96"/>
      <c r="Z8" s="7"/>
    </row>
    <row r="9" spans="2:49" s="12" customFormat="1" ht="12.75" customHeight="1">
      <c r="B9" s="68">
        <v>2021</v>
      </c>
      <c r="D9" s="545">
        <v>0</v>
      </c>
      <c r="E9" s="234"/>
      <c r="F9" s="234">
        <v>0</v>
      </c>
      <c r="G9" s="234"/>
      <c r="H9" s="234">
        <v>0</v>
      </c>
      <c r="I9" s="234"/>
      <c r="J9" s="234">
        <v>0</v>
      </c>
      <c r="K9" s="234"/>
      <c r="L9" s="234">
        <v>0</v>
      </c>
      <c r="M9" s="234"/>
      <c r="N9" s="234">
        <v>0</v>
      </c>
      <c r="O9" s="234"/>
      <c r="P9" s="234">
        <v>0</v>
      </c>
      <c r="Q9" s="234"/>
      <c r="R9" s="72">
        <v>0</v>
      </c>
      <c r="S9" s="234"/>
      <c r="T9" s="234">
        <v>0</v>
      </c>
      <c r="U9" s="234"/>
      <c r="V9" s="234">
        <v>0</v>
      </c>
      <c r="W9" s="234">
        <v>0</v>
      </c>
      <c r="X9" s="567"/>
      <c r="Y9" s="75">
        <v>2021</v>
      </c>
      <c r="Z9" s="510"/>
    </row>
    <row r="10" spans="2:49" s="12" customFormat="1" ht="12.75" customHeight="1">
      <c r="B10" s="68">
        <v>2022</v>
      </c>
      <c r="D10" s="545">
        <v>17460</v>
      </c>
      <c r="E10" s="234">
        <v>0</v>
      </c>
      <c r="F10" s="234">
        <v>4124</v>
      </c>
      <c r="G10" s="234">
        <v>0</v>
      </c>
      <c r="H10" s="234">
        <v>3224</v>
      </c>
      <c r="I10" s="234">
        <v>0</v>
      </c>
      <c r="J10" s="234">
        <v>1613</v>
      </c>
      <c r="K10" s="234">
        <v>0</v>
      </c>
      <c r="L10" s="234">
        <v>1981</v>
      </c>
      <c r="M10" s="234">
        <v>0</v>
      </c>
      <c r="N10" s="234">
        <v>761</v>
      </c>
      <c r="O10" s="234">
        <v>0</v>
      </c>
      <c r="P10" s="234">
        <v>118</v>
      </c>
      <c r="Q10" s="234">
        <v>0</v>
      </c>
      <c r="R10" s="234">
        <v>406</v>
      </c>
      <c r="S10" s="234">
        <v>0</v>
      </c>
      <c r="T10" s="234">
        <v>686</v>
      </c>
      <c r="U10" s="234">
        <v>0</v>
      </c>
      <c r="V10" s="234">
        <v>3680</v>
      </c>
      <c r="W10" s="234">
        <v>30373</v>
      </c>
      <c r="X10" s="567"/>
      <c r="Y10" s="75">
        <v>2022</v>
      </c>
      <c r="Z10" s="71"/>
    </row>
    <row r="11" spans="2:49" s="12" customFormat="1" ht="12.75" customHeight="1">
      <c r="B11" s="68">
        <v>2023</v>
      </c>
      <c r="D11" s="545">
        <v>45232</v>
      </c>
      <c r="E11" s="234">
        <v>0</v>
      </c>
      <c r="F11" s="234">
        <v>8536</v>
      </c>
      <c r="G11" s="234">
        <v>0</v>
      </c>
      <c r="H11" s="234">
        <v>6347</v>
      </c>
      <c r="I11" s="234">
        <v>0</v>
      </c>
      <c r="J11" s="234">
        <v>3177</v>
      </c>
      <c r="K11" s="234">
        <v>0</v>
      </c>
      <c r="L11" s="234">
        <v>7399</v>
      </c>
      <c r="M11" s="234">
        <v>0</v>
      </c>
      <c r="N11" s="234">
        <v>1993</v>
      </c>
      <c r="O11" s="234">
        <v>0</v>
      </c>
      <c r="P11" s="234">
        <v>528</v>
      </c>
      <c r="Q11" s="234">
        <v>0</v>
      </c>
      <c r="R11" s="234">
        <v>2056</v>
      </c>
      <c r="S11" s="234">
        <v>0</v>
      </c>
      <c r="T11" s="234">
        <v>1731</v>
      </c>
      <c r="U11" s="234">
        <v>0</v>
      </c>
      <c r="V11" s="234">
        <v>0</v>
      </c>
      <c r="W11" s="234">
        <v>76999</v>
      </c>
      <c r="X11" s="567"/>
      <c r="Y11" s="75">
        <v>2023</v>
      </c>
      <c r="Z11" s="71"/>
    </row>
    <row r="12" spans="2:49" s="12" customFormat="1" ht="12.75" customHeight="1">
      <c r="B12" s="68">
        <v>2024</v>
      </c>
      <c r="D12" s="545">
        <v>33450</v>
      </c>
      <c r="E12" s="88">
        <v>0</v>
      </c>
      <c r="F12" s="88">
        <v>4738</v>
      </c>
      <c r="G12" s="88">
        <v>0</v>
      </c>
      <c r="H12" s="88">
        <v>1349</v>
      </c>
      <c r="I12" s="88">
        <v>0</v>
      </c>
      <c r="J12" s="88">
        <v>3791</v>
      </c>
      <c r="K12" s="88">
        <v>0</v>
      </c>
      <c r="L12" s="88">
        <v>7936</v>
      </c>
      <c r="M12" s="88">
        <v>0</v>
      </c>
      <c r="N12" s="88">
        <v>2439</v>
      </c>
      <c r="O12" s="88">
        <v>0</v>
      </c>
      <c r="P12" s="88">
        <v>559</v>
      </c>
      <c r="Q12" s="88">
        <v>0</v>
      </c>
      <c r="R12" s="88">
        <v>2633</v>
      </c>
      <c r="S12" s="88">
        <v>0</v>
      </c>
      <c r="T12" s="88">
        <v>2183</v>
      </c>
      <c r="U12" s="88">
        <v>0</v>
      </c>
      <c r="V12" s="88">
        <v>0</v>
      </c>
      <c r="W12" s="88">
        <v>59078</v>
      </c>
      <c r="X12" s="567"/>
      <c r="Y12" s="75">
        <v>2024</v>
      </c>
      <c r="Z12" s="71"/>
    </row>
    <row r="13" spans="2:49" s="12" customFormat="1" ht="12.75" customHeight="1">
      <c r="B13" s="68">
        <v>2025</v>
      </c>
      <c r="D13" s="545">
        <v>58922</v>
      </c>
      <c r="E13" s="88">
        <v>0</v>
      </c>
      <c r="F13" s="88">
        <v>6046</v>
      </c>
      <c r="G13" s="88">
        <v>0</v>
      </c>
      <c r="H13" s="88">
        <v>2827</v>
      </c>
      <c r="I13" s="88">
        <v>0</v>
      </c>
      <c r="J13" s="88">
        <v>5285</v>
      </c>
      <c r="K13" s="88">
        <v>0</v>
      </c>
      <c r="L13" s="88">
        <v>9493</v>
      </c>
      <c r="M13" s="88">
        <v>0</v>
      </c>
      <c r="N13" s="88">
        <v>3287</v>
      </c>
      <c r="O13" s="88">
        <v>0</v>
      </c>
      <c r="P13" s="88">
        <v>832</v>
      </c>
      <c r="Q13" s="88">
        <v>0</v>
      </c>
      <c r="R13" s="88">
        <v>4735</v>
      </c>
      <c r="S13" s="88">
        <v>0</v>
      </c>
      <c r="T13" s="88">
        <v>4492</v>
      </c>
      <c r="U13" s="88">
        <v>0</v>
      </c>
      <c r="V13" s="88">
        <v>0</v>
      </c>
      <c r="W13" s="88">
        <v>95919</v>
      </c>
      <c r="X13" s="567"/>
      <c r="Y13" s="75">
        <v>2025</v>
      </c>
      <c r="Z13" s="71"/>
    </row>
    <row r="14" spans="2:49" s="12" customFormat="1" ht="12.75" customHeight="1">
      <c r="B14" s="11"/>
      <c r="D14" s="643"/>
      <c r="E14" s="563"/>
      <c r="F14" s="830"/>
      <c r="G14" s="563"/>
      <c r="H14" s="830"/>
      <c r="I14" s="563"/>
      <c r="J14" s="830"/>
      <c r="K14" s="563"/>
      <c r="L14" s="830"/>
      <c r="M14" s="563"/>
      <c r="N14" s="830"/>
      <c r="O14" s="563"/>
      <c r="P14" s="830"/>
      <c r="Q14" s="563"/>
      <c r="R14" s="830"/>
      <c r="S14" s="563"/>
      <c r="T14" s="830"/>
      <c r="U14" s="563"/>
      <c r="V14" s="563"/>
      <c r="W14" s="75"/>
      <c r="X14" s="566"/>
      <c r="Y14" s="75"/>
      <c r="Z14" s="71"/>
    </row>
    <row r="15" spans="2:49" ht="12.75" customHeight="1">
      <c r="B15" s="68">
        <v>2021</v>
      </c>
      <c r="C15" s="509" t="s">
        <v>228</v>
      </c>
      <c r="D15" s="233">
        <v>0</v>
      </c>
      <c r="E15" s="234"/>
      <c r="F15" s="234">
        <v>0</v>
      </c>
      <c r="G15" s="234"/>
      <c r="H15" s="234">
        <v>0</v>
      </c>
      <c r="I15" s="234"/>
      <c r="J15" s="234">
        <v>0</v>
      </c>
      <c r="K15" s="234"/>
      <c r="L15" s="234">
        <v>0</v>
      </c>
      <c r="M15" s="234"/>
      <c r="N15" s="234">
        <v>0</v>
      </c>
      <c r="O15" s="234"/>
      <c r="P15" s="234">
        <v>0</v>
      </c>
      <c r="Q15" s="234"/>
      <c r="R15" s="557">
        <v>0</v>
      </c>
      <c r="S15" s="234"/>
      <c r="T15" s="558">
        <v>0</v>
      </c>
      <c r="U15" s="234"/>
      <c r="V15" s="94"/>
      <c r="W15" s="234">
        <v>0</v>
      </c>
      <c r="X15" s="567"/>
      <c r="Y15" s="75">
        <v>2021</v>
      </c>
      <c r="Z15" s="98" t="s">
        <v>228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2:49" ht="12.75" hidden="1" customHeight="1">
      <c r="B16" s="68">
        <v>2021</v>
      </c>
      <c r="C16" s="509" t="s">
        <v>34</v>
      </c>
      <c r="D16" s="233">
        <v>0</v>
      </c>
      <c r="E16" s="234"/>
      <c r="F16" s="234">
        <v>0</v>
      </c>
      <c r="G16" s="234"/>
      <c r="H16" s="234">
        <v>0</v>
      </c>
      <c r="I16" s="234"/>
      <c r="J16" s="234">
        <v>0</v>
      </c>
      <c r="K16" s="234"/>
      <c r="L16" s="234">
        <v>0</v>
      </c>
      <c r="M16" s="234"/>
      <c r="N16" s="234">
        <v>0</v>
      </c>
      <c r="O16" s="234"/>
      <c r="P16" s="234">
        <v>0</v>
      </c>
      <c r="Q16" s="234"/>
      <c r="R16" s="557">
        <v>0</v>
      </c>
      <c r="S16" s="234"/>
      <c r="T16" s="558">
        <v>0</v>
      </c>
      <c r="U16" s="234"/>
      <c r="V16" s="94"/>
      <c r="W16" s="234">
        <v>0</v>
      </c>
      <c r="X16" s="567"/>
      <c r="Y16" s="75">
        <v>2021</v>
      </c>
      <c r="Z16" s="315" t="s">
        <v>322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2:49" ht="12.75" hidden="1" customHeight="1">
      <c r="B17" s="68">
        <v>2021</v>
      </c>
      <c r="C17" s="509" t="s">
        <v>65</v>
      </c>
      <c r="D17" s="233">
        <v>0</v>
      </c>
      <c r="E17" s="234"/>
      <c r="F17" s="234">
        <v>0</v>
      </c>
      <c r="G17" s="234"/>
      <c r="H17" s="234">
        <v>0</v>
      </c>
      <c r="I17" s="234"/>
      <c r="J17" s="234">
        <v>0</v>
      </c>
      <c r="K17" s="234"/>
      <c r="L17" s="234">
        <v>0</v>
      </c>
      <c r="M17" s="234"/>
      <c r="N17" s="234">
        <v>0</v>
      </c>
      <c r="O17" s="234"/>
      <c r="P17" s="234">
        <v>0</v>
      </c>
      <c r="Q17" s="234"/>
      <c r="R17" s="557">
        <v>0</v>
      </c>
      <c r="S17" s="234"/>
      <c r="T17" s="558">
        <v>0</v>
      </c>
      <c r="U17" s="234"/>
      <c r="V17" s="94"/>
      <c r="W17" s="234">
        <v>0</v>
      </c>
      <c r="X17" s="567"/>
      <c r="Y17" s="75">
        <v>2021</v>
      </c>
      <c r="Z17" s="315" t="s">
        <v>29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2:49" ht="12.75" hidden="1" customHeight="1">
      <c r="B18" s="68">
        <v>2021</v>
      </c>
      <c r="C18" s="509" t="s">
        <v>316</v>
      </c>
      <c r="D18" s="233">
        <v>0</v>
      </c>
      <c r="E18" s="234"/>
      <c r="F18" s="234">
        <v>0</v>
      </c>
      <c r="G18" s="234"/>
      <c r="H18" s="234">
        <v>0</v>
      </c>
      <c r="I18" s="234"/>
      <c r="J18" s="234">
        <v>0</v>
      </c>
      <c r="K18" s="234"/>
      <c r="L18" s="234">
        <v>0</v>
      </c>
      <c r="M18" s="234"/>
      <c r="N18" s="234">
        <v>0</v>
      </c>
      <c r="O18" s="234"/>
      <c r="P18" s="234">
        <v>0</v>
      </c>
      <c r="Q18" s="234"/>
      <c r="R18" s="557">
        <v>0</v>
      </c>
      <c r="S18" s="234"/>
      <c r="T18" s="558">
        <v>0</v>
      </c>
      <c r="U18" s="234"/>
      <c r="V18" s="94"/>
      <c r="W18" s="234">
        <v>0</v>
      </c>
      <c r="X18" s="567"/>
      <c r="Y18" s="75">
        <v>2021</v>
      </c>
      <c r="Z18" s="315" t="s">
        <v>318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2:49" ht="12.75" hidden="1" customHeight="1">
      <c r="B19" s="68">
        <v>2021</v>
      </c>
      <c r="C19" s="509" t="s">
        <v>231</v>
      </c>
      <c r="D19" s="233">
        <v>0</v>
      </c>
      <c r="E19" s="234"/>
      <c r="F19" s="234">
        <v>0</v>
      </c>
      <c r="G19" s="234"/>
      <c r="H19" s="234">
        <v>0</v>
      </c>
      <c r="I19" s="234"/>
      <c r="J19" s="234">
        <v>0</v>
      </c>
      <c r="K19" s="234"/>
      <c r="L19" s="234">
        <v>0</v>
      </c>
      <c r="M19" s="234"/>
      <c r="N19" s="234">
        <v>0</v>
      </c>
      <c r="O19" s="234"/>
      <c r="P19" s="234">
        <v>0</v>
      </c>
      <c r="Q19" s="234"/>
      <c r="R19" s="557">
        <v>0</v>
      </c>
      <c r="S19" s="234"/>
      <c r="T19" s="558">
        <v>0</v>
      </c>
      <c r="U19" s="234"/>
      <c r="V19" s="12"/>
      <c r="W19" s="234">
        <v>0</v>
      </c>
      <c r="X19" s="567"/>
      <c r="Y19" s="75">
        <v>2021</v>
      </c>
      <c r="Z19" s="315" t="s">
        <v>319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2:49" ht="12.75" hidden="1" customHeight="1">
      <c r="B20" s="68">
        <v>2021</v>
      </c>
      <c r="C20" s="509" t="s">
        <v>326</v>
      </c>
      <c r="D20" s="233">
        <v>0</v>
      </c>
      <c r="E20" s="234"/>
      <c r="F20" s="234">
        <v>0</v>
      </c>
      <c r="G20" s="234"/>
      <c r="H20" s="234">
        <v>0</v>
      </c>
      <c r="I20" s="234"/>
      <c r="J20" s="234">
        <v>0</v>
      </c>
      <c r="K20" s="234"/>
      <c r="L20" s="234">
        <v>0</v>
      </c>
      <c r="M20" s="234"/>
      <c r="N20" s="234">
        <v>0</v>
      </c>
      <c r="O20" s="234"/>
      <c r="P20" s="234">
        <v>0</v>
      </c>
      <c r="Q20" s="234"/>
      <c r="R20" s="557">
        <v>0</v>
      </c>
      <c r="S20" s="234"/>
      <c r="T20" s="558">
        <v>0</v>
      </c>
      <c r="U20" s="234"/>
      <c r="V20" s="234"/>
      <c r="W20" s="234">
        <v>0</v>
      </c>
      <c r="X20" s="567"/>
      <c r="Y20" s="75">
        <v>2021</v>
      </c>
      <c r="Z20" s="315" t="s">
        <v>320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2:49" ht="12.75" hidden="1" customHeight="1">
      <c r="B21" s="68">
        <v>2021</v>
      </c>
      <c r="C21" s="509" t="s">
        <v>233</v>
      </c>
      <c r="D21" s="233">
        <v>0</v>
      </c>
      <c r="E21" s="234"/>
      <c r="F21" s="234">
        <v>0</v>
      </c>
      <c r="G21" s="234"/>
      <c r="H21" s="234">
        <v>0</v>
      </c>
      <c r="I21" s="234"/>
      <c r="J21" s="234">
        <v>0</v>
      </c>
      <c r="K21" s="234"/>
      <c r="L21" s="234">
        <v>0</v>
      </c>
      <c r="M21" s="234"/>
      <c r="N21" s="234">
        <v>0</v>
      </c>
      <c r="O21" s="234"/>
      <c r="P21" s="234">
        <v>0</v>
      </c>
      <c r="Q21" s="234"/>
      <c r="R21" s="557">
        <v>0</v>
      </c>
      <c r="S21" s="234"/>
      <c r="T21" s="558">
        <v>0</v>
      </c>
      <c r="U21" s="234"/>
      <c r="V21" s="234"/>
      <c r="W21" s="234">
        <v>0</v>
      </c>
      <c r="X21" s="567"/>
      <c r="Y21" s="75">
        <v>2021</v>
      </c>
      <c r="Z21" s="315" t="s">
        <v>232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2:49" ht="12.75" hidden="1" customHeight="1">
      <c r="B22" s="68">
        <v>2021</v>
      </c>
      <c r="C22" s="509" t="s">
        <v>237</v>
      </c>
      <c r="D22" s="233">
        <v>0</v>
      </c>
      <c r="E22" s="234"/>
      <c r="F22" s="234">
        <v>0</v>
      </c>
      <c r="G22" s="234"/>
      <c r="H22" s="234">
        <v>0</v>
      </c>
      <c r="I22" s="234"/>
      <c r="J22" s="234">
        <v>0</v>
      </c>
      <c r="K22" s="234"/>
      <c r="L22" s="234">
        <v>0</v>
      </c>
      <c r="M22" s="234"/>
      <c r="N22" s="234">
        <v>0</v>
      </c>
      <c r="O22" s="234"/>
      <c r="P22" s="234">
        <v>0</v>
      </c>
      <c r="Q22" s="234"/>
      <c r="R22" s="557">
        <v>0</v>
      </c>
      <c r="S22" s="234"/>
      <c r="T22" s="558">
        <v>0</v>
      </c>
      <c r="U22" s="234"/>
      <c r="V22" s="606"/>
      <c r="W22" s="234">
        <v>0</v>
      </c>
      <c r="X22" s="567"/>
      <c r="Y22" s="75">
        <v>2021</v>
      </c>
      <c r="Z22" s="315" t="s">
        <v>321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2:49" ht="12.75" hidden="1" customHeight="1">
      <c r="B23" s="68">
        <v>2021</v>
      </c>
      <c r="C23" s="509" t="s">
        <v>312</v>
      </c>
      <c r="D23" s="233">
        <v>0</v>
      </c>
      <c r="E23" s="234"/>
      <c r="F23" s="234">
        <v>0</v>
      </c>
      <c r="G23" s="234"/>
      <c r="H23" s="234">
        <v>0</v>
      </c>
      <c r="I23" s="234"/>
      <c r="J23" s="234">
        <v>0</v>
      </c>
      <c r="K23" s="234"/>
      <c r="L23" s="234">
        <v>0</v>
      </c>
      <c r="M23" s="234"/>
      <c r="N23" s="234">
        <v>0</v>
      </c>
      <c r="O23" s="234"/>
      <c r="P23" s="234">
        <v>0</v>
      </c>
      <c r="Q23" s="234"/>
      <c r="R23" s="557">
        <v>0</v>
      </c>
      <c r="S23" s="234"/>
      <c r="T23" s="558">
        <v>0</v>
      </c>
      <c r="U23" s="234"/>
      <c r="V23" s="234"/>
      <c r="W23" s="234">
        <v>0</v>
      </c>
      <c r="X23" s="567"/>
      <c r="Y23" s="75">
        <v>2021</v>
      </c>
      <c r="Z23" s="98" t="s">
        <v>312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2:49" ht="12.75" hidden="1" customHeight="1">
      <c r="B24" s="68">
        <v>2021</v>
      </c>
      <c r="C24" s="98" t="s">
        <v>50</v>
      </c>
      <c r="D24" s="234">
        <v>0</v>
      </c>
      <c r="E24" s="234"/>
      <c r="F24" s="234">
        <v>0</v>
      </c>
      <c r="G24" s="234"/>
      <c r="H24" s="234">
        <v>0</v>
      </c>
      <c r="I24" s="234"/>
      <c r="J24" s="234">
        <v>0</v>
      </c>
      <c r="K24" s="234"/>
      <c r="L24" s="234">
        <v>0</v>
      </c>
      <c r="M24" s="234"/>
      <c r="N24" s="234">
        <v>0</v>
      </c>
      <c r="O24" s="234"/>
      <c r="P24" s="234">
        <v>0</v>
      </c>
      <c r="Q24" s="234"/>
      <c r="R24" s="557">
        <v>0</v>
      </c>
      <c r="S24" s="234"/>
      <c r="T24" s="558">
        <v>0</v>
      </c>
      <c r="U24" s="234"/>
      <c r="V24" s="234"/>
      <c r="W24" s="234">
        <v>0</v>
      </c>
      <c r="X24" s="567"/>
      <c r="Y24" s="75">
        <v>2021</v>
      </c>
      <c r="Z24" s="98" t="s">
        <v>50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2:49" ht="12.75" hidden="1" customHeight="1">
      <c r="B25" s="68">
        <v>2021</v>
      </c>
      <c r="C25" s="509" t="s">
        <v>313</v>
      </c>
      <c r="D25" s="233">
        <v>0</v>
      </c>
      <c r="E25" s="234"/>
      <c r="F25" s="234">
        <v>0</v>
      </c>
      <c r="G25" s="234"/>
      <c r="H25" s="234">
        <v>0</v>
      </c>
      <c r="I25" s="234"/>
      <c r="J25" s="234">
        <v>0</v>
      </c>
      <c r="K25" s="234"/>
      <c r="L25" s="234">
        <v>0</v>
      </c>
      <c r="M25" s="234"/>
      <c r="N25" s="234">
        <v>0</v>
      </c>
      <c r="O25" s="234"/>
      <c r="P25" s="234">
        <v>0</v>
      </c>
      <c r="Q25" s="234"/>
      <c r="R25" s="557">
        <v>0</v>
      </c>
      <c r="S25" s="234"/>
      <c r="T25" s="558">
        <v>0</v>
      </c>
      <c r="U25" s="234"/>
      <c r="V25" s="234"/>
      <c r="W25" s="234">
        <v>0</v>
      </c>
      <c r="X25" s="567"/>
      <c r="Y25" s="75">
        <v>2021</v>
      </c>
      <c r="Z25" s="98" t="s">
        <v>313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2:49" ht="12.75" hidden="1" customHeight="1">
      <c r="B26" s="68">
        <v>2021</v>
      </c>
      <c r="C26" s="509" t="s">
        <v>314</v>
      </c>
      <c r="D26" s="233">
        <v>0</v>
      </c>
      <c r="E26" s="234"/>
      <c r="F26" s="234">
        <v>0</v>
      </c>
      <c r="G26" s="234"/>
      <c r="H26" s="234">
        <v>0</v>
      </c>
      <c r="I26" s="234"/>
      <c r="J26" s="234">
        <v>0</v>
      </c>
      <c r="K26" s="234"/>
      <c r="L26" s="234">
        <v>0</v>
      </c>
      <c r="M26" s="234"/>
      <c r="N26" s="234">
        <v>0</v>
      </c>
      <c r="O26" s="234"/>
      <c r="P26" s="234">
        <v>0</v>
      </c>
      <c r="Q26" s="234"/>
      <c r="R26" s="557">
        <v>0</v>
      </c>
      <c r="S26" s="234"/>
      <c r="T26" s="558">
        <v>0</v>
      </c>
      <c r="U26" s="234"/>
      <c r="V26" s="234"/>
      <c r="W26" s="234">
        <v>0</v>
      </c>
      <c r="X26" s="567"/>
      <c r="Y26" s="75">
        <v>2021</v>
      </c>
      <c r="Z26" s="98" t="s">
        <v>327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2:49" ht="12.75" customHeight="1">
      <c r="B27" s="68">
        <v>2022</v>
      </c>
      <c r="C27" s="509" t="s">
        <v>228</v>
      </c>
      <c r="D27" s="233">
        <v>0</v>
      </c>
      <c r="E27" s="234"/>
      <c r="F27" s="234">
        <v>0</v>
      </c>
      <c r="G27" s="234"/>
      <c r="H27" s="234">
        <v>0</v>
      </c>
      <c r="I27" s="234"/>
      <c r="J27" s="234">
        <v>0</v>
      </c>
      <c r="K27" s="234"/>
      <c r="L27" s="234">
        <v>0</v>
      </c>
      <c r="M27" s="234"/>
      <c r="N27" s="234">
        <v>0</v>
      </c>
      <c r="O27" s="234"/>
      <c r="P27" s="234">
        <v>0</v>
      </c>
      <c r="Q27" s="234"/>
      <c r="R27" s="557">
        <v>0</v>
      </c>
      <c r="S27" s="234"/>
      <c r="T27" s="558">
        <v>0</v>
      </c>
      <c r="U27" s="234"/>
      <c r="V27" s="234"/>
      <c r="W27" s="234">
        <v>0</v>
      </c>
      <c r="X27" s="74"/>
      <c r="Y27" s="68">
        <v>2022</v>
      </c>
      <c r="Z27" s="98" t="s">
        <v>228</v>
      </c>
      <c r="AA27" s="648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2:49" ht="12.75" hidden="1" customHeight="1">
      <c r="B28" s="68">
        <v>2022</v>
      </c>
      <c r="C28" s="98" t="s">
        <v>315</v>
      </c>
      <c r="D28" s="234">
        <v>0</v>
      </c>
      <c r="E28" s="234"/>
      <c r="F28" s="234">
        <v>0</v>
      </c>
      <c r="G28" s="234"/>
      <c r="H28" s="234">
        <v>0</v>
      </c>
      <c r="I28" s="234"/>
      <c r="J28" s="234">
        <v>0</v>
      </c>
      <c r="K28" s="234"/>
      <c r="L28" s="234">
        <v>0</v>
      </c>
      <c r="M28" s="234"/>
      <c r="N28" s="234">
        <v>0</v>
      </c>
      <c r="O28" s="234"/>
      <c r="P28" s="234">
        <v>0</v>
      </c>
      <c r="Q28" s="234"/>
      <c r="R28" s="557">
        <v>0</v>
      </c>
      <c r="S28" s="234"/>
      <c r="T28" s="558">
        <v>0</v>
      </c>
      <c r="U28" s="234"/>
      <c r="V28" s="234"/>
      <c r="W28" s="234">
        <v>0</v>
      </c>
      <c r="X28" s="74"/>
      <c r="Y28" s="68">
        <v>2022</v>
      </c>
      <c r="Z28" s="98" t="s">
        <v>322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2:49" ht="12.75" hidden="1" customHeight="1">
      <c r="B29" s="68">
        <v>2022</v>
      </c>
      <c r="C29" s="509" t="s">
        <v>29</v>
      </c>
      <c r="D29" s="233">
        <v>0</v>
      </c>
      <c r="E29" s="234"/>
      <c r="F29" s="234">
        <v>0</v>
      </c>
      <c r="G29" s="234"/>
      <c r="H29" s="234">
        <v>0</v>
      </c>
      <c r="I29" s="234"/>
      <c r="J29" s="234">
        <v>0</v>
      </c>
      <c r="K29" s="234"/>
      <c r="L29" s="234">
        <v>0</v>
      </c>
      <c r="M29" s="234"/>
      <c r="N29" s="234">
        <v>0</v>
      </c>
      <c r="O29" s="234"/>
      <c r="P29" s="234">
        <v>0</v>
      </c>
      <c r="Q29" s="234"/>
      <c r="R29" s="557">
        <v>0</v>
      </c>
      <c r="S29" s="234"/>
      <c r="T29" s="558">
        <v>0</v>
      </c>
      <c r="U29" s="234"/>
      <c r="V29" s="234"/>
      <c r="W29" s="234">
        <v>0</v>
      </c>
      <c r="X29" s="74"/>
      <c r="Y29" s="68">
        <v>2022</v>
      </c>
      <c r="Z29" s="98" t="s">
        <v>29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2:49" ht="12.75" hidden="1" customHeight="1">
      <c r="B30" s="68">
        <v>2022</v>
      </c>
      <c r="C30" s="509" t="s">
        <v>35</v>
      </c>
      <c r="D30" s="233">
        <v>0</v>
      </c>
      <c r="E30" s="234"/>
      <c r="F30" s="234">
        <v>0</v>
      </c>
      <c r="G30" s="234"/>
      <c r="H30" s="234">
        <v>0</v>
      </c>
      <c r="I30" s="234"/>
      <c r="J30" s="234">
        <v>0</v>
      </c>
      <c r="K30" s="234"/>
      <c r="L30" s="234">
        <v>0</v>
      </c>
      <c r="M30" s="234"/>
      <c r="N30" s="234">
        <v>0</v>
      </c>
      <c r="O30" s="234"/>
      <c r="P30" s="234">
        <v>0</v>
      </c>
      <c r="Q30" s="234"/>
      <c r="R30" s="557">
        <v>0</v>
      </c>
      <c r="S30" s="234"/>
      <c r="T30" s="558">
        <v>0</v>
      </c>
      <c r="U30" s="234"/>
      <c r="V30" s="234"/>
      <c r="W30" s="234">
        <v>0</v>
      </c>
      <c r="X30" s="74"/>
      <c r="Y30" s="68">
        <v>2022</v>
      </c>
      <c r="Z30" s="98" t="s">
        <v>76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2:49" ht="12.75" hidden="1" customHeight="1">
      <c r="B31" s="68">
        <v>2022</v>
      </c>
      <c r="C31" s="509" t="s">
        <v>231</v>
      </c>
      <c r="D31" s="233">
        <v>0</v>
      </c>
      <c r="E31" s="234"/>
      <c r="F31" s="234">
        <v>0</v>
      </c>
      <c r="G31" s="234"/>
      <c r="H31" s="234">
        <v>0</v>
      </c>
      <c r="I31" s="234"/>
      <c r="J31" s="234">
        <v>0</v>
      </c>
      <c r="K31" s="234"/>
      <c r="L31" s="234">
        <v>0</v>
      </c>
      <c r="M31" s="234"/>
      <c r="N31" s="234">
        <v>0</v>
      </c>
      <c r="O31" s="234"/>
      <c r="P31" s="234">
        <v>0</v>
      </c>
      <c r="Q31" s="234"/>
      <c r="R31" s="557">
        <v>0</v>
      </c>
      <c r="S31" s="234"/>
      <c r="T31" s="558">
        <v>0</v>
      </c>
      <c r="U31" s="234"/>
      <c r="V31" s="234"/>
      <c r="W31" s="234">
        <v>0</v>
      </c>
      <c r="X31" s="74"/>
      <c r="Y31" s="68">
        <v>2022</v>
      </c>
      <c r="Z31" s="98" t="s">
        <v>77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2:49" ht="12.75" hidden="1" customHeight="1">
      <c r="B32" s="68">
        <v>2022</v>
      </c>
      <c r="C32" s="98" t="s">
        <v>30</v>
      </c>
      <c r="D32" s="234">
        <v>0</v>
      </c>
      <c r="E32" s="234"/>
      <c r="F32" s="234">
        <v>0</v>
      </c>
      <c r="G32" s="234"/>
      <c r="H32" s="234">
        <v>0</v>
      </c>
      <c r="I32" s="234"/>
      <c r="J32" s="234">
        <v>0</v>
      </c>
      <c r="K32" s="234"/>
      <c r="L32" s="234">
        <v>0</v>
      </c>
      <c r="M32" s="234"/>
      <c r="N32" s="234">
        <v>0</v>
      </c>
      <c r="O32" s="234"/>
      <c r="P32" s="234">
        <v>0</v>
      </c>
      <c r="Q32" s="234"/>
      <c r="R32" s="557">
        <v>0</v>
      </c>
      <c r="S32" s="234"/>
      <c r="T32" s="558">
        <v>0</v>
      </c>
      <c r="U32" s="234"/>
      <c r="V32" s="234"/>
      <c r="W32" s="234">
        <v>0</v>
      </c>
      <c r="X32" s="567"/>
      <c r="Y32" s="68">
        <v>2022</v>
      </c>
      <c r="Z32" s="98" t="s">
        <v>78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2:49" ht="12.75" hidden="1" customHeight="1">
      <c r="B33" s="68">
        <v>2022</v>
      </c>
      <c r="C33" s="98" t="s">
        <v>233</v>
      </c>
      <c r="D33" s="234">
        <v>1958</v>
      </c>
      <c r="E33" s="234"/>
      <c r="F33" s="234">
        <v>582</v>
      </c>
      <c r="G33" s="234"/>
      <c r="H33" s="234">
        <v>186</v>
      </c>
      <c r="I33" s="234"/>
      <c r="J33" s="686">
        <v>151</v>
      </c>
      <c r="K33" s="234"/>
      <c r="L33" s="234">
        <v>446</v>
      </c>
      <c r="M33" s="234"/>
      <c r="N33" s="234">
        <v>93</v>
      </c>
      <c r="O33" s="234"/>
      <c r="P33" s="652">
        <v>7</v>
      </c>
      <c r="Q33" s="234"/>
      <c r="R33" s="287">
        <v>52</v>
      </c>
      <c r="S33" s="234"/>
      <c r="T33" s="104">
        <v>63</v>
      </c>
      <c r="U33" s="234"/>
      <c r="V33" s="651"/>
      <c r="W33" s="234">
        <v>3538</v>
      </c>
      <c r="X33" s="567"/>
      <c r="Y33" s="68">
        <v>2022</v>
      </c>
      <c r="Z33" s="315" t="s">
        <v>232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2:49" ht="12.75" hidden="1" customHeight="1">
      <c r="B34" s="68">
        <v>2022</v>
      </c>
      <c r="C34" s="98" t="s">
        <v>237</v>
      </c>
      <c r="D34" s="234">
        <v>2061</v>
      </c>
      <c r="E34" s="234"/>
      <c r="F34" s="234">
        <v>739</v>
      </c>
      <c r="G34" s="234"/>
      <c r="H34" s="234">
        <v>513</v>
      </c>
      <c r="I34" s="234"/>
      <c r="J34" s="686">
        <v>283</v>
      </c>
      <c r="K34" s="234"/>
      <c r="L34" s="234">
        <v>542</v>
      </c>
      <c r="M34" s="234"/>
      <c r="N34" s="234">
        <v>140</v>
      </c>
      <c r="O34" s="234"/>
      <c r="P34" s="234">
        <v>39</v>
      </c>
      <c r="Q34" s="234"/>
      <c r="R34" s="287">
        <v>108</v>
      </c>
      <c r="S34" s="234"/>
      <c r="T34" s="104">
        <v>150</v>
      </c>
      <c r="U34" s="234"/>
      <c r="V34" s="234"/>
      <c r="W34" s="234">
        <v>4575</v>
      </c>
      <c r="X34" s="567"/>
      <c r="Y34" s="68">
        <v>2022</v>
      </c>
      <c r="Z34" s="315" t="s">
        <v>321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2:49" ht="12.75" hidden="1" customHeight="1">
      <c r="B35" s="68">
        <v>2022</v>
      </c>
      <c r="C35" s="509" t="s">
        <v>31</v>
      </c>
      <c r="D35" s="233">
        <v>3680</v>
      </c>
      <c r="E35" s="234" t="s">
        <v>41</v>
      </c>
      <c r="F35" s="234">
        <v>769</v>
      </c>
      <c r="G35" s="234" t="s">
        <v>41</v>
      </c>
      <c r="H35" s="234">
        <v>305</v>
      </c>
      <c r="I35" s="234" t="s">
        <v>41</v>
      </c>
      <c r="J35" s="686">
        <v>351</v>
      </c>
      <c r="K35" s="234" t="s">
        <v>41</v>
      </c>
      <c r="L35" s="234">
        <v>223</v>
      </c>
      <c r="M35" s="234" t="s">
        <v>41</v>
      </c>
      <c r="N35" s="234">
        <v>141</v>
      </c>
      <c r="O35" s="234" t="s">
        <v>41</v>
      </c>
      <c r="P35" s="234">
        <v>16</v>
      </c>
      <c r="Q35" s="234" t="s">
        <v>41</v>
      </c>
      <c r="R35" s="234">
        <v>51</v>
      </c>
      <c r="S35" s="234" t="s">
        <v>41</v>
      </c>
      <c r="T35" s="234">
        <v>99</v>
      </c>
      <c r="U35" s="234"/>
      <c r="V35" s="234">
        <v>3680</v>
      </c>
      <c r="W35" s="234">
        <v>5635</v>
      </c>
      <c r="X35" s="74"/>
      <c r="Y35" s="68">
        <v>2022</v>
      </c>
      <c r="Z35" s="315" t="s">
        <v>31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2:49" ht="12.75" hidden="1" customHeight="1">
      <c r="B36" s="68">
        <v>2022</v>
      </c>
      <c r="C36" s="509" t="s">
        <v>50</v>
      </c>
      <c r="D36" s="861">
        <v>2346</v>
      </c>
      <c r="E36" s="686"/>
      <c r="F36" s="688">
        <v>683</v>
      </c>
      <c r="G36" s="686"/>
      <c r="H36" s="688">
        <v>566</v>
      </c>
      <c r="I36" s="686"/>
      <c r="J36" s="688">
        <v>186</v>
      </c>
      <c r="K36" s="686"/>
      <c r="L36" s="686">
        <v>166</v>
      </c>
      <c r="M36" s="686"/>
      <c r="N36" s="687">
        <v>66</v>
      </c>
      <c r="O36" s="686"/>
      <c r="P36" s="686">
        <v>7</v>
      </c>
      <c r="Q36" s="686" t="s">
        <v>41</v>
      </c>
      <c r="R36" s="686">
        <v>27</v>
      </c>
      <c r="S36" s="686"/>
      <c r="T36" s="686">
        <v>57</v>
      </c>
      <c r="U36" s="686"/>
      <c r="V36" s="686"/>
      <c r="W36" s="234">
        <v>4104</v>
      </c>
      <c r="X36" s="74"/>
      <c r="Y36" s="68">
        <v>2022</v>
      </c>
      <c r="Z36" s="98" t="s">
        <v>50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2:49" ht="12.75" hidden="1" customHeight="1">
      <c r="B37" s="68">
        <v>2022</v>
      </c>
      <c r="C37" s="646" t="s">
        <v>313</v>
      </c>
      <c r="D37" s="686">
        <v>2806</v>
      </c>
      <c r="E37" s="686"/>
      <c r="F37" s="688">
        <v>634</v>
      </c>
      <c r="G37" s="686"/>
      <c r="H37" s="688">
        <v>501</v>
      </c>
      <c r="I37" s="686"/>
      <c r="J37" s="688">
        <v>349</v>
      </c>
      <c r="K37" s="686"/>
      <c r="L37" s="686">
        <v>283</v>
      </c>
      <c r="M37" s="686"/>
      <c r="N37" s="687">
        <v>174</v>
      </c>
      <c r="O37" s="686"/>
      <c r="P37" s="686">
        <v>27</v>
      </c>
      <c r="Q37" s="686" t="s">
        <v>41</v>
      </c>
      <c r="R37" s="686">
        <v>61</v>
      </c>
      <c r="S37" s="686"/>
      <c r="T37" s="686">
        <v>164</v>
      </c>
      <c r="U37" s="686"/>
      <c r="V37" s="686"/>
      <c r="W37" s="686">
        <v>4999</v>
      </c>
      <c r="X37" s="567"/>
      <c r="Y37" s="68">
        <v>2022</v>
      </c>
      <c r="Z37" s="71" t="s">
        <v>313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2:49" ht="12.75" hidden="1" customHeight="1">
      <c r="B38" s="68">
        <v>2022</v>
      </c>
      <c r="C38" s="646" t="s">
        <v>314</v>
      </c>
      <c r="D38" s="686">
        <v>4609</v>
      </c>
      <c r="E38" s="686"/>
      <c r="F38" s="688">
        <v>717</v>
      </c>
      <c r="G38" s="686"/>
      <c r="H38" s="688">
        <v>1153</v>
      </c>
      <c r="I38" s="686"/>
      <c r="J38" s="688">
        <v>293</v>
      </c>
      <c r="K38" s="686"/>
      <c r="L38" s="686">
        <v>321</v>
      </c>
      <c r="M38" s="686"/>
      <c r="N38" s="687">
        <v>147</v>
      </c>
      <c r="O38" s="686"/>
      <c r="P38" s="686">
        <v>22</v>
      </c>
      <c r="Q38" s="686" t="s">
        <v>41</v>
      </c>
      <c r="R38" s="686">
        <v>107</v>
      </c>
      <c r="S38" s="686"/>
      <c r="T38" s="686">
        <v>153</v>
      </c>
      <c r="U38" s="686"/>
      <c r="V38" s="686"/>
      <c r="W38" s="686">
        <v>7522</v>
      </c>
      <c r="X38" s="567"/>
      <c r="Y38" s="68">
        <v>2022</v>
      </c>
      <c r="Z38" s="71" t="s">
        <v>327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2:49" ht="12.75" customHeight="1">
      <c r="B39" s="68">
        <v>2023</v>
      </c>
      <c r="C39" s="646" t="s">
        <v>33</v>
      </c>
      <c r="D39" s="233">
        <v>3835</v>
      </c>
      <c r="E39" s="234"/>
      <c r="F39" s="234">
        <v>471</v>
      </c>
      <c r="G39" s="234"/>
      <c r="H39" s="234">
        <v>1163</v>
      </c>
      <c r="I39" s="234"/>
      <c r="J39" s="234">
        <v>199</v>
      </c>
      <c r="K39" s="234"/>
      <c r="L39" s="234">
        <v>592</v>
      </c>
      <c r="M39" s="234"/>
      <c r="N39" s="234">
        <v>142</v>
      </c>
      <c r="O39" s="234"/>
      <c r="P39" s="234">
        <v>32</v>
      </c>
      <c r="Q39" s="234"/>
      <c r="R39" s="234">
        <v>64</v>
      </c>
      <c r="S39" s="234"/>
      <c r="T39" s="234">
        <v>100</v>
      </c>
      <c r="U39" s="234"/>
      <c r="V39" s="234"/>
      <c r="W39" s="234">
        <v>6598</v>
      </c>
      <c r="X39" s="567"/>
      <c r="Y39" s="68">
        <v>2023</v>
      </c>
      <c r="Z39" s="71" t="s">
        <v>33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2:49" ht="12.75" hidden="1" customHeight="1">
      <c r="B40" s="68">
        <v>2023</v>
      </c>
      <c r="C40" s="646" t="s">
        <v>34</v>
      </c>
      <c r="D40" s="234">
        <v>1536</v>
      </c>
      <c r="E40" s="234" t="s">
        <v>41</v>
      </c>
      <c r="F40" s="234">
        <v>152</v>
      </c>
      <c r="G40" s="234" t="s">
        <v>41</v>
      </c>
      <c r="H40" s="234">
        <v>518</v>
      </c>
      <c r="I40" s="234" t="s">
        <v>41</v>
      </c>
      <c r="J40" s="234">
        <v>182</v>
      </c>
      <c r="K40" s="234" t="s">
        <v>41</v>
      </c>
      <c r="L40" s="234">
        <v>430</v>
      </c>
      <c r="M40" s="234" t="s">
        <v>41</v>
      </c>
      <c r="N40" s="234">
        <v>139</v>
      </c>
      <c r="O40" s="234" t="s">
        <v>41</v>
      </c>
      <c r="P40" s="234">
        <v>25</v>
      </c>
      <c r="Q40" s="234"/>
      <c r="R40" s="234">
        <v>142</v>
      </c>
      <c r="S40" s="234"/>
      <c r="T40" s="234">
        <v>115</v>
      </c>
      <c r="U40" s="234"/>
      <c r="V40" s="234"/>
      <c r="W40" s="234">
        <v>3239</v>
      </c>
      <c r="X40" s="642" t="s">
        <v>41</v>
      </c>
      <c r="Y40" s="68">
        <v>2023</v>
      </c>
      <c r="Z40" s="71" t="s">
        <v>75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2:49" ht="12.75" hidden="1" customHeight="1">
      <c r="B41" s="68">
        <v>2023</v>
      </c>
      <c r="C41" s="646" t="s">
        <v>29</v>
      </c>
      <c r="D41" s="686">
        <v>357</v>
      </c>
      <c r="E41" s="686"/>
      <c r="F41" s="686">
        <v>36</v>
      </c>
      <c r="G41" s="686"/>
      <c r="H41" s="686">
        <v>45</v>
      </c>
      <c r="I41" s="686"/>
      <c r="J41" s="686">
        <v>15</v>
      </c>
      <c r="K41" s="686"/>
      <c r="L41" s="686">
        <v>43</v>
      </c>
      <c r="M41" s="686"/>
      <c r="N41" s="686">
        <v>10</v>
      </c>
      <c r="O41" s="686"/>
      <c r="P41" s="686">
        <v>4</v>
      </c>
      <c r="Q41" s="686"/>
      <c r="R41" s="686">
        <v>27</v>
      </c>
      <c r="S41" s="686"/>
      <c r="T41" s="686">
        <v>14</v>
      </c>
      <c r="U41" s="686"/>
      <c r="V41" s="686"/>
      <c r="W41" s="234">
        <v>551</v>
      </c>
      <c r="X41" s="567"/>
      <c r="Y41" s="68">
        <v>2023</v>
      </c>
      <c r="Z41" s="71" t="s">
        <v>29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2:49" ht="12.75" hidden="1" customHeight="1">
      <c r="B42" s="68">
        <v>2023</v>
      </c>
      <c r="C42" s="646" t="s">
        <v>35</v>
      </c>
      <c r="D42" s="234">
        <v>4272</v>
      </c>
      <c r="E42" s="234"/>
      <c r="F42" s="234">
        <v>669</v>
      </c>
      <c r="G42" s="234"/>
      <c r="H42" s="234">
        <v>566</v>
      </c>
      <c r="I42" s="234"/>
      <c r="J42" s="234">
        <v>275</v>
      </c>
      <c r="K42" s="234"/>
      <c r="L42" s="234">
        <v>604</v>
      </c>
      <c r="M42" s="234"/>
      <c r="N42" s="234">
        <v>166</v>
      </c>
      <c r="O42" s="234"/>
      <c r="P42" s="234">
        <v>47</v>
      </c>
      <c r="Q42" s="234"/>
      <c r="R42" s="234">
        <v>162</v>
      </c>
      <c r="S42" s="234"/>
      <c r="T42" s="234">
        <v>137</v>
      </c>
      <c r="U42" s="234"/>
      <c r="V42" s="234"/>
      <c r="W42" s="234">
        <v>6898</v>
      </c>
      <c r="X42" s="567"/>
      <c r="Y42" s="68">
        <v>2023</v>
      </c>
      <c r="Z42" s="71" t="s">
        <v>76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2:49" ht="12.75" hidden="1" customHeight="1">
      <c r="B43" s="68">
        <v>2023</v>
      </c>
      <c r="C43" s="646" t="s">
        <v>4</v>
      </c>
      <c r="D43" s="234">
        <v>3540</v>
      </c>
      <c r="E43" s="234"/>
      <c r="F43" s="234">
        <v>545</v>
      </c>
      <c r="G43" s="234"/>
      <c r="H43" s="234">
        <v>361</v>
      </c>
      <c r="I43" s="234"/>
      <c r="J43" s="234">
        <v>341</v>
      </c>
      <c r="K43" s="234"/>
      <c r="L43" s="234">
        <v>652</v>
      </c>
      <c r="M43" s="234"/>
      <c r="N43" s="234">
        <v>202</v>
      </c>
      <c r="O43" s="234"/>
      <c r="P43" s="234">
        <v>40</v>
      </c>
      <c r="Q43" s="234"/>
      <c r="R43" s="234">
        <v>160</v>
      </c>
      <c r="S43" s="234"/>
      <c r="T43" s="234">
        <v>151</v>
      </c>
      <c r="U43" s="234"/>
      <c r="V43" s="234"/>
      <c r="W43" s="234">
        <v>5992</v>
      </c>
      <c r="X43" s="567"/>
      <c r="Y43" s="68">
        <v>2023</v>
      </c>
      <c r="Z43" s="71" t="s">
        <v>77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2:49" ht="12.75" hidden="1" customHeight="1">
      <c r="B44" s="68">
        <v>2023</v>
      </c>
      <c r="C44" s="646" t="s">
        <v>30</v>
      </c>
      <c r="D44" s="234">
        <v>5381</v>
      </c>
      <c r="E44" s="234"/>
      <c r="F44" s="234">
        <v>973</v>
      </c>
      <c r="G44" s="234"/>
      <c r="H44" s="234">
        <v>624</v>
      </c>
      <c r="I44" s="234"/>
      <c r="J44" s="234">
        <v>289</v>
      </c>
      <c r="K44" s="234"/>
      <c r="L44" s="234">
        <v>647</v>
      </c>
      <c r="M44" s="234"/>
      <c r="N44" s="234">
        <v>280</v>
      </c>
      <c r="O44" s="234"/>
      <c r="P44" s="234">
        <v>26</v>
      </c>
      <c r="Q44" s="234"/>
      <c r="R44" s="234">
        <v>213</v>
      </c>
      <c r="S44" s="234"/>
      <c r="T44" s="234">
        <v>219</v>
      </c>
      <c r="U44" s="234"/>
      <c r="V44" s="234"/>
      <c r="W44" s="234">
        <v>8652</v>
      </c>
      <c r="X44" s="567"/>
      <c r="Y44" s="68">
        <v>2023</v>
      </c>
      <c r="Z44" s="71" t="s">
        <v>78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2:49" ht="12.75" hidden="1" customHeight="1">
      <c r="B45" s="68">
        <v>2023</v>
      </c>
      <c r="C45" s="646" t="s">
        <v>36</v>
      </c>
      <c r="D45" s="234">
        <v>5705</v>
      </c>
      <c r="E45" s="234"/>
      <c r="F45" s="234">
        <v>1516</v>
      </c>
      <c r="G45" s="234"/>
      <c r="H45" s="234">
        <v>436</v>
      </c>
      <c r="I45" s="234"/>
      <c r="J45" s="234">
        <v>386</v>
      </c>
      <c r="K45" s="234"/>
      <c r="L45" s="234">
        <v>975</v>
      </c>
      <c r="M45" s="234"/>
      <c r="N45" s="234">
        <v>196</v>
      </c>
      <c r="O45" s="234"/>
      <c r="P45" s="234">
        <v>51</v>
      </c>
      <c r="Q45" s="234"/>
      <c r="R45" s="234">
        <v>226</v>
      </c>
      <c r="S45" s="234"/>
      <c r="T45" s="234">
        <v>207</v>
      </c>
      <c r="U45" s="234"/>
      <c r="V45" s="234"/>
      <c r="W45" s="234">
        <v>9698</v>
      </c>
      <c r="X45" s="567"/>
      <c r="Y45" s="68">
        <v>2023</v>
      </c>
      <c r="Z45" s="71" t="s">
        <v>79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2:49" ht="12.75" hidden="1" customHeight="1">
      <c r="B46" s="68">
        <v>2023</v>
      </c>
      <c r="C46" s="646" t="s">
        <v>37</v>
      </c>
      <c r="D46" s="234">
        <v>4083</v>
      </c>
      <c r="E46" s="234"/>
      <c r="F46" s="234">
        <v>1493</v>
      </c>
      <c r="G46" s="234"/>
      <c r="H46" s="234">
        <v>481</v>
      </c>
      <c r="I46" s="234"/>
      <c r="J46" s="234">
        <v>360</v>
      </c>
      <c r="K46" s="234"/>
      <c r="L46" s="234">
        <v>1070</v>
      </c>
      <c r="M46" s="234"/>
      <c r="N46" s="234">
        <v>179</v>
      </c>
      <c r="O46" s="234"/>
      <c r="P46" s="234">
        <v>105</v>
      </c>
      <c r="Q46" s="234"/>
      <c r="R46" s="234">
        <v>287</v>
      </c>
      <c r="S46" s="234"/>
      <c r="T46" s="234">
        <v>208</v>
      </c>
      <c r="U46" s="234"/>
      <c r="V46" s="234"/>
      <c r="W46" s="234">
        <v>8266</v>
      </c>
      <c r="X46" s="567"/>
      <c r="Y46" s="68">
        <v>2023</v>
      </c>
      <c r="Z46" s="315" t="s">
        <v>80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2:49" ht="12.75" hidden="1" customHeight="1">
      <c r="B47" s="68">
        <v>2023</v>
      </c>
      <c r="C47" s="646" t="s">
        <v>31</v>
      </c>
      <c r="D47" s="234">
        <v>5178</v>
      </c>
      <c r="E47" s="234"/>
      <c r="F47" s="234">
        <v>838</v>
      </c>
      <c r="G47" s="234"/>
      <c r="H47" s="234">
        <v>310</v>
      </c>
      <c r="I47" s="234"/>
      <c r="J47" s="234">
        <v>271</v>
      </c>
      <c r="K47" s="234"/>
      <c r="L47" s="234">
        <v>512</v>
      </c>
      <c r="M47" s="234"/>
      <c r="N47" s="234">
        <v>155</v>
      </c>
      <c r="O47" s="234"/>
      <c r="P47" s="234">
        <v>98</v>
      </c>
      <c r="Q47" s="234"/>
      <c r="R47" s="234">
        <v>222</v>
      </c>
      <c r="S47" s="234"/>
      <c r="T47" s="234">
        <v>110</v>
      </c>
      <c r="U47" s="234"/>
      <c r="V47" s="234"/>
      <c r="W47" s="234">
        <v>7694</v>
      </c>
      <c r="X47" s="567"/>
      <c r="Y47" s="68">
        <v>2023</v>
      </c>
      <c r="Z47" s="315" t="s">
        <v>31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2:49" ht="12.75" hidden="1" customHeight="1">
      <c r="B48" s="68">
        <v>2023</v>
      </c>
      <c r="C48" s="646" t="s">
        <v>38</v>
      </c>
      <c r="D48" s="234">
        <v>4324</v>
      </c>
      <c r="E48" s="234"/>
      <c r="F48" s="234">
        <v>691</v>
      </c>
      <c r="G48" s="234"/>
      <c r="H48" s="234">
        <v>632</v>
      </c>
      <c r="I48" s="234"/>
      <c r="J48" s="234">
        <v>339</v>
      </c>
      <c r="K48" s="234"/>
      <c r="L48" s="234">
        <v>631</v>
      </c>
      <c r="M48" s="234"/>
      <c r="N48" s="234">
        <v>179</v>
      </c>
      <c r="O48" s="234"/>
      <c r="P48" s="234">
        <v>37</v>
      </c>
      <c r="Q48" s="234"/>
      <c r="R48" s="234">
        <v>199</v>
      </c>
      <c r="S48" s="234"/>
      <c r="T48" s="234">
        <v>167</v>
      </c>
      <c r="U48" s="234"/>
      <c r="V48" s="234"/>
      <c r="W48" s="234">
        <v>7199</v>
      </c>
      <c r="X48" s="567"/>
      <c r="Y48" s="68">
        <v>2023</v>
      </c>
      <c r="Z48" s="315" t="s">
        <v>38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2:49" ht="12.75" hidden="1" customHeight="1">
      <c r="B49" s="68">
        <v>2023</v>
      </c>
      <c r="C49" s="646" t="s">
        <v>39</v>
      </c>
      <c r="D49" s="234">
        <v>3067</v>
      </c>
      <c r="E49" s="234"/>
      <c r="F49" s="234">
        <v>548</v>
      </c>
      <c r="G49" s="234"/>
      <c r="H49" s="234">
        <v>442</v>
      </c>
      <c r="I49" s="234"/>
      <c r="J49" s="234">
        <v>248</v>
      </c>
      <c r="K49" s="234"/>
      <c r="L49" s="234">
        <v>583</v>
      </c>
      <c r="M49" s="234"/>
      <c r="N49" s="234">
        <v>191</v>
      </c>
      <c r="O49" s="234"/>
      <c r="P49" s="234">
        <v>34</v>
      </c>
      <c r="Q49" s="234"/>
      <c r="R49" s="234">
        <v>164</v>
      </c>
      <c r="S49" s="234"/>
      <c r="T49" s="234">
        <v>167</v>
      </c>
      <c r="U49" s="234"/>
      <c r="V49" s="234"/>
      <c r="W49" s="234">
        <v>5444</v>
      </c>
      <c r="X49" s="567"/>
      <c r="Y49" s="68">
        <v>2023</v>
      </c>
      <c r="Z49" s="315" t="s">
        <v>39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2:49" ht="12.75" hidden="1" customHeight="1">
      <c r="B50" s="68">
        <v>2023</v>
      </c>
      <c r="C50" s="646" t="s">
        <v>32</v>
      </c>
      <c r="D50" s="234">
        <v>3954</v>
      </c>
      <c r="E50" s="234"/>
      <c r="F50" s="234">
        <v>604</v>
      </c>
      <c r="G50" s="234"/>
      <c r="H50" s="234">
        <v>769</v>
      </c>
      <c r="I50" s="234"/>
      <c r="J50" s="234">
        <v>272</v>
      </c>
      <c r="K50" s="234"/>
      <c r="L50" s="234">
        <v>660</v>
      </c>
      <c r="M50" s="234"/>
      <c r="N50" s="234">
        <v>154</v>
      </c>
      <c r="O50" s="234"/>
      <c r="P50" s="234">
        <v>29</v>
      </c>
      <c r="Q50" s="234"/>
      <c r="R50" s="234">
        <v>190</v>
      </c>
      <c r="S50" s="234"/>
      <c r="T50" s="234">
        <v>136</v>
      </c>
      <c r="U50" s="234"/>
      <c r="V50" s="234"/>
      <c r="W50" s="234">
        <v>6768</v>
      </c>
      <c r="X50" s="567"/>
      <c r="Y50" s="68">
        <v>2023</v>
      </c>
      <c r="Z50" s="315" t="s">
        <v>81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2:49" ht="12.75" customHeight="1">
      <c r="B51" s="68">
        <v>2024</v>
      </c>
      <c r="C51" s="646" t="s">
        <v>33</v>
      </c>
      <c r="D51" s="234">
        <v>3258</v>
      </c>
      <c r="E51" s="234"/>
      <c r="F51" s="234">
        <v>439</v>
      </c>
      <c r="G51" s="234"/>
      <c r="H51" s="234">
        <v>450</v>
      </c>
      <c r="I51" s="234"/>
      <c r="J51" s="234">
        <v>291</v>
      </c>
      <c r="K51" s="234"/>
      <c r="L51" s="234">
        <v>1150</v>
      </c>
      <c r="M51" s="234"/>
      <c r="N51" s="234">
        <v>197</v>
      </c>
      <c r="O51" s="234"/>
      <c r="P51" s="234">
        <v>43</v>
      </c>
      <c r="Q51" s="234"/>
      <c r="R51" s="234">
        <v>256</v>
      </c>
      <c r="S51" s="234"/>
      <c r="T51" s="234">
        <v>172</v>
      </c>
      <c r="U51" s="234"/>
      <c r="V51" s="234"/>
      <c r="W51" s="234">
        <v>6256</v>
      </c>
      <c r="X51" s="567"/>
      <c r="Y51" s="75">
        <v>2024</v>
      </c>
      <c r="Z51" s="315" t="s">
        <v>33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2:49" ht="12.75" hidden="1" customHeight="1">
      <c r="B52" s="68">
        <v>2024</v>
      </c>
      <c r="C52" s="646" t="s">
        <v>34</v>
      </c>
      <c r="D52" s="233">
        <v>1071</v>
      </c>
      <c r="E52" s="234"/>
      <c r="F52" s="234">
        <v>160</v>
      </c>
      <c r="G52" s="234"/>
      <c r="H52" s="234">
        <v>1</v>
      </c>
      <c r="I52" s="234"/>
      <c r="J52" s="234">
        <v>256</v>
      </c>
      <c r="K52" s="234"/>
      <c r="L52" s="234">
        <v>769</v>
      </c>
      <c r="M52" s="234"/>
      <c r="N52" s="234">
        <v>182</v>
      </c>
      <c r="O52" s="234"/>
      <c r="P52" s="234">
        <v>44</v>
      </c>
      <c r="Q52" s="234"/>
      <c r="R52" s="234">
        <v>163</v>
      </c>
      <c r="S52" s="234"/>
      <c r="T52" s="234">
        <v>108</v>
      </c>
      <c r="U52" s="234"/>
      <c r="V52" s="234"/>
      <c r="W52" s="234">
        <v>2754</v>
      </c>
      <c r="X52" s="567"/>
      <c r="Y52" s="75">
        <v>2024</v>
      </c>
      <c r="Z52" s="315" t="s">
        <v>75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2:49" ht="12.75" hidden="1" customHeight="1">
      <c r="B53" s="68">
        <v>2024</v>
      </c>
      <c r="C53" s="646" t="s">
        <v>29</v>
      </c>
      <c r="D53" s="234">
        <v>2046</v>
      </c>
      <c r="E53" s="234"/>
      <c r="F53" s="234">
        <v>329</v>
      </c>
      <c r="G53" s="234"/>
      <c r="H53" s="234">
        <v>1</v>
      </c>
      <c r="I53" s="234"/>
      <c r="J53" s="234">
        <v>373</v>
      </c>
      <c r="K53" s="234"/>
      <c r="L53" s="234">
        <v>944</v>
      </c>
      <c r="M53" s="234"/>
      <c r="N53" s="234">
        <v>185</v>
      </c>
      <c r="O53" s="234"/>
      <c r="P53" s="234">
        <v>45</v>
      </c>
      <c r="Q53" s="234"/>
      <c r="R53" s="234">
        <v>192</v>
      </c>
      <c r="S53" s="234"/>
      <c r="T53" s="234">
        <v>146</v>
      </c>
      <c r="U53" s="234"/>
      <c r="V53" s="234"/>
      <c r="W53" s="234">
        <v>4261</v>
      </c>
      <c r="X53" s="567"/>
      <c r="Y53" s="75">
        <v>2024</v>
      </c>
      <c r="Z53" s="315" t="s">
        <v>29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2:49" ht="12.75" hidden="1" customHeight="1">
      <c r="B54" s="68">
        <v>2024</v>
      </c>
      <c r="C54" s="646" t="s">
        <v>35</v>
      </c>
      <c r="D54" s="234">
        <v>2512</v>
      </c>
      <c r="E54" s="234"/>
      <c r="F54" s="234">
        <v>431</v>
      </c>
      <c r="G54" s="234"/>
      <c r="H54" s="776">
        <v>0</v>
      </c>
      <c r="I54" s="234"/>
      <c r="J54" s="234">
        <v>360</v>
      </c>
      <c r="K54" s="234"/>
      <c r="L54" s="234">
        <v>1006</v>
      </c>
      <c r="M54" s="234"/>
      <c r="N54" s="234">
        <v>238</v>
      </c>
      <c r="O54" s="234"/>
      <c r="P54" s="234">
        <v>42</v>
      </c>
      <c r="Q54" s="234"/>
      <c r="R54" s="234">
        <v>303</v>
      </c>
      <c r="S54" s="234"/>
      <c r="T54" s="234">
        <v>236</v>
      </c>
      <c r="U54" s="234"/>
      <c r="V54" s="234"/>
      <c r="W54" s="234">
        <v>5128</v>
      </c>
      <c r="X54" s="567"/>
      <c r="Y54" s="75">
        <v>2024</v>
      </c>
      <c r="Z54" s="315" t="s">
        <v>76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2:49" ht="12.75" hidden="1" customHeight="1">
      <c r="B55" s="68">
        <v>2024</v>
      </c>
      <c r="C55" s="646" t="s">
        <v>4</v>
      </c>
      <c r="D55" s="234">
        <v>1212</v>
      </c>
      <c r="E55" s="234"/>
      <c r="F55" s="234">
        <v>237</v>
      </c>
      <c r="G55" s="234"/>
      <c r="H55" s="650">
        <v>0</v>
      </c>
      <c r="I55" s="234"/>
      <c r="J55" s="234">
        <v>235</v>
      </c>
      <c r="K55" s="234"/>
      <c r="L55" s="234">
        <v>529</v>
      </c>
      <c r="M55" s="234"/>
      <c r="N55" s="234">
        <v>189</v>
      </c>
      <c r="O55" s="234"/>
      <c r="P55" s="234">
        <v>42</v>
      </c>
      <c r="Q55" s="234"/>
      <c r="R55" s="234">
        <v>153</v>
      </c>
      <c r="S55" s="234"/>
      <c r="T55" s="234">
        <v>125</v>
      </c>
      <c r="U55" s="234"/>
      <c r="V55" s="234"/>
      <c r="W55" s="234">
        <v>2722</v>
      </c>
      <c r="X55" s="567"/>
      <c r="Y55" s="75">
        <v>2024</v>
      </c>
      <c r="Z55" s="315" t="s">
        <v>77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2:49" ht="12.75" hidden="1" customHeight="1">
      <c r="B56" s="68">
        <v>2024</v>
      </c>
      <c r="C56" s="646" t="s">
        <v>30</v>
      </c>
      <c r="D56" s="234">
        <v>1102</v>
      </c>
      <c r="E56" s="234"/>
      <c r="F56" s="234">
        <v>164</v>
      </c>
      <c r="G56" s="234"/>
      <c r="H56" s="650">
        <v>0</v>
      </c>
      <c r="I56" s="234"/>
      <c r="J56" s="234">
        <v>178</v>
      </c>
      <c r="K56" s="234"/>
      <c r="L56" s="234">
        <v>179</v>
      </c>
      <c r="M56" s="234"/>
      <c r="N56" s="234">
        <v>141</v>
      </c>
      <c r="O56" s="234"/>
      <c r="P56" s="234">
        <v>16</v>
      </c>
      <c r="Q56" s="234"/>
      <c r="R56" s="234">
        <v>111</v>
      </c>
      <c r="S56" s="234"/>
      <c r="T56" s="234">
        <v>72</v>
      </c>
      <c r="U56" s="234"/>
      <c r="V56" s="234"/>
      <c r="W56" s="234">
        <v>1963</v>
      </c>
      <c r="X56" s="567"/>
      <c r="Y56" s="75">
        <v>2024</v>
      </c>
      <c r="Z56" s="315" t="s">
        <v>78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2:49" ht="12.75" hidden="1" customHeight="1">
      <c r="B57" s="68">
        <v>2024</v>
      </c>
      <c r="C57" s="646" t="s">
        <v>36</v>
      </c>
      <c r="D57" s="234">
        <v>2693</v>
      </c>
      <c r="E57" s="234"/>
      <c r="F57" s="234">
        <v>499</v>
      </c>
      <c r="G57" s="234"/>
      <c r="H57" s="650">
        <v>1</v>
      </c>
      <c r="I57" s="234"/>
      <c r="J57" s="234">
        <v>200</v>
      </c>
      <c r="K57" s="234"/>
      <c r="L57" s="234">
        <v>312</v>
      </c>
      <c r="M57" s="234"/>
      <c r="N57" s="234">
        <v>246</v>
      </c>
      <c r="O57" s="234"/>
      <c r="P57" s="234">
        <v>42</v>
      </c>
      <c r="Q57" s="234"/>
      <c r="R57" s="234">
        <v>193</v>
      </c>
      <c r="S57" s="234"/>
      <c r="T57" s="234">
        <v>105</v>
      </c>
      <c r="U57" s="234"/>
      <c r="V57" s="234"/>
      <c r="W57" s="234">
        <v>4291</v>
      </c>
      <c r="X57" s="567"/>
      <c r="Y57" s="75">
        <v>2024</v>
      </c>
      <c r="Z57" s="315" t="s">
        <v>79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2:49" ht="12.75" hidden="1" customHeight="1">
      <c r="B58" s="68">
        <v>2024</v>
      </c>
      <c r="C58" s="646" t="s">
        <v>37</v>
      </c>
      <c r="D58" s="234">
        <v>2916</v>
      </c>
      <c r="E58" s="234"/>
      <c r="F58" s="234">
        <v>416</v>
      </c>
      <c r="G58" s="234"/>
      <c r="H58" s="650">
        <v>55</v>
      </c>
      <c r="I58" s="234"/>
      <c r="J58" s="234">
        <v>545</v>
      </c>
      <c r="K58" s="234"/>
      <c r="L58" s="234">
        <v>589</v>
      </c>
      <c r="M58" s="234"/>
      <c r="N58" s="234">
        <v>223</v>
      </c>
      <c r="O58" s="234"/>
      <c r="P58" s="234">
        <v>62</v>
      </c>
      <c r="Q58" s="234"/>
      <c r="R58" s="234">
        <v>260</v>
      </c>
      <c r="S58" s="234"/>
      <c r="T58" s="234">
        <v>216</v>
      </c>
      <c r="U58" s="234"/>
      <c r="V58" s="234"/>
      <c r="W58" s="234">
        <v>5282</v>
      </c>
      <c r="X58" s="567"/>
      <c r="Y58" s="75">
        <v>2024</v>
      </c>
      <c r="Z58" s="315" t="s">
        <v>80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2:49" ht="12.75" hidden="1" customHeight="1">
      <c r="B59" s="68">
        <v>2024</v>
      </c>
      <c r="C59" s="646" t="s">
        <v>31</v>
      </c>
      <c r="D59" s="234">
        <v>4574</v>
      </c>
      <c r="E59" s="234"/>
      <c r="F59" s="234">
        <v>592</v>
      </c>
      <c r="G59" s="234"/>
      <c r="H59" s="650">
        <v>28</v>
      </c>
      <c r="I59" s="234"/>
      <c r="J59" s="234">
        <v>470</v>
      </c>
      <c r="K59" s="234"/>
      <c r="L59" s="234">
        <v>492</v>
      </c>
      <c r="M59" s="234"/>
      <c r="N59" s="234">
        <v>254</v>
      </c>
      <c r="O59" s="234"/>
      <c r="P59" s="234">
        <v>70</v>
      </c>
      <c r="Q59" s="234"/>
      <c r="R59" s="234">
        <v>231</v>
      </c>
      <c r="S59" s="234"/>
      <c r="T59" s="234">
        <v>241</v>
      </c>
      <c r="U59" s="234"/>
      <c r="V59" s="234"/>
      <c r="W59" s="234">
        <v>6952</v>
      </c>
      <c r="X59" s="567"/>
      <c r="Y59" s="75">
        <v>2024</v>
      </c>
      <c r="Z59" s="315" t="s">
        <v>31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2:49" ht="12.75" hidden="1" customHeight="1">
      <c r="B60" s="68">
        <v>2024</v>
      </c>
      <c r="C60" s="646" t="s">
        <v>38</v>
      </c>
      <c r="D60" s="234">
        <v>3773</v>
      </c>
      <c r="E60" s="234"/>
      <c r="F60" s="234">
        <v>680</v>
      </c>
      <c r="G60" s="234"/>
      <c r="H60" s="650">
        <v>220</v>
      </c>
      <c r="I60" s="234"/>
      <c r="J60" s="234">
        <v>390</v>
      </c>
      <c r="K60" s="234"/>
      <c r="L60" s="234">
        <v>936</v>
      </c>
      <c r="M60" s="234"/>
      <c r="N60" s="234">
        <v>191</v>
      </c>
      <c r="O60" s="234"/>
      <c r="P60" s="234">
        <v>53</v>
      </c>
      <c r="Q60" s="234"/>
      <c r="R60" s="234">
        <v>202</v>
      </c>
      <c r="S60" s="234"/>
      <c r="T60" s="234">
        <v>240</v>
      </c>
      <c r="U60" s="234"/>
      <c r="V60" s="234"/>
      <c r="W60" s="234">
        <v>6685</v>
      </c>
      <c r="X60" s="567"/>
      <c r="Y60" s="75">
        <v>2024</v>
      </c>
      <c r="Z60" s="315" t="s">
        <v>38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2:49" ht="12.75" hidden="1" customHeight="1">
      <c r="B61" s="68">
        <v>2024</v>
      </c>
      <c r="C61" s="646" t="s">
        <v>39</v>
      </c>
      <c r="D61" s="234">
        <v>3698</v>
      </c>
      <c r="E61" s="234"/>
      <c r="F61" s="234">
        <v>449</v>
      </c>
      <c r="G61" s="234"/>
      <c r="H61" s="650">
        <v>211</v>
      </c>
      <c r="I61" s="234"/>
      <c r="J61" s="234">
        <v>453</v>
      </c>
      <c r="K61" s="234"/>
      <c r="L61" s="234">
        <v>517</v>
      </c>
      <c r="M61" s="234"/>
      <c r="N61" s="234">
        <v>230</v>
      </c>
      <c r="O61" s="234"/>
      <c r="P61" s="234">
        <v>50</v>
      </c>
      <c r="Q61" s="234"/>
      <c r="R61" s="234">
        <v>318</v>
      </c>
      <c r="S61" s="234"/>
      <c r="T61" s="234">
        <v>514</v>
      </c>
      <c r="U61" s="234"/>
      <c r="V61" s="234"/>
      <c r="W61" s="234">
        <v>6440</v>
      </c>
      <c r="X61" s="567"/>
      <c r="Y61" s="75">
        <v>2024</v>
      </c>
      <c r="Z61" s="315" t="s">
        <v>39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2:49" ht="12.75" hidden="1" customHeight="1">
      <c r="B62" s="68">
        <v>2024</v>
      </c>
      <c r="C62" s="646" t="s">
        <v>32</v>
      </c>
      <c r="D62" s="234">
        <v>4595</v>
      </c>
      <c r="E62" s="234"/>
      <c r="F62" s="234">
        <v>342</v>
      </c>
      <c r="G62" s="234"/>
      <c r="H62" s="650">
        <v>382</v>
      </c>
      <c r="I62" s="234"/>
      <c r="J62" s="234">
        <v>40</v>
      </c>
      <c r="K62" s="234"/>
      <c r="L62" s="234">
        <v>513</v>
      </c>
      <c r="M62" s="234"/>
      <c r="N62" s="234">
        <v>163</v>
      </c>
      <c r="O62" s="234"/>
      <c r="P62" s="234">
        <v>50</v>
      </c>
      <c r="Q62" s="234"/>
      <c r="R62" s="234">
        <v>251</v>
      </c>
      <c r="S62" s="234"/>
      <c r="T62" s="234">
        <v>8</v>
      </c>
      <c r="U62" s="234"/>
      <c r="V62" s="234"/>
      <c r="W62" s="234">
        <v>6344</v>
      </c>
      <c r="X62" s="567"/>
      <c r="Y62" s="75">
        <v>2024</v>
      </c>
      <c r="Z62" s="315" t="s">
        <v>81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2:49" ht="12.75" customHeight="1">
      <c r="B63" s="68">
        <v>2025</v>
      </c>
      <c r="C63" s="863" t="s">
        <v>33</v>
      </c>
      <c r="D63" s="233">
        <v>3959</v>
      </c>
      <c r="E63" s="234"/>
      <c r="F63" s="234">
        <v>264</v>
      </c>
      <c r="G63" s="234"/>
      <c r="H63" s="650">
        <v>452</v>
      </c>
      <c r="I63" s="234"/>
      <c r="J63" s="234">
        <v>499</v>
      </c>
      <c r="K63" s="234"/>
      <c r="L63" s="234">
        <v>837</v>
      </c>
      <c r="M63" s="234"/>
      <c r="N63" s="234">
        <v>195</v>
      </c>
      <c r="O63" s="234"/>
      <c r="P63" s="234">
        <v>45</v>
      </c>
      <c r="Q63" s="234"/>
      <c r="R63" s="234">
        <v>196</v>
      </c>
      <c r="S63" s="234"/>
      <c r="T63" s="234">
        <v>278</v>
      </c>
      <c r="U63" s="234"/>
      <c r="V63" s="234"/>
      <c r="W63" s="234">
        <v>6725</v>
      </c>
      <c r="X63" s="74"/>
      <c r="Y63" s="68">
        <v>2025</v>
      </c>
      <c r="Z63" s="315" t="s">
        <v>33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2:49" ht="12.75" customHeight="1">
      <c r="B64" s="68"/>
      <c r="C64" s="646" t="s">
        <v>34</v>
      </c>
      <c r="D64" s="234">
        <v>2035</v>
      </c>
      <c r="E64" s="234"/>
      <c r="F64" s="234">
        <v>372</v>
      </c>
      <c r="G64" s="234"/>
      <c r="H64" s="650">
        <v>188</v>
      </c>
      <c r="I64" s="234"/>
      <c r="J64" s="234">
        <v>323</v>
      </c>
      <c r="K64" s="234"/>
      <c r="L64" s="234">
        <v>583</v>
      </c>
      <c r="M64" s="234"/>
      <c r="N64" s="234">
        <v>179</v>
      </c>
      <c r="O64" s="234"/>
      <c r="P64" s="234">
        <v>60</v>
      </c>
      <c r="Q64" s="234"/>
      <c r="R64" s="234">
        <v>385</v>
      </c>
      <c r="S64" s="234"/>
      <c r="T64" s="234">
        <v>240</v>
      </c>
      <c r="U64" s="234"/>
      <c r="V64" s="234"/>
      <c r="W64" s="234">
        <v>4365</v>
      </c>
      <c r="X64" s="567"/>
      <c r="Y64" s="75"/>
      <c r="Z64" s="315" t="s">
        <v>75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2:49" ht="12.75" customHeight="1">
      <c r="B65" s="68"/>
      <c r="C65" s="646" t="s">
        <v>29</v>
      </c>
      <c r="D65" s="234">
        <v>3055</v>
      </c>
      <c r="E65" s="234"/>
      <c r="F65" s="234">
        <v>282</v>
      </c>
      <c r="G65" s="234"/>
      <c r="H65" s="650">
        <v>213</v>
      </c>
      <c r="I65" s="234"/>
      <c r="J65" s="234">
        <v>412</v>
      </c>
      <c r="K65" s="234"/>
      <c r="L65" s="234">
        <v>499</v>
      </c>
      <c r="M65" s="234"/>
      <c r="N65" s="234">
        <v>212</v>
      </c>
      <c r="O65" s="234"/>
      <c r="P65" s="234">
        <v>47</v>
      </c>
      <c r="Q65" s="234"/>
      <c r="R65" s="234">
        <v>289</v>
      </c>
      <c r="S65" s="234"/>
      <c r="T65" s="234">
        <v>255</v>
      </c>
      <c r="U65" s="234"/>
      <c r="V65" s="234"/>
      <c r="W65" s="234">
        <v>5264</v>
      </c>
      <c r="X65" s="567"/>
      <c r="Y65" s="75"/>
      <c r="Z65" s="315" t="s">
        <v>29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2:49" ht="12.75" customHeight="1">
      <c r="B66" s="68"/>
      <c r="C66" s="646" t="s">
        <v>35</v>
      </c>
      <c r="D66" s="234">
        <v>5015</v>
      </c>
      <c r="E66" s="234"/>
      <c r="F66" s="234">
        <v>443</v>
      </c>
      <c r="G66" s="234"/>
      <c r="H66" s="650">
        <v>304</v>
      </c>
      <c r="I66" s="234"/>
      <c r="J66" s="234">
        <v>367</v>
      </c>
      <c r="K66" s="234"/>
      <c r="L66" s="234">
        <v>715</v>
      </c>
      <c r="M66" s="234"/>
      <c r="N66" s="234">
        <v>224</v>
      </c>
      <c r="O66" s="234"/>
      <c r="P66" s="234">
        <v>52</v>
      </c>
      <c r="Q66" s="234"/>
      <c r="R66" s="234">
        <v>559</v>
      </c>
      <c r="S66" s="234"/>
      <c r="T66" s="234">
        <v>330</v>
      </c>
      <c r="U66" s="234"/>
      <c r="V66" s="234"/>
      <c r="W66" s="234">
        <v>8009</v>
      </c>
      <c r="X66" s="567"/>
      <c r="Y66" s="75"/>
      <c r="Z66" s="315" t="s">
        <v>76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2:49" ht="12.75" customHeight="1">
      <c r="B67" s="68"/>
      <c r="C67" s="646" t="s">
        <v>4</v>
      </c>
      <c r="D67" s="234">
        <v>4418</v>
      </c>
      <c r="E67" s="234"/>
      <c r="F67" s="234">
        <v>432</v>
      </c>
      <c r="G67" s="234"/>
      <c r="H67" s="650">
        <v>155</v>
      </c>
      <c r="I67" s="234"/>
      <c r="J67" s="234">
        <v>389</v>
      </c>
      <c r="K67" s="234"/>
      <c r="L67" s="234">
        <v>596</v>
      </c>
      <c r="M67" s="234"/>
      <c r="N67" s="234">
        <v>269</v>
      </c>
      <c r="O67" s="234"/>
      <c r="P67" s="234">
        <v>71</v>
      </c>
      <c r="Q67" s="234"/>
      <c r="R67" s="234">
        <v>439</v>
      </c>
      <c r="S67" s="234"/>
      <c r="T67" s="234">
        <v>334</v>
      </c>
      <c r="U67" s="234"/>
      <c r="V67" s="234"/>
      <c r="W67" s="234">
        <v>7103</v>
      </c>
      <c r="X67" s="567"/>
      <c r="Y67" s="75"/>
      <c r="Z67" s="315" t="s">
        <v>77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2:49" ht="12.75" customHeight="1">
      <c r="B68" s="68"/>
      <c r="C68" s="646" t="s">
        <v>30</v>
      </c>
      <c r="D68" s="234">
        <v>5156</v>
      </c>
      <c r="E68" s="234"/>
      <c r="F68" s="234">
        <v>620</v>
      </c>
      <c r="G68" s="234"/>
      <c r="H68" s="650">
        <v>289</v>
      </c>
      <c r="I68" s="234"/>
      <c r="J68" s="234">
        <v>458</v>
      </c>
      <c r="K68" s="234"/>
      <c r="L68" s="234">
        <v>709</v>
      </c>
      <c r="M68" s="234"/>
      <c r="N68" s="234">
        <v>404</v>
      </c>
      <c r="O68" s="234"/>
      <c r="P68" s="234">
        <v>53</v>
      </c>
      <c r="Q68" s="234"/>
      <c r="R68" s="234">
        <v>360</v>
      </c>
      <c r="S68" s="234"/>
      <c r="T68" s="234">
        <v>316</v>
      </c>
      <c r="U68" s="234"/>
      <c r="V68" s="234"/>
      <c r="W68" s="234">
        <v>8365</v>
      </c>
      <c r="X68" s="567"/>
      <c r="Y68" s="75"/>
      <c r="Z68" s="315" t="s">
        <v>78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2:49" ht="12.75" customHeight="1">
      <c r="B69" s="68"/>
      <c r="C69" s="646" t="s">
        <v>36</v>
      </c>
      <c r="D69" s="234">
        <v>6938</v>
      </c>
      <c r="E69" s="234"/>
      <c r="F69" s="234">
        <v>575</v>
      </c>
      <c r="G69" s="234"/>
      <c r="H69" s="650">
        <v>157</v>
      </c>
      <c r="I69" s="234"/>
      <c r="J69" s="234">
        <v>494</v>
      </c>
      <c r="K69" s="234"/>
      <c r="L69" s="234">
        <v>897</v>
      </c>
      <c r="M69" s="234"/>
      <c r="N69" s="234">
        <v>402</v>
      </c>
      <c r="O69" s="234"/>
      <c r="P69" s="234">
        <v>78</v>
      </c>
      <c r="Q69" s="234"/>
      <c r="R69" s="234">
        <v>464</v>
      </c>
      <c r="S69" s="234"/>
      <c r="T69" s="234">
        <v>377</v>
      </c>
      <c r="U69" s="234"/>
      <c r="V69" s="234"/>
      <c r="W69" s="234">
        <v>10382</v>
      </c>
      <c r="X69" s="567"/>
      <c r="Y69" s="75"/>
      <c r="Z69" s="315" t="s">
        <v>79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2:49" ht="12.75" customHeight="1">
      <c r="B70" s="68"/>
      <c r="C70" s="646" t="s">
        <v>37</v>
      </c>
      <c r="D70" s="234">
        <v>5434</v>
      </c>
      <c r="E70" s="234"/>
      <c r="F70" s="234">
        <v>666</v>
      </c>
      <c r="G70" s="234"/>
      <c r="H70" s="650">
        <v>239</v>
      </c>
      <c r="I70" s="234"/>
      <c r="J70" s="234">
        <v>496</v>
      </c>
      <c r="K70" s="234"/>
      <c r="L70" s="234">
        <v>1087</v>
      </c>
      <c r="M70" s="234"/>
      <c r="N70" s="234">
        <v>384</v>
      </c>
      <c r="O70" s="234"/>
      <c r="P70" s="234">
        <v>105</v>
      </c>
      <c r="Q70" s="234"/>
      <c r="R70" s="234">
        <v>360</v>
      </c>
      <c r="S70" s="234"/>
      <c r="T70" s="234">
        <v>460</v>
      </c>
      <c r="U70" s="234"/>
      <c r="V70" s="234"/>
      <c r="W70" s="234">
        <v>9231</v>
      </c>
      <c r="X70" s="567"/>
      <c r="Y70" s="75"/>
      <c r="Z70" s="315" t="s">
        <v>80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2:49" ht="12.75" customHeight="1">
      <c r="B71" s="68"/>
      <c r="C71" s="646" t="s">
        <v>31</v>
      </c>
      <c r="D71" s="234">
        <v>6586</v>
      </c>
      <c r="E71" s="234"/>
      <c r="F71" s="234">
        <v>603</v>
      </c>
      <c r="G71" s="234"/>
      <c r="H71" s="650">
        <v>86</v>
      </c>
      <c r="I71" s="234"/>
      <c r="J71" s="234">
        <v>449</v>
      </c>
      <c r="K71" s="234"/>
      <c r="L71" s="234">
        <v>686</v>
      </c>
      <c r="M71" s="234"/>
      <c r="N71" s="234">
        <v>305</v>
      </c>
      <c r="O71" s="234"/>
      <c r="P71" s="234">
        <v>133</v>
      </c>
      <c r="Q71" s="234"/>
      <c r="R71" s="234">
        <v>484</v>
      </c>
      <c r="S71" s="234"/>
      <c r="T71" s="234">
        <v>590</v>
      </c>
      <c r="U71" s="234"/>
      <c r="V71" s="234"/>
      <c r="W71" s="234">
        <v>9922</v>
      </c>
      <c r="X71" s="567"/>
      <c r="Y71" s="75"/>
      <c r="Z71" s="315" t="s">
        <v>31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2:49" ht="12.75" customHeight="1">
      <c r="B72" s="68"/>
      <c r="C72" s="646" t="s">
        <v>38</v>
      </c>
      <c r="D72" s="234">
        <v>5929</v>
      </c>
      <c r="E72" s="234"/>
      <c r="F72" s="234">
        <v>653</v>
      </c>
      <c r="G72" s="234"/>
      <c r="H72" s="650">
        <v>321</v>
      </c>
      <c r="I72" s="234"/>
      <c r="J72" s="234">
        <v>499</v>
      </c>
      <c r="K72" s="234"/>
      <c r="L72" s="234">
        <v>1029</v>
      </c>
      <c r="M72" s="234"/>
      <c r="N72" s="234">
        <v>285</v>
      </c>
      <c r="O72" s="234"/>
      <c r="P72" s="234">
        <v>61</v>
      </c>
      <c r="Q72" s="234"/>
      <c r="R72" s="234">
        <v>437</v>
      </c>
      <c r="S72" s="234"/>
      <c r="T72" s="234">
        <v>535</v>
      </c>
      <c r="U72" s="234"/>
      <c r="V72" s="234"/>
      <c r="W72" s="234">
        <v>9749</v>
      </c>
      <c r="X72" s="567"/>
      <c r="Y72" s="75"/>
      <c r="Z72" s="315" t="s">
        <v>38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2:49" ht="12.75" customHeight="1">
      <c r="B73" s="68"/>
      <c r="C73" s="646" t="s">
        <v>39</v>
      </c>
      <c r="D73" s="234">
        <v>4879</v>
      </c>
      <c r="E73" s="234"/>
      <c r="F73" s="234">
        <v>729</v>
      </c>
      <c r="G73" s="234"/>
      <c r="H73" s="650">
        <v>172</v>
      </c>
      <c r="I73" s="234"/>
      <c r="J73" s="234">
        <v>562</v>
      </c>
      <c r="K73" s="234"/>
      <c r="L73" s="234">
        <v>970</v>
      </c>
      <c r="M73" s="234"/>
      <c r="N73" s="234">
        <v>265</v>
      </c>
      <c r="O73" s="234"/>
      <c r="P73" s="234">
        <v>65</v>
      </c>
      <c r="Q73" s="234"/>
      <c r="R73" s="234">
        <v>394</v>
      </c>
      <c r="S73" s="234"/>
      <c r="T73" s="234">
        <v>470</v>
      </c>
      <c r="U73" s="234"/>
      <c r="V73" s="234"/>
      <c r="W73" s="234">
        <v>8506</v>
      </c>
      <c r="X73" s="567"/>
      <c r="Y73" s="75"/>
      <c r="Z73" s="315" t="s">
        <v>39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2:49" ht="12.75" customHeight="1">
      <c r="B74" s="68"/>
      <c r="C74" s="646" t="s">
        <v>32</v>
      </c>
      <c r="D74" s="234">
        <v>5518</v>
      </c>
      <c r="E74" s="234"/>
      <c r="F74" s="234">
        <v>407</v>
      </c>
      <c r="G74" s="234"/>
      <c r="H74" s="650">
        <v>251</v>
      </c>
      <c r="I74" s="234"/>
      <c r="J74" s="234">
        <v>337</v>
      </c>
      <c r="K74" s="234"/>
      <c r="L74" s="234">
        <v>885</v>
      </c>
      <c r="M74" s="234"/>
      <c r="N74" s="234">
        <v>163</v>
      </c>
      <c r="O74" s="234"/>
      <c r="P74" s="234">
        <v>62</v>
      </c>
      <c r="Q74" s="234"/>
      <c r="R74" s="234">
        <v>368</v>
      </c>
      <c r="S74" s="234"/>
      <c r="T74" s="234">
        <v>307</v>
      </c>
      <c r="U74" s="234"/>
      <c r="V74" s="234"/>
      <c r="W74" s="234">
        <v>8298</v>
      </c>
      <c r="X74" s="567"/>
      <c r="Y74" s="75"/>
      <c r="Z74" s="315" t="s">
        <v>81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2:49" ht="12.75" customHeight="1">
      <c r="B75" s="95">
        <v>2026</v>
      </c>
      <c r="C75" s="865" t="s">
        <v>33</v>
      </c>
      <c r="D75" s="606">
        <v>6044</v>
      </c>
      <c r="E75" s="606"/>
      <c r="F75" s="606">
        <v>416</v>
      </c>
      <c r="G75" s="606"/>
      <c r="H75" s="775">
        <v>298</v>
      </c>
      <c r="I75" s="606"/>
      <c r="J75" s="606">
        <v>582</v>
      </c>
      <c r="K75" s="606"/>
      <c r="L75" s="606">
        <v>1164</v>
      </c>
      <c r="M75" s="606"/>
      <c r="N75" s="606">
        <v>264</v>
      </c>
      <c r="O75" s="606"/>
      <c r="P75" s="606">
        <v>65</v>
      </c>
      <c r="Q75" s="606"/>
      <c r="R75" s="606">
        <v>363</v>
      </c>
      <c r="S75" s="606"/>
      <c r="T75" s="606">
        <v>461</v>
      </c>
      <c r="U75" s="606"/>
      <c r="V75" s="606"/>
      <c r="W75" s="606">
        <v>9657</v>
      </c>
      <c r="X75" s="864"/>
      <c r="Y75" s="96">
        <v>2026</v>
      </c>
      <c r="Z75" s="897" t="s">
        <v>33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2:49">
      <c r="B76" s="59" t="s">
        <v>339</v>
      </c>
      <c r="C76" s="113"/>
      <c r="D76" s="47"/>
      <c r="E76" s="47"/>
      <c r="F76" s="47"/>
      <c r="G76" s="47"/>
      <c r="H76" s="47"/>
      <c r="I76" s="47"/>
      <c r="J76" s="2"/>
      <c r="K76" s="47"/>
      <c r="L76" s="2"/>
      <c r="M76" s="47"/>
      <c r="N76" s="1"/>
      <c r="O76" s="47"/>
      <c r="P76" s="130"/>
      <c r="Q76" s="47"/>
      <c r="R76" s="130"/>
      <c r="S76" s="47"/>
      <c r="U76" s="47"/>
      <c r="V76" s="1"/>
      <c r="W76" s="50"/>
      <c r="X76" s="120"/>
      <c r="Y76" s="291"/>
      <c r="Z76" s="36"/>
      <c r="AA76" s="36"/>
      <c r="AB76" s="36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2:49">
      <c r="B77" s="268"/>
      <c r="E77" s="86"/>
      <c r="F77" s="635" t="s">
        <v>324</v>
      </c>
      <c r="G77" s="86"/>
      <c r="H77" s="86"/>
      <c r="I77" s="86"/>
      <c r="J77" s="103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70"/>
      <c r="Y77" s="291"/>
      <c r="Z77" s="36"/>
      <c r="AA77" s="36"/>
      <c r="AB77" s="36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2:49">
      <c r="B78" s="51" t="s">
        <v>325</v>
      </c>
      <c r="D78" s="115"/>
      <c r="E78" s="86"/>
      <c r="F78" s="86"/>
      <c r="G78" s="86"/>
      <c r="H78" s="86"/>
      <c r="I78" s="86"/>
      <c r="J78" s="103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70"/>
      <c r="Z78" s="291"/>
      <c r="AA78" s="291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2:49">
      <c r="D79" s="291"/>
      <c r="E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41"/>
    </row>
  </sheetData>
  <mergeCells count="6">
    <mergeCell ref="T4:T5"/>
    <mergeCell ref="D4:D5"/>
    <mergeCell ref="F4:F5"/>
    <mergeCell ref="H4:H5"/>
    <mergeCell ref="J4:J5"/>
    <mergeCell ref="N4:N5"/>
  </mergeCells>
  <phoneticPr fontId="10" type="noConversion"/>
  <pageMargins left="0.25" right="0.25" top="0.75" bottom="0.75" header="0.3" footer="0.3"/>
  <pageSetup paperSize="9" scale="85" orientation="landscape" r:id="rId1"/>
  <headerFooter alignWithMargins="0">
    <oddHeader>&amp;LVanuatu Bureau of Statistics &amp;RInternational Visitors Arrival January 2026</oddHeader>
    <oddFooter>&amp;C&amp;"Times New Roman,Regular"&amp;8Page 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B1:AC88"/>
  <sheetViews>
    <sheetView showGridLines="0" zoomScaleNormal="100" workbookViewId="0">
      <selection activeCell="L72" sqref="L72"/>
    </sheetView>
  </sheetViews>
  <sheetFormatPr defaultRowHeight="13.2"/>
  <cols>
    <col min="1" max="1" width="4.6640625" customWidth="1"/>
    <col min="2" max="2" width="10.6640625" customWidth="1"/>
    <col min="3" max="3" width="8.33203125" style="2" customWidth="1"/>
    <col min="4" max="4" width="10.6640625" customWidth="1"/>
    <col min="5" max="5" width="1.6640625" customWidth="1"/>
    <col min="6" max="6" width="10.5546875" customWidth="1"/>
    <col min="7" max="7" width="1.33203125" customWidth="1"/>
    <col min="8" max="8" width="10.6640625" customWidth="1"/>
    <col min="9" max="9" width="2.44140625" customWidth="1"/>
    <col min="10" max="10" width="10.6640625" customWidth="1"/>
    <col min="11" max="11" width="2.44140625" customWidth="1"/>
    <col min="12" max="12" width="10.6640625" customWidth="1"/>
    <col min="13" max="13" width="1.88671875" customWidth="1"/>
    <col min="14" max="14" width="10.6640625" customWidth="1"/>
    <col min="15" max="15" width="1.5546875" customWidth="1"/>
    <col min="16" max="16" width="10.6640625" customWidth="1"/>
    <col min="17" max="17" width="1.5546875" customWidth="1"/>
    <col min="18" max="18" width="10.6640625" customWidth="1"/>
    <col min="19" max="19" width="1.88671875" customWidth="1"/>
    <col min="20" max="20" width="13.109375" customWidth="1"/>
    <col min="21" max="21" width="4.33203125" hidden="1" customWidth="1"/>
    <col min="22" max="22" width="2.5546875" hidden="1" customWidth="1"/>
    <col min="23" max="23" width="2.44140625" customWidth="1"/>
    <col min="24" max="24" width="8.88671875" customWidth="1"/>
    <col min="25" max="25" width="2.5546875" customWidth="1"/>
    <col min="26" max="26" width="9.88671875" style="121" customWidth="1"/>
    <col min="27" max="27" width="8.109375" customWidth="1"/>
  </cols>
  <sheetData>
    <row r="1" spans="2:27" s="5" customFormat="1" ht="16.5" customHeight="1">
      <c r="B1" s="66" t="s">
        <v>126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19"/>
      <c r="AA1" s="9"/>
    </row>
    <row r="2" spans="2:27" s="5" customFormat="1" ht="17.25" customHeight="1">
      <c r="B2" s="66" t="s">
        <v>113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19"/>
      <c r="AA2" s="9"/>
    </row>
    <row r="3" spans="2:27" ht="10.5" customHeight="1">
      <c r="Z3" s="75"/>
      <c r="AA3" s="12"/>
    </row>
    <row r="4" spans="2:27" s="102" customFormat="1" ht="2.25" customHeight="1">
      <c r="B4" s="512"/>
      <c r="C4" s="609"/>
      <c r="D4" s="512"/>
      <c r="E4" s="511"/>
      <c r="F4" s="511"/>
      <c r="G4" s="511"/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4"/>
      <c r="W4" s="512"/>
      <c r="X4" s="511"/>
      <c r="Y4" s="514"/>
      <c r="Z4" s="621"/>
      <c r="AA4" s="515"/>
    </row>
    <row r="5" spans="2:27" s="12" customFormat="1" ht="15.75" customHeight="1">
      <c r="B5" s="11"/>
      <c r="D5" s="11"/>
      <c r="J5" s="607"/>
      <c r="K5" s="607"/>
      <c r="L5" s="563" t="s">
        <v>11</v>
      </c>
      <c r="M5" s="563"/>
      <c r="P5" s="563" t="s">
        <v>40</v>
      </c>
      <c r="Q5" s="563"/>
      <c r="R5" s="563" t="s">
        <v>27</v>
      </c>
      <c r="S5" s="563"/>
      <c r="T5" s="563" t="s">
        <v>12</v>
      </c>
      <c r="U5" s="564" t="s">
        <v>13</v>
      </c>
      <c r="V5" s="510"/>
      <c r="Y5" s="71"/>
      <c r="Z5" s="75"/>
      <c r="AA5" s="71"/>
    </row>
    <row r="6" spans="2:27" s="12" customFormat="1" ht="11.25" customHeight="1">
      <c r="B6" s="68"/>
      <c r="C6" s="75"/>
      <c r="D6" s="643" t="s">
        <v>7</v>
      </c>
      <c r="E6" s="563"/>
      <c r="F6" s="563" t="s">
        <v>8</v>
      </c>
      <c r="G6" s="563"/>
      <c r="H6" s="563" t="s">
        <v>9</v>
      </c>
      <c r="I6" s="563"/>
      <c r="J6" s="563" t="s">
        <v>10</v>
      </c>
      <c r="K6" s="563"/>
      <c r="L6" s="563" t="s">
        <v>44</v>
      </c>
      <c r="M6" s="563"/>
      <c r="N6" s="563" t="s">
        <v>101</v>
      </c>
      <c r="O6" s="563"/>
      <c r="P6" s="563" t="s">
        <v>102</v>
      </c>
      <c r="Q6" s="563"/>
      <c r="R6" s="563" t="s">
        <v>127</v>
      </c>
      <c r="S6" s="563"/>
      <c r="T6" s="563" t="s">
        <v>108</v>
      </c>
      <c r="U6" s="563" t="s">
        <v>16</v>
      </c>
      <c r="V6" s="97"/>
      <c r="W6" s="563"/>
      <c r="X6" s="563" t="s">
        <v>14</v>
      </c>
      <c r="Y6" s="71"/>
      <c r="Z6" s="75"/>
      <c r="AA6" s="71"/>
    </row>
    <row r="7" spans="2:27" s="12" customFormat="1" ht="4.5" customHeight="1">
      <c r="B7" s="68"/>
      <c r="C7" s="75"/>
      <c r="D7" s="643"/>
      <c r="E7" s="563"/>
      <c r="F7" s="563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563"/>
      <c r="U7" s="563"/>
      <c r="V7" s="97"/>
      <c r="W7" s="563"/>
      <c r="X7" s="563"/>
      <c r="Y7" s="71"/>
      <c r="Z7" s="75"/>
      <c r="AA7" s="71"/>
    </row>
    <row r="8" spans="2:27" s="12" customFormat="1" ht="13.5" customHeight="1">
      <c r="B8" s="68" t="s">
        <v>73</v>
      </c>
      <c r="C8" s="509" t="s">
        <v>115</v>
      </c>
      <c r="D8" s="643"/>
      <c r="E8" s="563"/>
      <c r="F8" s="563" t="s">
        <v>98</v>
      </c>
      <c r="G8" s="563"/>
      <c r="H8" s="563" t="s">
        <v>99</v>
      </c>
      <c r="I8" s="563"/>
      <c r="J8" s="563" t="s">
        <v>100</v>
      </c>
      <c r="K8" s="563"/>
      <c r="L8" s="563" t="s">
        <v>114</v>
      </c>
      <c r="M8" s="563"/>
      <c r="N8" s="563" t="s">
        <v>103</v>
      </c>
      <c r="O8" s="563"/>
      <c r="P8" s="75" t="s">
        <v>105</v>
      </c>
      <c r="Q8" s="75"/>
      <c r="R8" s="563" t="s">
        <v>106</v>
      </c>
      <c r="S8" s="563"/>
      <c r="T8" s="563" t="s">
        <v>91</v>
      </c>
      <c r="U8" s="563" t="s">
        <v>93</v>
      </c>
      <c r="V8" s="97"/>
      <c r="W8" s="563"/>
      <c r="X8" s="563"/>
      <c r="Y8" s="71"/>
      <c r="Z8" s="75" t="s">
        <v>74</v>
      </c>
      <c r="AA8" s="71" t="s">
        <v>116</v>
      </c>
    </row>
    <row r="9" spans="2:27" s="12" customFormat="1" ht="17.25" customHeight="1">
      <c r="B9" s="95"/>
      <c r="C9" s="94"/>
      <c r="D9" s="99"/>
      <c r="E9" s="563"/>
      <c r="F9" s="92"/>
      <c r="G9" s="563"/>
      <c r="H9" s="92"/>
      <c r="I9" s="563"/>
      <c r="J9" s="92"/>
      <c r="K9" s="563"/>
      <c r="L9" s="93" t="s">
        <v>107</v>
      </c>
      <c r="M9" s="830"/>
      <c r="N9" s="100"/>
      <c r="O9" s="857"/>
      <c r="P9" s="100" t="s">
        <v>104</v>
      </c>
      <c r="Q9" s="857"/>
      <c r="R9" s="93" t="s">
        <v>88</v>
      </c>
      <c r="S9" s="830"/>
      <c r="T9" s="93" t="s">
        <v>92</v>
      </c>
      <c r="U9" s="93" t="s">
        <v>94</v>
      </c>
      <c r="V9" s="101"/>
      <c r="W9" s="75"/>
      <c r="X9" s="96"/>
      <c r="Y9" s="7"/>
      <c r="Z9" s="96"/>
      <c r="AA9" s="7"/>
    </row>
    <row r="10" spans="2:27" s="12" customFormat="1" ht="12.75" customHeight="1">
      <c r="B10" s="68">
        <v>2021</v>
      </c>
      <c r="D10" s="637">
        <v>2659</v>
      </c>
      <c r="E10" s="899"/>
      <c r="F10" s="316">
        <v>343</v>
      </c>
      <c r="G10" s="899"/>
      <c r="H10" s="316">
        <v>63</v>
      </c>
      <c r="I10" s="899"/>
      <c r="J10" s="316">
        <v>10</v>
      </c>
      <c r="K10" s="899"/>
      <c r="L10" s="316">
        <v>79</v>
      </c>
      <c r="M10" s="899"/>
      <c r="N10" s="316">
        <v>210</v>
      </c>
      <c r="O10" s="899"/>
      <c r="P10" s="316">
        <v>67</v>
      </c>
      <c r="Q10" s="899"/>
      <c r="R10" s="316">
        <v>17</v>
      </c>
      <c r="S10" s="899"/>
      <c r="T10" s="316">
        <v>47</v>
      </c>
      <c r="U10" s="899">
        <v>0</v>
      </c>
      <c r="V10" s="900">
        <v>0</v>
      </c>
      <c r="W10" s="899"/>
      <c r="X10" s="316">
        <v>3495</v>
      </c>
      <c r="Y10" s="71"/>
      <c r="Z10" s="506">
        <v>2021</v>
      </c>
      <c r="AA10" s="71"/>
    </row>
    <row r="11" spans="2:27" s="12" customFormat="1" ht="12.75" customHeight="1">
      <c r="B11" s="68">
        <v>2022</v>
      </c>
      <c r="D11" s="262">
        <v>15012</v>
      </c>
      <c r="E11" s="247"/>
      <c r="F11" s="83">
        <v>1501</v>
      </c>
      <c r="G11" s="247"/>
      <c r="H11" s="83">
        <v>381</v>
      </c>
      <c r="I11" s="247"/>
      <c r="J11" s="83">
        <v>89</v>
      </c>
      <c r="K11" s="247"/>
      <c r="L11" s="83">
        <v>297</v>
      </c>
      <c r="M11" s="247"/>
      <c r="N11" s="83">
        <v>562</v>
      </c>
      <c r="O11" s="247"/>
      <c r="P11" s="83">
        <v>392</v>
      </c>
      <c r="Q11" s="247"/>
      <c r="R11" s="83">
        <v>152</v>
      </c>
      <c r="S11" s="247"/>
      <c r="T11" s="83">
        <v>155</v>
      </c>
      <c r="U11" s="649">
        <v>0</v>
      </c>
      <c r="V11" s="649">
        <v>0</v>
      </c>
      <c r="W11" s="247"/>
      <c r="X11" s="83">
        <v>18541</v>
      </c>
      <c r="Y11" s="71"/>
      <c r="Z11" s="506">
        <v>2022</v>
      </c>
      <c r="AA11" s="71"/>
    </row>
    <row r="12" spans="2:27" s="12" customFormat="1" ht="12.75" customHeight="1">
      <c r="B12" s="68">
        <v>2023</v>
      </c>
      <c r="D12" s="262">
        <v>26750</v>
      </c>
      <c r="E12" s="247"/>
      <c r="F12" s="83">
        <v>972</v>
      </c>
      <c r="G12" s="247"/>
      <c r="H12" s="83">
        <v>287</v>
      </c>
      <c r="I12" s="247"/>
      <c r="J12" s="83">
        <v>29</v>
      </c>
      <c r="K12" s="247"/>
      <c r="L12" s="83">
        <v>292</v>
      </c>
      <c r="M12" s="247"/>
      <c r="N12" s="83">
        <v>602</v>
      </c>
      <c r="O12" s="247"/>
      <c r="P12" s="83">
        <v>279</v>
      </c>
      <c r="Q12" s="247"/>
      <c r="R12" s="83">
        <v>92</v>
      </c>
      <c r="S12" s="247"/>
      <c r="T12" s="83">
        <v>131</v>
      </c>
      <c r="U12" s="649">
        <v>0</v>
      </c>
      <c r="V12" s="649">
        <v>0</v>
      </c>
      <c r="W12" s="247"/>
      <c r="X12" s="83">
        <v>29434</v>
      </c>
      <c r="Y12" s="71"/>
      <c r="Z12" s="506">
        <v>2023</v>
      </c>
      <c r="AA12" s="71"/>
    </row>
    <row r="13" spans="2:27" s="12" customFormat="1" ht="12.75" customHeight="1">
      <c r="B13" s="68">
        <v>2024</v>
      </c>
      <c r="D13" s="262">
        <v>24047</v>
      </c>
      <c r="E13" s="83"/>
      <c r="F13" s="83">
        <v>1785</v>
      </c>
      <c r="G13" s="83">
        <v>0</v>
      </c>
      <c r="H13" s="83">
        <v>598</v>
      </c>
      <c r="I13" s="83"/>
      <c r="J13" s="83">
        <v>79</v>
      </c>
      <c r="K13" s="83"/>
      <c r="L13" s="83">
        <v>496</v>
      </c>
      <c r="M13" s="83"/>
      <c r="N13" s="83">
        <v>1652</v>
      </c>
      <c r="O13" s="83"/>
      <c r="P13" s="83">
        <v>756</v>
      </c>
      <c r="Q13" s="83"/>
      <c r="R13" s="83">
        <v>168</v>
      </c>
      <c r="S13" s="83"/>
      <c r="T13" s="83">
        <v>343</v>
      </c>
      <c r="U13" s="83">
        <v>0</v>
      </c>
      <c r="V13" s="83">
        <v>0</v>
      </c>
      <c r="W13" s="83"/>
      <c r="X13" s="83">
        <v>29924</v>
      </c>
      <c r="Y13" s="83"/>
      <c r="Z13" s="647">
        <v>2024</v>
      </c>
      <c r="AA13" s="71"/>
    </row>
    <row r="14" spans="2:27" s="12" customFormat="1" ht="12.75" customHeight="1">
      <c r="B14" s="68">
        <v>2025</v>
      </c>
      <c r="D14" s="262">
        <v>32912</v>
      </c>
      <c r="E14" s="83"/>
      <c r="F14" s="83">
        <v>1118</v>
      </c>
      <c r="G14" s="83">
        <v>0</v>
      </c>
      <c r="H14" s="83">
        <v>362</v>
      </c>
      <c r="I14" s="83"/>
      <c r="J14" s="83">
        <v>80</v>
      </c>
      <c r="K14" s="83"/>
      <c r="L14" s="83">
        <v>311</v>
      </c>
      <c r="M14" s="83"/>
      <c r="N14" s="83">
        <v>1398</v>
      </c>
      <c r="O14" s="83"/>
      <c r="P14" s="83">
        <v>384</v>
      </c>
      <c r="Q14" s="83"/>
      <c r="R14" s="83">
        <v>188</v>
      </c>
      <c r="S14" s="83"/>
      <c r="T14" s="83">
        <v>225</v>
      </c>
      <c r="U14" s="83">
        <v>0</v>
      </c>
      <c r="V14" s="83">
        <v>0</v>
      </c>
      <c r="W14" s="83"/>
      <c r="X14" s="83">
        <v>36978</v>
      </c>
      <c r="Y14" s="83"/>
      <c r="Z14" s="647">
        <v>2025</v>
      </c>
      <c r="AA14" s="71"/>
    </row>
    <row r="15" spans="2:27" s="12" customFormat="1" ht="12.75" customHeight="1">
      <c r="B15" s="68"/>
      <c r="D15" s="643"/>
      <c r="E15" s="563"/>
      <c r="F15" s="563"/>
      <c r="G15" s="563"/>
      <c r="H15" s="563"/>
      <c r="I15" s="563"/>
      <c r="J15" s="563"/>
      <c r="K15" s="563"/>
      <c r="L15" s="830"/>
      <c r="M15" s="830"/>
      <c r="N15" s="857"/>
      <c r="O15" s="857"/>
      <c r="P15" s="857"/>
      <c r="Q15" s="857"/>
      <c r="R15" s="830"/>
      <c r="S15" s="830"/>
      <c r="T15" s="830"/>
      <c r="U15" s="830"/>
      <c r="V15" s="566"/>
      <c r="W15" s="75"/>
      <c r="X15" s="75"/>
      <c r="Y15" s="71"/>
      <c r="Z15" s="75"/>
      <c r="AA15" s="71"/>
    </row>
    <row r="16" spans="2:27" s="10" customFormat="1" ht="12.75" customHeight="1">
      <c r="B16" s="68">
        <v>2021</v>
      </c>
      <c r="C16" s="509" t="s">
        <v>228</v>
      </c>
      <c r="D16" s="608">
        <v>276</v>
      </c>
      <c r="E16" s="12"/>
      <c r="F16" s="12">
        <v>34</v>
      </c>
      <c r="G16" s="12"/>
      <c r="H16" s="12">
        <v>1</v>
      </c>
      <c r="I16" s="12"/>
      <c r="J16" s="12">
        <v>0</v>
      </c>
      <c r="K16" s="12"/>
      <c r="L16" s="12">
        <v>0</v>
      </c>
      <c r="M16" s="12"/>
      <c r="N16" s="12">
        <v>9</v>
      </c>
      <c r="O16" s="12"/>
      <c r="P16" s="12">
        <v>5</v>
      </c>
      <c r="Q16" s="12"/>
      <c r="R16" s="12">
        <v>0</v>
      </c>
      <c r="S16" s="12"/>
      <c r="T16" s="12">
        <v>0</v>
      </c>
      <c r="U16" s="94"/>
      <c r="V16" s="94"/>
      <c r="W16" s="12"/>
      <c r="X16" s="607">
        <v>325</v>
      </c>
      <c r="Y16" s="71"/>
      <c r="Z16" s="506">
        <v>2021</v>
      </c>
      <c r="AA16" s="71" t="s">
        <v>228</v>
      </c>
    </row>
    <row r="17" spans="2:27" s="10" customFormat="1" ht="12.75" hidden="1" customHeight="1">
      <c r="B17" s="68">
        <v>2021</v>
      </c>
      <c r="C17" s="509" t="s">
        <v>34</v>
      </c>
      <c r="D17" s="608">
        <v>122</v>
      </c>
      <c r="E17" s="12"/>
      <c r="F17" s="12">
        <v>35</v>
      </c>
      <c r="G17" s="12"/>
      <c r="H17" s="12">
        <v>11</v>
      </c>
      <c r="I17" s="12"/>
      <c r="J17" s="12">
        <v>0</v>
      </c>
      <c r="K17" s="12"/>
      <c r="L17" s="12">
        <v>9</v>
      </c>
      <c r="M17" s="12"/>
      <c r="N17" s="12">
        <v>9</v>
      </c>
      <c r="O17" s="12"/>
      <c r="P17" s="12">
        <v>15</v>
      </c>
      <c r="Q17" s="12"/>
      <c r="R17" s="12">
        <v>4</v>
      </c>
      <c r="S17" s="12"/>
      <c r="T17" s="12">
        <v>4</v>
      </c>
      <c r="U17" s="94"/>
      <c r="V17" s="94"/>
      <c r="W17" s="12"/>
      <c r="X17" s="607">
        <v>209</v>
      </c>
      <c r="Y17" s="71"/>
      <c r="Z17" s="506">
        <v>2021</v>
      </c>
      <c r="AA17" s="71" t="s">
        <v>75</v>
      </c>
    </row>
    <row r="18" spans="2:27" s="10" customFormat="1" ht="12.75" hidden="1" customHeight="1">
      <c r="B18" s="68">
        <v>2021</v>
      </c>
      <c r="C18" s="509" t="s">
        <v>29</v>
      </c>
      <c r="D18" s="608">
        <v>184</v>
      </c>
      <c r="E18" s="12"/>
      <c r="F18" s="12">
        <v>34</v>
      </c>
      <c r="G18" s="12"/>
      <c r="H18" s="12">
        <v>2</v>
      </c>
      <c r="I18" s="12"/>
      <c r="J18" s="12">
        <v>0</v>
      </c>
      <c r="K18" s="12"/>
      <c r="L18" s="12">
        <v>10</v>
      </c>
      <c r="M18" s="12"/>
      <c r="N18" s="12">
        <v>17</v>
      </c>
      <c r="O18" s="12"/>
      <c r="P18" s="12">
        <v>25</v>
      </c>
      <c r="Q18" s="12"/>
      <c r="R18" s="12">
        <v>4</v>
      </c>
      <c r="S18" s="12"/>
      <c r="T18" s="12">
        <v>3</v>
      </c>
      <c r="U18" s="94"/>
      <c r="V18" s="94"/>
      <c r="W18" s="12"/>
      <c r="X18" s="607">
        <v>279</v>
      </c>
      <c r="Y18" s="71"/>
      <c r="Z18" s="506">
        <v>2021</v>
      </c>
      <c r="AA18" s="71" t="s">
        <v>29</v>
      </c>
    </row>
    <row r="19" spans="2:27" s="10" customFormat="1" ht="12.75" hidden="1" customHeight="1">
      <c r="B19" s="68">
        <v>2021</v>
      </c>
      <c r="C19" s="509" t="s">
        <v>316</v>
      </c>
      <c r="D19" s="608">
        <v>193</v>
      </c>
      <c r="E19" s="12"/>
      <c r="F19" s="12">
        <v>27</v>
      </c>
      <c r="G19" s="12"/>
      <c r="H19" s="12">
        <v>8</v>
      </c>
      <c r="I19" s="12"/>
      <c r="J19" s="12">
        <v>0</v>
      </c>
      <c r="K19" s="12"/>
      <c r="L19" s="12">
        <v>9</v>
      </c>
      <c r="M19" s="12"/>
      <c r="N19" s="12">
        <v>5</v>
      </c>
      <c r="O19" s="12"/>
      <c r="P19" s="12">
        <v>2</v>
      </c>
      <c r="Q19" s="12"/>
      <c r="R19" s="12">
        <v>0</v>
      </c>
      <c r="S19" s="12"/>
      <c r="T19" s="12">
        <v>1</v>
      </c>
      <c r="U19" s="94"/>
      <c r="V19" s="94"/>
      <c r="W19" s="12"/>
      <c r="X19" s="607">
        <v>245</v>
      </c>
      <c r="Y19" s="71"/>
      <c r="Z19" s="506">
        <v>2021</v>
      </c>
      <c r="AA19" s="71" t="s">
        <v>318</v>
      </c>
    </row>
    <row r="20" spans="2:27" s="10" customFormat="1" ht="12.75" hidden="1" customHeight="1">
      <c r="B20" s="68">
        <v>2021</v>
      </c>
      <c r="C20" s="509" t="s">
        <v>4</v>
      </c>
      <c r="D20" s="608">
        <v>323</v>
      </c>
      <c r="E20" s="12"/>
      <c r="F20" s="12">
        <v>12</v>
      </c>
      <c r="G20" s="12"/>
      <c r="H20" s="12">
        <v>6</v>
      </c>
      <c r="I20" s="12"/>
      <c r="J20" s="12">
        <v>0</v>
      </c>
      <c r="K20" s="12"/>
      <c r="L20" s="12">
        <v>8</v>
      </c>
      <c r="M20" s="12"/>
      <c r="N20" s="12">
        <v>3</v>
      </c>
      <c r="O20" s="12"/>
      <c r="P20" s="12">
        <v>1</v>
      </c>
      <c r="Q20" s="12"/>
      <c r="R20" s="12">
        <v>0</v>
      </c>
      <c r="S20" s="12"/>
      <c r="T20" s="12">
        <v>2</v>
      </c>
      <c r="U20" s="12"/>
      <c r="V20" s="12"/>
      <c r="W20" s="12"/>
      <c r="X20" s="607">
        <v>355</v>
      </c>
      <c r="Y20" s="71"/>
      <c r="Z20" s="506">
        <v>2021</v>
      </c>
      <c r="AA20" s="71" t="s">
        <v>319</v>
      </c>
    </row>
    <row r="21" spans="2:27" s="10" customFormat="1" ht="12.75" hidden="1" customHeight="1">
      <c r="B21" s="68">
        <v>2021</v>
      </c>
      <c r="C21" s="509" t="s">
        <v>317</v>
      </c>
      <c r="D21" s="608">
        <v>223</v>
      </c>
      <c r="E21" s="12"/>
      <c r="F21" s="12">
        <v>22</v>
      </c>
      <c r="G21" s="12"/>
      <c r="H21" s="12">
        <v>3</v>
      </c>
      <c r="I21" s="12"/>
      <c r="J21" s="12">
        <v>2</v>
      </c>
      <c r="K21" s="12"/>
      <c r="L21" s="12">
        <v>4</v>
      </c>
      <c r="M21" s="12"/>
      <c r="N21" s="12">
        <v>106</v>
      </c>
      <c r="O21" s="12"/>
      <c r="P21" s="12">
        <v>9</v>
      </c>
      <c r="Q21" s="12"/>
      <c r="R21" s="12">
        <v>2</v>
      </c>
      <c r="S21" s="12"/>
      <c r="T21" s="12">
        <v>5</v>
      </c>
      <c r="U21" s="12"/>
      <c r="V21" s="12"/>
      <c r="W21" s="12"/>
      <c r="X21" s="607">
        <v>376</v>
      </c>
      <c r="Y21" s="71"/>
      <c r="Z21" s="506">
        <v>2021</v>
      </c>
      <c r="AA21" s="71" t="s">
        <v>320</v>
      </c>
    </row>
    <row r="22" spans="2:27" s="10" customFormat="1" ht="12.75" hidden="1" customHeight="1">
      <c r="B22" s="68">
        <v>2021</v>
      </c>
      <c r="C22" s="509" t="s">
        <v>233</v>
      </c>
      <c r="D22" s="608">
        <v>63</v>
      </c>
      <c r="E22" s="12"/>
      <c r="F22" s="12">
        <v>21</v>
      </c>
      <c r="G22" s="12"/>
      <c r="H22" s="12">
        <v>3</v>
      </c>
      <c r="I22" s="12"/>
      <c r="J22" s="12">
        <v>0</v>
      </c>
      <c r="K22" s="12"/>
      <c r="L22" s="12">
        <v>4</v>
      </c>
      <c r="M22" s="12"/>
      <c r="N22" s="12">
        <v>1</v>
      </c>
      <c r="O22" s="12"/>
      <c r="P22" s="12">
        <v>1</v>
      </c>
      <c r="Q22" s="12"/>
      <c r="R22" s="12">
        <v>2</v>
      </c>
      <c r="S22" s="12"/>
      <c r="T22" s="12">
        <v>3</v>
      </c>
      <c r="U22" s="94"/>
      <c r="V22" s="94"/>
      <c r="W22" s="12"/>
      <c r="X22" s="607">
        <v>98</v>
      </c>
      <c r="Y22" s="71"/>
      <c r="Z22" s="506">
        <v>2021</v>
      </c>
      <c r="AA22" s="71" t="s">
        <v>232</v>
      </c>
    </row>
    <row r="23" spans="2:27" s="10" customFormat="1" ht="12.75" hidden="1" customHeight="1">
      <c r="B23" s="68">
        <v>2021</v>
      </c>
      <c r="C23" s="509" t="s">
        <v>237</v>
      </c>
      <c r="D23" s="608">
        <v>152</v>
      </c>
      <c r="E23" s="12"/>
      <c r="F23" s="12">
        <v>46</v>
      </c>
      <c r="G23" s="12"/>
      <c r="H23" s="12">
        <v>12</v>
      </c>
      <c r="I23" s="12"/>
      <c r="J23" s="12">
        <v>2</v>
      </c>
      <c r="K23" s="12"/>
      <c r="L23" s="12">
        <v>10</v>
      </c>
      <c r="M23" s="12"/>
      <c r="N23" s="12">
        <v>12</v>
      </c>
      <c r="O23" s="12"/>
      <c r="P23" s="12">
        <v>1</v>
      </c>
      <c r="Q23" s="12"/>
      <c r="R23" s="12">
        <v>1</v>
      </c>
      <c r="S23" s="12"/>
      <c r="T23" s="12">
        <v>8</v>
      </c>
      <c r="U23" s="94"/>
      <c r="V23" s="94"/>
      <c r="W23" s="12"/>
      <c r="X23" s="607">
        <v>244</v>
      </c>
      <c r="Y23" s="71"/>
      <c r="Z23" s="506">
        <v>2021</v>
      </c>
      <c r="AA23" s="71" t="s">
        <v>321</v>
      </c>
    </row>
    <row r="24" spans="2:27" s="10" customFormat="1" ht="12.75" hidden="1" customHeight="1">
      <c r="B24" s="68">
        <v>2021</v>
      </c>
      <c r="C24" s="509" t="s">
        <v>312</v>
      </c>
      <c r="D24" s="608">
        <v>6</v>
      </c>
      <c r="E24" s="12"/>
      <c r="F24" s="12">
        <v>1</v>
      </c>
      <c r="G24" s="12"/>
      <c r="H24" s="12">
        <v>0</v>
      </c>
      <c r="I24" s="12"/>
      <c r="J24" s="12">
        <v>0</v>
      </c>
      <c r="K24" s="12"/>
      <c r="L24" s="12">
        <v>0</v>
      </c>
      <c r="M24" s="12"/>
      <c r="N24" s="12">
        <v>37</v>
      </c>
      <c r="O24" s="12"/>
      <c r="P24" s="12">
        <v>0</v>
      </c>
      <c r="Q24" s="12"/>
      <c r="R24" s="12">
        <v>0</v>
      </c>
      <c r="S24" s="12"/>
      <c r="T24" s="12">
        <v>0</v>
      </c>
      <c r="U24" s="12"/>
      <c r="V24" s="12"/>
      <c r="W24" s="12"/>
      <c r="X24" s="607">
        <v>44</v>
      </c>
      <c r="Y24" s="71"/>
      <c r="Z24" s="506">
        <v>2021</v>
      </c>
      <c r="AA24" s="71" t="s">
        <v>312</v>
      </c>
    </row>
    <row r="25" spans="2:27" s="10" customFormat="1" ht="12.75" hidden="1" customHeight="1">
      <c r="B25" s="68">
        <v>2021</v>
      </c>
      <c r="C25" s="98" t="s">
        <v>50</v>
      </c>
      <c r="D25" s="607">
        <v>206</v>
      </c>
      <c r="E25" s="12"/>
      <c r="F25" s="12">
        <v>88</v>
      </c>
      <c r="G25" s="12"/>
      <c r="H25" s="12">
        <v>4</v>
      </c>
      <c r="I25" s="12"/>
      <c r="J25" s="12">
        <v>2</v>
      </c>
      <c r="K25" s="12"/>
      <c r="L25" s="12">
        <v>10</v>
      </c>
      <c r="M25" s="12"/>
      <c r="N25" s="12">
        <v>6</v>
      </c>
      <c r="O25" s="12"/>
      <c r="P25" s="12">
        <v>0</v>
      </c>
      <c r="Q25" s="12"/>
      <c r="R25" s="12">
        <v>0</v>
      </c>
      <c r="S25" s="12"/>
      <c r="T25" s="12">
        <v>3</v>
      </c>
      <c r="U25" s="12"/>
      <c r="V25" s="12"/>
      <c r="W25" s="12"/>
      <c r="X25" s="607">
        <v>319</v>
      </c>
      <c r="Y25" s="71"/>
      <c r="Z25" s="506">
        <v>2021</v>
      </c>
      <c r="AA25" s="71" t="s">
        <v>50</v>
      </c>
    </row>
    <row r="26" spans="2:27" s="10" customFormat="1" ht="12.75" hidden="1" customHeight="1">
      <c r="B26" s="68">
        <v>2021</v>
      </c>
      <c r="C26" s="98" t="s">
        <v>313</v>
      </c>
      <c r="D26" s="607">
        <v>597</v>
      </c>
      <c r="E26" s="12"/>
      <c r="F26" s="12">
        <v>19</v>
      </c>
      <c r="G26" s="12"/>
      <c r="H26" s="12">
        <v>8</v>
      </c>
      <c r="I26" s="12"/>
      <c r="J26" s="12">
        <v>2</v>
      </c>
      <c r="K26" s="12"/>
      <c r="L26" s="12">
        <v>1</v>
      </c>
      <c r="M26" s="12"/>
      <c r="N26" s="12">
        <v>4</v>
      </c>
      <c r="O26" s="12"/>
      <c r="P26" s="12">
        <v>3</v>
      </c>
      <c r="Q26" s="12"/>
      <c r="R26" s="12">
        <v>4</v>
      </c>
      <c r="S26" s="12"/>
      <c r="T26" s="12">
        <v>10</v>
      </c>
      <c r="U26" s="12"/>
      <c r="V26" s="12"/>
      <c r="W26" s="12"/>
      <c r="X26" s="607">
        <v>648</v>
      </c>
      <c r="Y26" s="12"/>
      <c r="Z26" s="647">
        <v>2021</v>
      </c>
      <c r="AA26" s="71" t="s">
        <v>313</v>
      </c>
    </row>
    <row r="27" spans="2:27" s="10" customFormat="1" ht="12.75" hidden="1" customHeight="1">
      <c r="B27" s="68">
        <v>2021</v>
      </c>
      <c r="C27" s="509" t="s">
        <v>314</v>
      </c>
      <c r="D27" s="608">
        <v>314</v>
      </c>
      <c r="E27" s="12"/>
      <c r="F27" s="12">
        <v>4</v>
      </c>
      <c r="G27" s="12"/>
      <c r="H27" s="12">
        <v>5</v>
      </c>
      <c r="I27" s="12"/>
      <c r="J27" s="12">
        <v>2</v>
      </c>
      <c r="K27" s="12"/>
      <c r="L27" s="12">
        <v>14</v>
      </c>
      <c r="M27" s="12"/>
      <c r="N27" s="12">
        <v>1</v>
      </c>
      <c r="O27" s="12"/>
      <c r="P27" s="12">
        <v>5</v>
      </c>
      <c r="Q27" s="12"/>
      <c r="R27" s="12">
        <v>0</v>
      </c>
      <c r="S27" s="12"/>
      <c r="T27" s="12">
        <v>8</v>
      </c>
      <c r="U27" s="12"/>
      <c r="V27" s="12"/>
      <c r="W27" s="12"/>
      <c r="X27" s="607">
        <v>353</v>
      </c>
      <c r="Y27" s="12"/>
      <c r="Z27" s="647">
        <v>2021</v>
      </c>
      <c r="AA27" s="71" t="s">
        <v>327</v>
      </c>
    </row>
    <row r="28" spans="2:27" s="10" customFormat="1" ht="12.75" customHeight="1">
      <c r="B28" s="68">
        <v>2022</v>
      </c>
      <c r="C28" s="509" t="s">
        <v>228</v>
      </c>
      <c r="D28" s="608">
        <v>0</v>
      </c>
      <c r="E28" s="12"/>
      <c r="F28" s="12">
        <v>0</v>
      </c>
      <c r="G28" s="12"/>
      <c r="H28" s="12">
        <v>0</v>
      </c>
      <c r="I28" s="12"/>
      <c r="J28" s="12">
        <v>0</v>
      </c>
      <c r="K28" s="12"/>
      <c r="L28" s="12">
        <v>0</v>
      </c>
      <c r="M28" s="12"/>
      <c r="N28" s="12">
        <v>0</v>
      </c>
      <c r="O28" s="12"/>
      <c r="P28" s="12">
        <v>0</v>
      </c>
      <c r="Q28" s="12"/>
      <c r="R28" s="12">
        <v>0</v>
      </c>
      <c r="S28" s="12"/>
      <c r="T28" s="12">
        <v>0</v>
      </c>
      <c r="U28" s="12"/>
      <c r="V28" s="12"/>
      <c r="W28" s="12"/>
      <c r="X28" s="607">
        <v>0</v>
      </c>
      <c r="Y28" s="12"/>
      <c r="Z28" s="647">
        <v>2022</v>
      </c>
      <c r="AA28" s="71" t="s">
        <v>228</v>
      </c>
    </row>
    <row r="29" spans="2:27" s="10" customFormat="1" ht="12.75" hidden="1" customHeight="1">
      <c r="B29" s="68">
        <v>2022</v>
      </c>
      <c r="C29" s="509" t="s">
        <v>315</v>
      </c>
      <c r="D29" s="608">
        <v>0</v>
      </c>
      <c r="E29" s="12"/>
      <c r="F29" s="12">
        <v>321</v>
      </c>
      <c r="G29" s="12"/>
      <c r="H29" s="12">
        <v>12</v>
      </c>
      <c r="I29" s="12"/>
      <c r="J29" s="12">
        <v>8</v>
      </c>
      <c r="K29" s="12"/>
      <c r="L29" s="12">
        <v>3</v>
      </c>
      <c r="M29" s="12"/>
      <c r="N29" s="12">
        <v>7</v>
      </c>
      <c r="O29" s="12"/>
      <c r="P29" s="12">
        <v>10</v>
      </c>
      <c r="Q29" s="12"/>
      <c r="R29" s="12">
        <v>4</v>
      </c>
      <c r="S29" s="12"/>
      <c r="T29" s="12">
        <v>4</v>
      </c>
      <c r="U29" s="12"/>
      <c r="V29" s="12"/>
      <c r="W29" s="12"/>
      <c r="X29" s="607">
        <v>369</v>
      </c>
      <c r="Y29" s="12"/>
      <c r="Z29" s="647">
        <v>2022</v>
      </c>
      <c r="AA29" s="71" t="s">
        <v>75</v>
      </c>
    </row>
    <row r="30" spans="2:27" s="10" customFormat="1" ht="12.75" hidden="1" customHeight="1">
      <c r="B30" s="68">
        <v>2022</v>
      </c>
      <c r="C30" s="509" t="s">
        <v>29</v>
      </c>
      <c r="D30" s="608">
        <v>0</v>
      </c>
      <c r="E30" s="12"/>
      <c r="F30" s="12">
        <v>9</v>
      </c>
      <c r="G30" s="12"/>
      <c r="H30" s="12">
        <v>6</v>
      </c>
      <c r="I30" s="12"/>
      <c r="J30" s="12">
        <v>0</v>
      </c>
      <c r="K30" s="12"/>
      <c r="L30" s="12">
        <v>0</v>
      </c>
      <c r="M30" s="12"/>
      <c r="N30" s="12">
        <v>1</v>
      </c>
      <c r="O30" s="12"/>
      <c r="P30" s="12">
        <v>0</v>
      </c>
      <c r="Q30" s="12"/>
      <c r="R30" s="12">
        <v>0</v>
      </c>
      <c r="S30" s="12"/>
      <c r="T30" s="12">
        <v>0</v>
      </c>
      <c r="U30" s="12"/>
      <c r="V30" s="12"/>
      <c r="W30" s="12"/>
      <c r="X30" s="607">
        <v>16</v>
      </c>
      <c r="Y30" s="12"/>
      <c r="Z30" s="647">
        <v>2022</v>
      </c>
      <c r="AA30" s="71" t="s">
        <v>29</v>
      </c>
    </row>
    <row r="31" spans="2:27" s="10" customFormat="1" ht="12.75" hidden="1" customHeight="1">
      <c r="B31" s="68">
        <v>2022</v>
      </c>
      <c r="C31" s="509" t="s">
        <v>35</v>
      </c>
      <c r="D31" s="608">
        <v>54</v>
      </c>
      <c r="E31" s="12"/>
      <c r="F31" s="12">
        <v>11</v>
      </c>
      <c r="G31" s="12"/>
      <c r="H31" s="12">
        <v>0</v>
      </c>
      <c r="I31" s="12"/>
      <c r="J31" s="12">
        <v>0</v>
      </c>
      <c r="K31" s="12"/>
      <c r="L31" s="12">
        <v>0</v>
      </c>
      <c r="M31" s="12"/>
      <c r="N31" s="12">
        <v>0</v>
      </c>
      <c r="O31" s="12"/>
      <c r="P31" s="12">
        <v>0</v>
      </c>
      <c r="Q31" s="12"/>
      <c r="R31" s="12">
        <v>0</v>
      </c>
      <c r="S31" s="12"/>
      <c r="T31" s="12">
        <v>0</v>
      </c>
      <c r="U31" s="12"/>
      <c r="V31" s="12"/>
      <c r="W31" s="12"/>
      <c r="X31" s="607">
        <v>65</v>
      </c>
      <c r="Y31" s="12"/>
      <c r="Z31" s="647">
        <v>2022</v>
      </c>
      <c r="AA31" s="71" t="s">
        <v>76</v>
      </c>
    </row>
    <row r="32" spans="2:27" s="10" customFormat="1" ht="12.75" hidden="1" customHeight="1">
      <c r="B32" s="68">
        <v>2022</v>
      </c>
      <c r="C32" s="509" t="s">
        <v>4</v>
      </c>
      <c r="D32" s="608">
        <v>876</v>
      </c>
      <c r="E32" s="12"/>
      <c r="F32" s="12">
        <v>95</v>
      </c>
      <c r="G32" s="12"/>
      <c r="H32" s="12">
        <v>4</v>
      </c>
      <c r="I32" s="12"/>
      <c r="J32" s="12">
        <v>9</v>
      </c>
      <c r="K32" s="12"/>
      <c r="L32" s="12">
        <v>9</v>
      </c>
      <c r="M32" s="12"/>
      <c r="N32" s="12">
        <v>32</v>
      </c>
      <c r="O32" s="12"/>
      <c r="P32" s="12">
        <v>10</v>
      </c>
      <c r="Q32" s="12"/>
      <c r="R32" s="12">
        <v>12</v>
      </c>
      <c r="S32" s="12"/>
      <c r="T32" s="12">
        <v>9</v>
      </c>
      <c r="U32" s="12"/>
      <c r="V32" s="12"/>
      <c r="W32" s="12"/>
      <c r="X32" s="607">
        <v>1056</v>
      </c>
      <c r="Y32" s="12"/>
      <c r="Z32" s="647">
        <v>2022</v>
      </c>
      <c r="AA32" s="71" t="s">
        <v>77</v>
      </c>
    </row>
    <row r="33" spans="2:27" s="10" customFormat="1" ht="12.75" hidden="1" customHeight="1">
      <c r="B33" s="68">
        <v>2022</v>
      </c>
      <c r="C33" s="509" t="s">
        <v>30</v>
      </c>
      <c r="D33" s="608">
        <v>756</v>
      </c>
      <c r="E33" s="12"/>
      <c r="F33" s="12">
        <v>80</v>
      </c>
      <c r="G33" s="12"/>
      <c r="H33" s="12">
        <v>14</v>
      </c>
      <c r="I33" s="12"/>
      <c r="J33" s="12">
        <v>3</v>
      </c>
      <c r="K33" s="12"/>
      <c r="L33" s="12">
        <v>9</v>
      </c>
      <c r="M33" s="12"/>
      <c r="N33" s="12">
        <v>63</v>
      </c>
      <c r="O33" s="12"/>
      <c r="P33" s="12">
        <v>15</v>
      </c>
      <c r="Q33" s="12"/>
      <c r="R33" s="12">
        <v>2</v>
      </c>
      <c r="S33" s="12"/>
      <c r="T33" s="12">
        <v>8</v>
      </c>
      <c r="U33" s="12"/>
      <c r="V33" s="12"/>
      <c r="W33" s="12"/>
      <c r="X33" s="607">
        <v>950</v>
      </c>
      <c r="Y33" s="12"/>
      <c r="Z33" s="647">
        <v>2022</v>
      </c>
      <c r="AA33" s="71" t="s">
        <v>78</v>
      </c>
    </row>
    <row r="34" spans="2:27" s="10" customFormat="1" ht="12.75" hidden="1" customHeight="1">
      <c r="B34" s="68">
        <v>2022</v>
      </c>
      <c r="C34" s="98" t="s">
        <v>233</v>
      </c>
      <c r="D34" s="607">
        <v>2589</v>
      </c>
      <c r="E34" s="12"/>
      <c r="F34" s="12">
        <v>343</v>
      </c>
      <c r="G34" s="12"/>
      <c r="H34" s="12">
        <v>85</v>
      </c>
      <c r="I34" s="12"/>
      <c r="J34" s="12">
        <v>13</v>
      </c>
      <c r="K34" s="12"/>
      <c r="L34" s="12">
        <v>91</v>
      </c>
      <c r="M34" s="12"/>
      <c r="N34" s="12">
        <v>100</v>
      </c>
      <c r="O34" s="12"/>
      <c r="P34" s="12">
        <v>57</v>
      </c>
      <c r="Q34" s="12"/>
      <c r="R34" s="12">
        <v>30</v>
      </c>
      <c r="S34" s="12"/>
      <c r="T34" s="12">
        <v>34</v>
      </c>
      <c r="U34" s="12"/>
      <c r="V34" s="12"/>
      <c r="W34" s="12"/>
      <c r="X34" s="607">
        <v>3342</v>
      </c>
      <c r="Y34" s="71"/>
      <c r="Z34" s="647">
        <v>2022</v>
      </c>
      <c r="AA34" s="71" t="s">
        <v>232</v>
      </c>
    </row>
    <row r="35" spans="2:27" s="10" customFormat="1" ht="12.75" hidden="1" customHeight="1">
      <c r="B35" s="68">
        <v>2022</v>
      </c>
      <c r="C35" s="98" t="s">
        <v>237</v>
      </c>
      <c r="D35" s="607">
        <v>2187</v>
      </c>
      <c r="E35" s="12"/>
      <c r="F35" s="12">
        <v>56</v>
      </c>
      <c r="G35" s="12"/>
      <c r="H35" s="12">
        <v>16</v>
      </c>
      <c r="I35" s="12"/>
      <c r="J35" s="12">
        <v>6</v>
      </c>
      <c r="K35" s="12"/>
      <c r="L35" s="12">
        <v>9</v>
      </c>
      <c r="M35" s="12"/>
      <c r="N35" s="12">
        <v>31</v>
      </c>
      <c r="O35" s="12"/>
      <c r="P35" s="12">
        <v>68</v>
      </c>
      <c r="Q35" s="12"/>
      <c r="R35" s="12">
        <v>9</v>
      </c>
      <c r="S35" s="12"/>
      <c r="T35" s="12">
        <v>8</v>
      </c>
      <c r="U35" s="12"/>
      <c r="V35" s="12"/>
      <c r="W35" s="12"/>
      <c r="X35" s="607">
        <v>2390</v>
      </c>
      <c r="Y35" s="71"/>
      <c r="Z35" s="506">
        <v>2022</v>
      </c>
      <c r="AA35" s="71" t="s">
        <v>321</v>
      </c>
    </row>
    <row r="36" spans="2:27" s="10" customFormat="1" ht="12.75" hidden="1" customHeight="1">
      <c r="B36" s="68">
        <v>2022</v>
      </c>
      <c r="C36" s="98" t="s">
        <v>31</v>
      </c>
      <c r="D36" s="607">
        <v>2139</v>
      </c>
      <c r="E36" s="12"/>
      <c r="F36" s="12">
        <v>116</v>
      </c>
      <c r="G36" s="12"/>
      <c r="H36" s="12">
        <v>50</v>
      </c>
      <c r="I36" s="12"/>
      <c r="J36" s="12">
        <v>12</v>
      </c>
      <c r="K36" s="12"/>
      <c r="L36" s="12">
        <v>46</v>
      </c>
      <c r="M36" s="12"/>
      <c r="N36" s="12">
        <v>92</v>
      </c>
      <c r="O36" s="12"/>
      <c r="P36" s="12">
        <v>49</v>
      </c>
      <c r="Q36" s="12"/>
      <c r="R36" s="12">
        <v>20</v>
      </c>
      <c r="S36" s="12"/>
      <c r="T36" s="12">
        <v>22</v>
      </c>
      <c r="U36" s="12"/>
      <c r="V36" s="12"/>
      <c r="W36" s="12"/>
      <c r="X36" s="607">
        <v>2546</v>
      </c>
      <c r="Y36" s="71"/>
      <c r="Z36" s="506">
        <v>2022</v>
      </c>
      <c r="AA36" s="71" t="s">
        <v>31</v>
      </c>
    </row>
    <row r="37" spans="2:27" s="10" customFormat="1" ht="12.75" hidden="1" customHeight="1">
      <c r="B37" s="68">
        <v>2022</v>
      </c>
      <c r="C37" s="646" t="s">
        <v>50</v>
      </c>
      <c r="D37" s="607">
        <v>1557</v>
      </c>
      <c r="E37" s="12"/>
      <c r="F37" s="607">
        <v>138</v>
      </c>
      <c r="G37" s="12"/>
      <c r="H37" s="607">
        <v>63</v>
      </c>
      <c r="I37" s="12"/>
      <c r="J37" s="607">
        <v>4</v>
      </c>
      <c r="K37" s="12"/>
      <c r="L37" s="607">
        <v>36</v>
      </c>
      <c r="M37" s="12"/>
      <c r="N37" s="607">
        <v>52</v>
      </c>
      <c r="O37" s="12"/>
      <c r="P37" s="607">
        <v>58</v>
      </c>
      <c r="Q37" s="12"/>
      <c r="R37" s="607">
        <v>22</v>
      </c>
      <c r="S37" s="689"/>
      <c r="T37" s="607">
        <v>24</v>
      </c>
      <c r="U37" s="689"/>
      <c r="V37" s="689"/>
      <c r="W37" s="689"/>
      <c r="X37" s="607">
        <v>1954</v>
      </c>
      <c r="Y37" s="12"/>
      <c r="Z37" s="647">
        <v>2022</v>
      </c>
      <c r="AA37" s="71" t="s">
        <v>50</v>
      </c>
    </row>
    <row r="38" spans="2:27" s="10" customFormat="1" ht="12.75" hidden="1" customHeight="1">
      <c r="B38" s="68">
        <v>2022</v>
      </c>
      <c r="C38" s="646" t="s">
        <v>313</v>
      </c>
      <c r="D38" s="607">
        <v>1958</v>
      </c>
      <c r="E38" s="12"/>
      <c r="F38" s="607">
        <v>166</v>
      </c>
      <c r="G38" s="12"/>
      <c r="H38" s="607">
        <v>79</v>
      </c>
      <c r="I38" s="12"/>
      <c r="J38" s="607">
        <v>14</v>
      </c>
      <c r="K38" s="12"/>
      <c r="L38" s="607">
        <v>49</v>
      </c>
      <c r="M38" s="12"/>
      <c r="N38" s="607">
        <v>91</v>
      </c>
      <c r="O38" s="12"/>
      <c r="P38" s="607">
        <v>50</v>
      </c>
      <c r="Q38" s="12"/>
      <c r="R38" s="607">
        <v>23</v>
      </c>
      <c r="S38" s="12"/>
      <c r="T38" s="607">
        <v>14</v>
      </c>
      <c r="U38" s="689"/>
      <c r="V38" s="689"/>
      <c r="W38" s="689"/>
      <c r="X38" s="607">
        <v>2444</v>
      </c>
      <c r="Y38" s="12"/>
      <c r="Z38" s="647">
        <v>2022</v>
      </c>
      <c r="AA38" s="71" t="s">
        <v>313</v>
      </c>
    </row>
    <row r="39" spans="2:27" s="10" customFormat="1" ht="12.75" hidden="1" customHeight="1">
      <c r="B39" s="68">
        <v>2022</v>
      </c>
      <c r="C39" s="646" t="s">
        <v>314</v>
      </c>
      <c r="D39" s="607">
        <v>2896</v>
      </c>
      <c r="E39" s="12"/>
      <c r="F39" s="607">
        <v>166</v>
      </c>
      <c r="G39" s="12"/>
      <c r="H39" s="607">
        <v>52</v>
      </c>
      <c r="I39" s="12"/>
      <c r="J39" s="607">
        <v>20</v>
      </c>
      <c r="K39" s="12"/>
      <c r="L39" s="607">
        <v>45</v>
      </c>
      <c r="M39" s="12"/>
      <c r="N39" s="607">
        <v>93</v>
      </c>
      <c r="O39" s="12"/>
      <c r="P39" s="607">
        <v>75</v>
      </c>
      <c r="Q39" s="12"/>
      <c r="R39" s="607">
        <v>30</v>
      </c>
      <c r="S39" s="12"/>
      <c r="T39" s="607">
        <v>32</v>
      </c>
      <c r="U39" s="689"/>
      <c r="V39" s="689"/>
      <c r="W39" s="689"/>
      <c r="X39" s="83">
        <v>3409</v>
      </c>
      <c r="Y39" s="71"/>
      <c r="Z39" s="647">
        <v>2022</v>
      </c>
      <c r="AA39" s="71" t="s">
        <v>327</v>
      </c>
    </row>
    <row r="40" spans="2:27" s="10" customFormat="1" ht="12.75" customHeight="1">
      <c r="B40" s="68">
        <v>2023</v>
      </c>
      <c r="C40" s="646" t="s">
        <v>33</v>
      </c>
      <c r="D40" s="608">
        <v>1484</v>
      </c>
      <c r="E40" s="12"/>
      <c r="F40" s="12">
        <v>87</v>
      </c>
      <c r="G40" s="12"/>
      <c r="H40" s="12">
        <v>25</v>
      </c>
      <c r="I40" s="12"/>
      <c r="J40" s="12">
        <v>2</v>
      </c>
      <c r="K40" s="12"/>
      <c r="L40" s="12">
        <v>24</v>
      </c>
      <c r="M40" s="12"/>
      <c r="N40" s="12">
        <v>37</v>
      </c>
      <c r="O40" s="12"/>
      <c r="P40" s="12">
        <v>33</v>
      </c>
      <c r="Q40" s="12"/>
      <c r="R40" s="12">
        <v>7</v>
      </c>
      <c r="S40" s="12"/>
      <c r="T40" s="12">
        <v>4</v>
      </c>
      <c r="U40" s="12"/>
      <c r="V40" s="12"/>
      <c r="W40" s="12"/>
      <c r="X40" s="607">
        <v>1703</v>
      </c>
      <c r="Y40" s="71"/>
      <c r="Z40" s="647">
        <v>2023</v>
      </c>
      <c r="AA40" s="71" t="s">
        <v>33</v>
      </c>
    </row>
    <row r="41" spans="2:27" s="10" customFormat="1" ht="12.75" hidden="1" customHeight="1">
      <c r="B41" s="68">
        <v>2023</v>
      </c>
      <c r="C41" s="509" t="s">
        <v>34</v>
      </c>
      <c r="D41" s="608">
        <v>1446</v>
      </c>
      <c r="E41" s="12" t="s">
        <v>41</v>
      </c>
      <c r="F41" s="12">
        <v>53</v>
      </c>
      <c r="G41" s="12" t="s">
        <v>41</v>
      </c>
      <c r="H41" s="12">
        <v>30</v>
      </c>
      <c r="I41" s="12" t="s">
        <v>41</v>
      </c>
      <c r="J41" s="12">
        <v>5</v>
      </c>
      <c r="K41" s="12" t="s">
        <v>41</v>
      </c>
      <c r="L41" s="12">
        <v>16</v>
      </c>
      <c r="M41" s="12" t="s">
        <v>41</v>
      </c>
      <c r="N41" s="12">
        <v>31</v>
      </c>
      <c r="O41" s="12" t="s">
        <v>41</v>
      </c>
      <c r="P41" s="12">
        <v>32</v>
      </c>
      <c r="Q41" s="12" t="s">
        <v>41</v>
      </c>
      <c r="R41" s="12">
        <v>5</v>
      </c>
      <c r="S41" s="12" t="s">
        <v>41</v>
      </c>
      <c r="T41" s="12">
        <v>17</v>
      </c>
      <c r="U41" s="12"/>
      <c r="V41" s="12"/>
      <c r="W41" s="12" t="s">
        <v>41</v>
      </c>
      <c r="X41" s="607">
        <v>1635</v>
      </c>
      <c r="Y41" s="12" t="s">
        <v>41</v>
      </c>
      <c r="Z41" s="647">
        <v>2023</v>
      </c>
      <c r="AA41" s="71" t="s">
        <v>75</v>
      </c>
    </row>
    <row r="42" spans="2:27" s="10" customFormat="1" ht="12.75" hidden="1" customHeight="1">
      <c r="B42" s="68">
        <v>2023</v>
      </c>
      <c r="C42" s="98" t="s">
        <v>29</v>
      </c>
      <c r="D42" s="607">
        <v>172</v>
      </c>
      <c r="E42" s="12"/>
      <c r="F42" s="607">
        <v>21</v>
      </c>
      <c r="G42" s="12"/>
      <c r="H42" s="607">
        <v>13</v>
      </c>
      <c r="I42" s="12"/>
      <c r="J42" s="607">
        <v>1</v>
      </c>
      <c r="K42" s="12"/>
      <c r="L42" s="607">
        <v>5</v>
      </c>
      <c r="M42" s="12"/>
      <c r="N42" s="607">
        <v>15</v>
      </c>
      <c r="O42" s="12"/>
      <c r="P42" s="607">
        <v>4</v>
      </c>
      <c r="Q42" s="12"/>
      <c r="R42" s="607">
        <v>4</v>
      </c>
      <c r="S42" s="12"/>
      <c r="T42" s="607">
        <v>4</v>
      </c>
      <c r="U42" s="12"/>
      <c r="V42" s="12"/>
      <c r="W42" s="12"/>
      <c r="X42" s="607">
        <v>239</v>
      </c>
      <c r="Y42" s="71"/>
      <c r="Z42" s="647">
        <v>2023</v>
      </c>
      <c r="AA42" s="71" t="s">
        <v>29</v>
      </c>
    </row>
    <row r="43" spans="2:27" s="10" customFormat="1" ht="12.75" hidden="1" customHeight="1">
      <c r="B43" s="68">
        <v>2023</v>
      </c>
      <c r="C43" s="98" t="s">
        <v>35</v>
      </c>
      <c r="D43" s="607">
        <v>2345</v>
      </c>
      <c r="E43" s="12"/>
      <c r="F43" s="12">
        <v>102</v>
      </c>
      <c r="G43" s="12"/>
      <c r="H43" s="12">
        <v>19</v>
      </c>
      <c r="I43" s="12"/>
      <c r="J43" s="12">
        <v>3</v>
      </c>
      <c r="K43" s="12"/>
      <c r="L43" s="12">
        <v>25</v>
      </c>
      <c r="M43" s="12"/>
      <c r="N43" s="12">
        <v>82</v>
      </c>
      <c r="O43" s="12"/>
      <c r="P43" s="12">
        <v>24</v>
      </c>
      <c r="Q43" s="12"/>
      <c r="R43" s="12">
        <v>10</v>
      </c>
      <c r="S43" s="12"/>
      <c r="T43" s="12">
        <v>8</v>
      </c>
      <c r="U43" s="12"/>
      <c r="V43" s="12"/>
      <c r="W43" s="12"/>
      <c r="X43" s="607">
        <v>2618</v>
      </c>
      <c r="Y43" s="71"/>
      <c r="Z43" s="647">
        <v>2023</v>
      </c>
      <c r="AA43" s="71" t="s">
        <v>76</v>
      </c>
    </row>
    <row r="44" spans="2:27" s="10" customFormat="1" ht="12.75" hidden="1" customHeight="1">
      <c r="B44" s="68">
        <v>2023</v>
      </c>
      <c r="C44" s="98" t="s">
        <v>4</v>
      </c>
      <c r="D44" s="607">
        <v>3776</v>
      </c>
      <c r="E44" s="12"/>
      <c r="F44" s="12">
        <v>127</v>
      </c>
      <c r="G44" s="12"/>
      <c r="H44" s="12">
        <v>46</v>
      </c>
      <c r="I44" s="12"/>
      <c r="J44" s="12">
        <v>8</v>
      </c>
      <c r="K44" s="12"/>
      <c r="L44" s="12">
        <v>36</v>
      </c>
      <c r="M44" s="12"/>
      <c r="N44" s="12">
        <v>115</v>
      </c>
      <c r="O44" s="12"/>
      <c r="P44" s="12">
        <v>28</v>
      </c>
      <c r="Q44" s="12"/>
      <c r="R44" s="12">
        <v>9</v>
      </c>
      <c r="S44" s="12"/>
      <c r="T44" s="12">
        <v>23</v>
      </c>
      <c r="U44" s="12"/>
      <c r="V44" s="12"/>
      <c r="W44" s="12"/>
      <c r="X44" s="607">
        <v>4168</v>
      </c>
      <c r="Y44" s="71"/>
      <c r="Z44" s="647">
        <v>2023</v>
      </c>
      <c r="AA44" s="71" t="s">
        <v>77</v>
      </c>
    </row>
    <row r="45" spans="2:27" s="10" customFormat="1" ht="12.75" hidden="1" customHeight="1">
      <c r="B45" s="68">
        <v>2023</v>
      </c>
      <c r="C45" s="98" t="s">
        <v>30</v>
      </c>
      <c r="D45" s="607">
        <v>3033</v>
      </c>
      <c r="E45" s="12"/>
      <c r="F45" s="12">
        <v>118</v>
      </c>
      <c r="G45" s="12"/>
      <c r="H45" s="12">
        <v>29</v>
      </c>
      <c r="I45" s="12"/>
      <c r="J45" s="12">
        <v>2</v>
      </c>
      <c r="K45" s="12"/>
      <c r="L45" s="12">
        <v>26</v>
      </c>
      <c r="M45" s="12"/>
      <c r="N45" s="12">
        <v>82</v>
      </c>
      <c r="O45" s="12"/>
      <c r="P45" s="12">
        <v>26</v>
      </c>
      <c r="Q45" s="12"/>
      <c r="R45" s="12">
        <v>7</v>
      </c>
      <c r="S45" s="12"/>
      <c r="T45" s="12">
        <v>15</v>
      </c>
      <c r="U45" s="12"/>
      <c r="V45" s="12"/>
      <c r="W45" s="12"/>
      <c r="X45" s="607">
        <v>3338</v>
      </c>
      <c r="Y45" s="71"/>
      <c r="Z45" s="647">
        <v>2023</v>
      </c>
      <c r="AA45" s="71" t="s">
        <v>78</v>
      </c>
    </row>
    <row r="46" spans="2:27" s="10" customFormat="1" ht="12.75" hidden="1" customHeight="1">
      <c r="B46" s="68">
        <v>2023</v>
      </c>
      <c r="C46" s="98" t="s">
        <v>36</v>
      </c>
      <c r="D46" s="607">
        <v>2333</v>
      </c>
      <c r="E46" s="12"/>
      <c r="F46" s="12">
        <v>116</v>
      </c>
      <c r="G46" s="12"/>
      <c r="H46" s="12">
        <v>20</v>
      </c>
      <c r="I46" s="12"/>
      <c r="J46" s="12">
        <v>2</v>
      </c>
      <c r="K46" s="12"/>
      <c r="L46" s="12">
        <v>27</v>
      </c>
      <c r="M46" s="12"/>
      <c r="N46" s="12">
        <v>56</v>
      </c>
      <c r="O46" s="12"/>
      <c r="P46" s="12">
        <v>50</v>
      </c>
      <c r="Q46" s="12"/>
      <c r="R46" s="12">
        <v>12</v>
      </c>
      <c r="S46" s="12"/>
      <c r="T46" s="12">
        <v>17</v>
      </c>
      <c r="U46" s="12"/>
      <c r="V46" s="12"/>
      <c r="W46" s="12"/>
      <c r="X46" s="607">
        <v>2633</v>
      </c>
      <c r="Y46" s="71"/>
      <c r="Z46" s="647">
        <v>2023</v>
      </c>
      <c r="AA46" s="71" t="s">
        <v>79</v>
      </c>
    </row>
    <row r="47" spans="2:27" s="10" customFormat="1" ht="12.75" hidden="1" customHeight="1">
      <c r="B47" s="68">
        <v>2023</v>
      </c>
      <c r="C47" s="98" t="s">
        <v>37</v>
      </c>
      <c r="D47" s="607">
        <v>2300</v>
      </c>
      <c r="E47" s="12"/>
      <c r="F47" s="12">
        <v>106</v>
      </c>
      <c r="G47" s="12"/>
      <c r="H47" s="12">
        <v>44</v>
      </c>
      <c r="I47" s="12"/>
      <c r="J47" s="12">
        <v>0</v>
      </c>
      <c r="K47" s="12"/>
      <c r="L47" s="12">
        <v>32</v>
      </c>
      <c r="M47" s="12"/>
      <c r="N47" s="12">
        <v>61</v>
      </c>
      <c r="O47" s="12"/>
      <c r="P47" s="12">
        <v>22</v>
      </c>
      <c r="Q47" s="12"/>
      <c r="R47" s="12">
        <v>13</v>
      </c>
      <c r="S47" s="12"/>
      <c r="T47" s="12">
        <v>20</v>
      </c>
      <c r="U47" s="12"/>
      <c r="V47" s="12"/>
      <c r="W47" s="12"/>
      <c r="X47" s="607">
        <v>2598</v>
      </c>
      <c r="Y47" s="71"/>
      <c r="Z47" s="647">
        <v>2023</v>
      </c>
      <c r="AA47" s="71" t="s">
        <v>80</v>
      </c>
    </row>
    <row r="48" spans="2:27" s="10" customFormat="1" ht="12.75" hidden="1" customHeight="1">
      <c r="B48" s="68">
        <v>2023</v>
      </c>
      <c r="C48" s="98" t="s">
        <v>31</v>
      </c>
      <c r="D48" s="607">
        <v>3747</v>
      </c>
      <c r="E48" s="12"/>
      <c r="F48" s="12">
        <v>72</v>
      </c>
      <c r="G48" s="12"/>
      <c r="H48" s="12">
        <v>14</v>
      </c>
      <c r="I48" s="12"/>
      <c r="J48" s="12">
        <v>3</v>
      </c>
      <c r="K48" s="12"/>
      <c r="L48" s="12">
        <v>17</v>
      </c>
      <c r="M48" s="12"/>
      <c r="N48" s="12">
        <v>30</v>
      </c>
      <c r="O48" s="12"/>
      <c r="P48" s="12">
        <v>14</v>
      </c>
      <c r="Q48" s="12"/>
      <c r="R48" s="12">
        <v>8</v>
      </c>
      <c r="S48" s="12"/>
      <c r="T48" s="12">
        <v>4</v>
      </c>
      <c r="U48" s="12"/>
      <c r="V48" s="12"/>
      <c r="W48" s="12"/>
      <c r="X48" s="607">
        <v>3909</v>
      </c>
      <c r="Y48" s="71"/>
      <c r="Z48" s="647">
        <v>2023</v>
      </c>
      <c r="AA48" s="71" t="s">
        <v>138</v>
      </c>
    </row>
    <row r="49" spans="2:27" s="10" customFormat="1" ht="12.75" hidden="1" customHeight="1">
      <c r="B49" s="68">
        <v>2023</v>
      </c>
      <c r="C49" s="98" t="s">
        <v>38</v>
      </c>
      <c r="D49" s="607">
        <v>2936</v>
      </c>
      <c r="E49" s="12"/>
      <c r="F49" s="12">
        <v>91</v>
      </c>
      <c r="G49" s="12"/>
      <c r="H49" s="12">
        <v>22</v>
      </c>
      <c r="I49" s="12"/>
      <c r="J49" s="12">
        <v>1</v>
      </c>
      <c r="K49" s="12"/>
      <c r="L49" s="12">
        <v>29</v>
      </c>
      <c r="M49" s="12"/>
      <c r="N49" s="12">
        <v>43</v>
      </c>
      <c r="O49" s="12"/>
      <c r="P49" s="12">
        <v>20</v>
      </c>
      <c r="Q49" s="12"/>
      <c r="R49" s="12">
        <v>11</v>
      </c>
      <c r="S49" s="12"/>
      <c r="T49" s="12">
        <v>6</v>
      </c>
      <c r="U49" s="12"/>
      <c r="V49" s="12"/>
      <c r="W49" s="12"/>
      <c r="X49" s="607">
        <v>3159</v>
      </c>
      <c r="Y49" s="71"/>
      <c r="Z49" s="647">
        <v>2023</v>
      </c>
      <c r="AA49" s="71" t="s">
        <v>38</v>
      </c>
    </row>
    <row r="50" spans="2:27" s="10" customFormat="1" ht="12.75" hidden="1" customHeight="1">
      <c r="B50" s="68">
        <v>2023</v>
      </c>
      <c r="C50" s="98" t="s">
        <v>39</v>
      </c>
      <c r="D50" s="607">
        <v>3045</v>
      </c>
      <c r="E50" s="12"/>
      <c r="F50" s="12">
        <v>39</v>
      </c>
      <c r="G50" s="12"/>
      <c r="H50" s="12">
        <v>16</v>
      </c>
      <c r="I50" s="12"/>
      <c r="J50" s="12">
        <v>0</v>
      </c>
      <c r="K50" s="12"/>
      <c r="L50" s="12">
        <v>48</v>
      </c>
      <c r="M50" s="12"/>
      <c r="N50" s="12">
        <v>32</v>
      </c>
      <c r="O50" s="12"/>
      <c r="P50" s="12">
        <v>16</v>
      </c>
      <c r="Q50" s="12"/>
      <c r="R50" s="12">
        <v>4</v>
      </c>
      <c r="S50" s="12"/>
      <c r="T50" s="12">
        <v>8</v>
      </c>
      <c r="U50" s="12"/>
      <c r="V50" s="12"/>
      <c r="W50" s="12"/>
      <c r="X50" s="607">
        <v>3208</v>
      </c>
      <c r="Y50" s="71"/>
      <c r="Z50" s="647">
        <v>2023</v>
      </c>
      <c r="AA50" s="71" t="s">
        <v>39</v>
      </c>
    </row>
    <row r="51" spans="2:27" s="10" customFormat="1" ht="12.75" hidden="1" customHeight="1">
      <c r="B51" s="68">
        <v>2023</v>
      </c>
      <c r="C51" s="98" t="s">
        <v>32</v>
      </c>
      <c r="D51" s="607">
        <v>133</v>
      </c>
      <c r="E51" s="12"/>
      <c r="F51" s="12">
        <v>40</v>
      </c>
      <c r="G51" s="12"/>
      <c r="H51" s="12">
        <v>9</v>
      </c>
      <c r="I51" s="12"/>
      <c r="J51" s="12">
        <v>2</v>
      </c>
      <c r="K51" s="12"/>
      <c r="L51" s="12">
        <v>7</v>
      </c>
      <c r="M51" s="12"/>
      <c r="N51" s="12">
        <v>18</v>
      </c>
      <c r="O51" s="12"/>
      <c r="P51" s="12">
        <v>10</v>
      </c>
      <c r="Q51" s="12"/>
      <c r="R51" s="12">
        <v>2</v>
      </c>
      <c r="S51" s="12"/>
      <c r="T51" s="12">
        <v>5</v>
      </c>
      <c r="U51" s="12"/>
      <c r="V51" s="12"/>
      <c r="W51" s="12"/>
      <c r="X51" s="607">
        <v>226</v>
      </c>
      <c r="Y51" s="71"/>
      <c r="Z51" s="647">
        <v>2023</v>
      </c>
      <c r="AA51" s="71" t="s">
        <v>81</v>
      </c>
    </row>
    <row r="52" spans="2:27" s="10" customFormat="1" ht="12.75" customHeight="1">
      <c r="B52" s="68">
        <v>2024</v>
      </c>
      <c r="C52" s="98" t="s">
        <v>33</v>
      </c>
      <c r="D52" s="607">
        <v>1222</v>
      </c>
      <c r="E52" s="12"/>
      <c r="F52" s="12">
        <v>40</v>
      </c>
      <c r="G52" s="12"/>
      <c r="H52" s="12">
        <v>17</v>
      </c>
      <c r="I52" s="12"/>
      <c r="J52" s="12">
        <v>0</v>
      </c>
      <c r="K52" s="12"/>
      <c r="L52" s="12">
        <v>13</v>
      </c>
      <c r="M52" s="12"/>
      <c r="N52" s="12">
        <v>24</v>
      </c>
      <c r="O52" s="12"/>
      <c r="P52" s="12">
        <v>21</v>
      </c>
      <c r="Q52" s="12"/>
      <c r="R52" s="12">
        <v>2</v>
      </c>
      <c r="S52" s="12"/>
      <c r="T52" s="12">
        <v>7</v>
      </c>
      <c r="U52" s="12"/>
      <c r="V52" s="12"/>
      <c r="W52" s="12"/>
      <c r="X52" s="607">
        <v>1346</v>
      </c>
      <c r="Y52" s="71"/>
      <c r="Z52" s="506">
        <v>2024</v>
      </c>
      <c r="AA52" s="71" t="s">
        <v>33</v>
      </c>
    </row>
    <row r="53" spans="2:27" s="10" customFormat="1" ht="12.75" hidden="1" customHeight="1">
      <c r="B53" s="68">
        <v>2024</v>
      </c>
      <c r="C53" s="98" t="s">
        <v>34</v>
      </c>
      <c r="D53" s="607">
        <v>852</v>
      </c>
      <c r="E53" s="12"/>
      <c r="F53" s="12">
        <v>89</v>
      </c>
      <c r="G53" s="12"/>
      <c r="H53" s="12">
        <v>72</v>
      </c>
      <c r="I53" s="12"/>
      <c r="J53" s="12">
        <v>16</v>
      </c>
      <c r="K53" s="12"/>
      <c r="L53" s="12">
        <v>27</v>
      </c>
      <c r="M53" s="12"/>
      <c r="N53" s="12">
        <v>118</v>
      </c>
      <c r="O53" s="12"/>
      <c r="P53" s="12">
        <v>81</v>
      </c>
      <c r="Q53" s="12"/>
      <c r="R53" s="12">
        <v>15</v>
      </c>
      <c r="S53" s="12"/>
      <c r="T53" s="12">
        <v>28</v>
      </c>
      <c r="U53" s="12"/>
      <c r="V53" s="12"/>
      <c r="W53" s="12"/>
      <c r="X53" s="607">
        <v>1298</v>
      </c>
      <c r="Y53" s="71"/>
      <c r="Z53" s="506">
        <v>2024</v>
      </c>
      <c r="AA53" s="71" t="s">
        <v>75</v>
      </c>
    </row>
    <row r="54" spans="2:27" s="10" customFormat="1" ht="12.75" hidden="1" customHeight="1">
      <c r="B54" s="68">
        <v>2024</v>
      </c>
      <c r="C54" s="98" t="s">
        <v>29</v>
      </c>
      <c r="D54" s="607">
        <v>1068</v>
      </c>
      <c r="E54" s="12"/>
      <c r="F54" s="12">
        <v>169</v>
      </c>
      <c r="G54" s="12"/>
      <c r="H54" s="12">
        <v>80</v>
      </c>
      <c r="I54" s="12"/>
      <c r="J54" s="12">
        <v>6</v>
      </c>
      <c r="K54" s="12"/>
      <c r="L54" s="12">
        <v>53</v>
      </c>
      <c r="M54" s="12"/>
      <c r="N54" s="12">
        <v>166</v>
      </c>
      <c r="O54" s="12"/>
      <c r="P54" s="12">
        <v>70</v>
      </c>
      <c r="Q54" s="12"/>
      <c r="R54" s="12">
        <v>17</v>
      </c>
      <c r="S54" s="12"/>
      <c r="T54" s="12">
        <v>19</v>
      </c>
      <c r="U54" s="12"/>
      <c r="V54" s="12"/>
      <c r="W54" s="12"/>
      <c r="X54" s="607">
        <v>1648</v>
      </c>
      <c r="Y54" s="71"/>
      <c r="Z54" s="506">
        <v>2024</v>
      </c>
      <c r="AA54" s="71" t="s">
        <v>29</v>
      </c>
    </row>
    <row r="55" spans="2:27" s="10" customFormat="1" ht="12.75" hidden="1" customHeight="1">
      <c r="B55" s="68">
        <v>2024</v>
      </c>
      <c r="C55" s="98" t="s">
        <v>35</v>
      </c>
      <c r="D55" s="607">
        <v>1121</v>
      </c>
      <c r="E55" s="12"/>
      <c r="F55" s="12">
        <v>160</v>
      </c>
      <c r="G55" s="12"/>
      <c r="H55" s="12">
        <v>103</v>
      </c>
      <c r="I55" s="12"/>
      <c r="J55" s="12">
        <v>2</v>
      </c>
      <c r="K55" s="12"/>
      <c r="L55" s="12">
        <v>64</v>
      </c>
      <c r="M55" s="12"/>
      <c r="N55" s="12">
        <v>193</v>
      </c>
      <c r="O55" s="12"/>
      <c r="P55" s="12">
        <v>111</v>
      </c>
      <c r="Q55" s="12"/>
      <c r="R55" s="12">
        <v>10</v>
      </c>
      <c r="S55" s="12"/>
      <c r="T55" s="12">
        <v>20</v>
      </c>
      <c r="U55" s="12"/>
      <c r="V55" s="12"/>
      <c r="W55" s="12"/>
      <c r="X55" s="607">
        <v>1784</v>
      </c>
      <c r="Y55" s="71"/>
      <c r="Z55" s="506">
        <v>2024</v>
      </c>
      <c r="AA55" s="71" t="s">
        <v>76</v>
      </c>
    </row>
    <row r="56" spans="2:27" s="10" customFormat="1" ht="12.75" hidden="1" customHeight="1">
      <c r="B56" s="68">
        <v>2024</v>
      </c>
      <c r="C56" s="98" t="s">
        <v>4</v>
      </c>
      <c r="D56" s="607">
        <v>924</v>
      </c>
      <c r="E56" s="12"/>
      <c r="F56" s="12">
        <v>71</v>
      </c>
      <c r="G56" s="12"/>
      <c r="H56" s="12">
        <v>32</v>
      </c>
      <c r="I56" s="12"/>
      <c r="J56" s="12">
        <v>5</v>
      </c>
      <c r="K56" s="12"/>
      <c r="L56" s="12">
        <v>22</v>
      </c>
      <c r="M56" s="12"/>
      <c r="N56" s="12">
        <v>96</v>
      </c>
      <c r="O56" s="12"/>
      <c r="P56" s="12">
        <v>42</v>
      </c>
      <c r="Q56" s="12"/>
      <c r="R56" s="12">
        <v>6</v>
      </c>
      <c r="S56" s="12"/>
      <c r="T56" s="12">
        <v>13</v>
      </c>
      <c r="U56" s="12"/>
      <c r="V56" s="12"/>
      <c r="W56" s="12"/>
      <c r="X56" s="607">
        <v>1211</v>
      </c>
      <c r="Y56" s="71"/>
      <c r="Z56" s="506">
        <v>2024</v>
      </c>
      <c r="AA56" s="71" t="s">
        <v>77</v>
      </c>
    </row>
    <row r="57" spans="2:27" s="10" customFormat="1" ht="12.75" hidden="1" customHeight="1">
      <c r="B57" s="68">
        <v>2024</v>
      </c>
      <c r="C57" s="98" t="s">
        <v>30</v>
      </c>
      <c r="D57" s="607">
        <v>1493</v>
      </c>
      <c r="E57" s="12"/>
      <c r="F57" s="12">
        <v>112</v>
      </c>
      <c r="G57" s="12"/>
      <c r="H57" s="12">
        <v>19</v>
      </c>
      <c r="I57" s="12"/>
      <c r="J57" s="12">
        <v>6</v>
      </c>
      <c r="K57" s="12"/>
      <c r="L57" s="12">
        <v>43</v>
      </c>
      <c r="M57" s="12"/>
      <c r="N57" s="12">
        <v>88</v>
      </c>
      <c r="O57" s="12"/>
      <c r="P57" s="12">
        <v>73</v>
      </c>
      <c r="Q57" s="12"/>
      <c r="R57" s="12">
        <v>9</v>
      </c>
      <c r="S57" s="12"/>
      <c r="T57" s="12">
        <v>17</v>
      </c>
      <c r="U57" s="12"/>
      <c r="V57" s="12"/>
      <c r="W57" s="12"/>
      <c r="X57" s="607">
        <v>1860</v>
      </c>
      <c r="Y57" s="71"/>
      <c r="Z57" s="506">
        <v>2024</v>
      </c>
      <c r="AA57" s="71" t="s">
        <v>78</v>
      </c>
    </row>
    <row r="58" spans="2:27" s="10" customFormat="1" ht="12.75" hidden="1" customHeight="1">
      <c r="B58" s="68">
        <v>2024</v>
      </c>
      <c r="C58" s="98" t="s">
        <v>36</v>
      </c>
      <c r="D58" s="607">
        <v>1685</v>
      </c>
      <c r="E58" s="12"/>
      <c r="F58" s="12">
        <v>138</v>
      </c>
      <c r="G58" s="12"/>
      <c r="H58" s="12">
        <v>23</v>
      </c>
      <c r="I58" s="12"/>
      <c r="J58" s="12">
        <v>6</v>
      </c>
      <c r="K58" s="12"/>
      <c r="L58" s="12">
        <v>28</v>
      </c>
      <c r="M58" s="12"/>
      <c r="N58" s="12">
        <v>178</v>
      </c>
      <c r="O58" s="12"/>
      <c r="P58" s="12">
        <v>58</v>
      </c>
      <c r="Q58" s="12"/>
      <c r="R58" s="12">
        <v>37</v>
      </c>
      <c r="S58" s="12"/>
      <c r="T58" s="12">
        <v>15</v>
      </c>
      <c r="U58" s="12"/>
      <c r="V58" s="12"/>
      <c r="W58" s="12"/>
      <c r="X58" s="607">
        <v>2168</v>
      </c>
      <c r="Y58" s="71"/>
      <c r="Z58" s="506">
        <v>2024</v>
      </c>
      <c r="AA58" s="71" t="s">
        <v>79</v>
      </c>
    </row>
    <row r="59" spans="2:27" s="10" customFormat="1" ht="12.75" hidden="1" customHeight="1">
      <c r="B59" s="68">
        <v>2024</v>
      </c>
      <c r="C59" s="98" t="s">
        <v>37</v>
      </c>
      <c r="D59" s="607">
        <v>2490</v>
      </c>
      <c r="E59" s="12"/>
      <c r="F59" s="12">
        <v>269</v>
      </c>
      <c r="G59" s="12"/>
      <c r="H59" s="12">
        <v>93</v>
      </c>
      <c r="I59" s="12"/>
      <c r="J59" s="12">
        <v>10</v>
      </c>
      <c r="K59" s="12"/>
      <c r="L59" s="12">
        <v>65</v>
      </c>
      <c r="M59" s="12"/>
      <c r="N59" s="12">
        <v>189</v>
      </c>
      <c r="O59" s="12"/>
      <c r="P59" s="12">
        <v>99</v>
      </c>
      <c r="Q59" s="12"/>
      <c r="R59" s="12">
        <v>44</v>
      </c>
      <c r="S59" s="12"/>
      <c r="T59" s="12">
        <v>30</v>
      </c>
      <c r="U59" s="12"/>
      <c r="V59" s="12"/>
      <c r="W59" s="12"/>
      <c r="X59" s="607">
        <v>3289</v>
      </c>
      <c r="Y59" s="71"/>
      <c r="Z59" s="506">
        <v>2024</v>
      </c>
      <c r="AA59" s="71" t="s">
        <v>80</v>
      </c>
    </row>
    <row r="60" spans="2:27" s="10" customFormat="1" ht="12.75" hidden="1" customHeight="1">
      <c r="B60" s="68">
        <v>2024</v>
      </c>
      <c r="C60" s="98" t="s">
        <v>31</v>
      </c>
      <c r="D60" s="607">
        <v>3787</v>
      </c>
      <c r="E60" s="12"/>
      <c r="F60" s="12">
        <v>248</v>
      </c>
      <c r="G60" s="12"/>
      <c r="H60" s="12">
        <v>32</v>
      </c>
      <c r="I60" s="12"/>
      <c r="J60" s="12">
        <v>11</v>
      </c>
      <c r="K60" s="12"/>
      <c r="L60" s="12">
        <v>71</v>
      </c>
      <c r="M60" s="12"/>
      <c r="N60" s="12">
        <v>197</v>
      </c>
      <c r="O60" s="12"/>
      <c r="P60" s="12">
        <v>68</v>
      </c>
      <c r="Q60" s="12"/>
      <c r="R60" s="12">
        <v>10</v>
      </c>
      <c r="S60" s="12"/>
      <c r="T60" s="12">
        <v>29</v>
      </c>
      <c r="U60" s="12"/>
      <c r="V60" s="12"/>
      <c r="W60" s="12"/>
      <c r="X60" s="607">
        <v>4453</v>
      </c>
      <c r="Y60" s="71"/>
      <c r="Z60" s="506">
        <v>2024</v>
      </c>
      <c r="AA60" s="71" t="s">
        <v>31</v>
      </c>
    </row>
    <row r="61" spans="2:27" s="10" customFormat="1" ht="12.75" hidden="1" customHeight="1">
      <c r="B61" s="68">
        <v>2024</v>
      </c>
      <c r="C61" s="98" t="s">
        <v>38</v>
      </c>
      <c r="D61" s="607">
        <v>2589</v>
      </c>
      <c r="E61" s="12"/>
      <c r="F61" s="12">
        <v>154</v>
      </c>
      <c r="G61" s="12"/>
      <c r="H61" s="12">
        <v>45</v>
      </c>
      <c r="I61" s="12"/>
      <c r="J61" s="12">
        <v>5</v>
      </c>
      <c r="K61" s="12"/>
      <c r="L61" s="12">
        <v>37</v>
      </c>
      <c r="M61" s="12"/>
      <c r="N61" s="12">
        <v>154</v>
      </c>
      <c r="O61" s="12"/>
      <c r="P61" s="12">
        <v>32</v>
      </c>
      <c r="Q61" s="12"/>
      <c r="R61" s="12">
        <v>11</v>
      </c>
      <c r="S61" s="12"/>
      <c r="T61" s="12">
        <v>34</v>
      </c>
      <c r="U61" s="12"/>
      <c r="V61" s="12"/>
      <c r="W61" s="12"/>
      <c r="X61" s="607">
        <v>3061</v>
      </c>
      <c r="Y61" s="71"/>
      <c r="Z61" s="506">
        <v>2024</v>
      </c>
      <c r="AA61" s="71" t="s">
        <v>38</v>
      </c>
    </row>
    <row r="62" spans="2:27" s="10" customFormat="1" ht="12.75" hidden="1" customHeight="1">
      <c r="B62" s="68">
        <v>2024</v>
      </c>
      <c r="C62" s="98" t="s">
        <v>39</v>
      </c>
      <c r="D62" s="607">
        <v>3060</v>
      </c>
      <c r="E62" s="12"/>
      <c r="F62" s="12">
        <v>180</v>
      </c>
      <c r="G62" s="12"/>
      <c r="H62" s="12">
        <v>43</v>
      </c>
      <c r="I62" s="12"/>
      <c r="J62" s="12">
        <v>5</v>
      </c>
      <c r="K62" s="12"/>
      <c r="L62" s="12">
        <v>42</v>
      </c>
      <c r="M62" s="12"/>
      <c r="N62" s="12">
        <v>140</v>
      </c>
      <c r="O62" s="12"/>
      <c r="P62" s="12">
        <v>60</v>
      </c>
      <c r="Q62" s="12"/>
      <c r="R62" s="12">
        <v>0</v>
      </c>
      <c r="S62" s="12"/>
      <c r="T62" s="12">
        <v>30</v>
      </c>
      <c r="U62" s="12"/>
      <c r="V62" s="12"/>
      <c r="W62" s="12"/>
      <c r="X62" s="607">
        <v>3560</v>
      </c>
      <c r="Y62" s="71"/>
      <c r="Z62" s="506">
        <v>2024</v>
      </c>
      <c r="AA62" s="71" t="s">
        <v>39</v>
      </c>
    </row>
    <row r="63" spans="2:27" s="10" customFormat="1" ht="12.75" hidden="1" customHeight="1">
      <c r="B63" s="68">
        <v>2024</v>
      </c>
      <c r="C63" s="98" t="s">
        <v>32</v>
      </c>
      <c r="D63" s="607">
        <v>3756</v>
      </c>
      <c r="E63" s="12"/>
      <c r="F63" s="12">
        <v>155</v>
      </c>
      <c r="G63" s="12"/>
      <c r="H63" s="12">
        <v>39</v>
      </c>
      <c r="I63" s="12"/>
      <c r="J63" s="12">
        <v>7</v>
      </c>
      <c r="K63" s="12"/>
      <c r="L63" s="12">
        <v>31</v>
      </c>
      <c r="M63" s="12"/>
      <c r="N63" s="12">
        <v>109</v>
      </c>
      <c r="O63" s="12"/>
      <c r="P63" s="12">
        <v>41</v>
      </c>
      <c r="Q63" s="12"/>
      <c r="R63" s="12">
        <v>7</v>
      </c>
      <c r="S63" s="12"/>
      <c r="T63" s="12">
        <v>101</v>
      </c>
      <c r="U63" s="12"/>
      <c r="V63" s="12"/>
      <c r="W63" s="12"/>
      <c r="X63" s="607">
        <v>4246</v>
      </c>
      <c r="Y63" s="71"/>
      <c r="Z63" s="506">
        <v>2024</v>
      </c>
      <c r="AA63" s="71" t="s">
        <v>81</v>
      </c>
    </row>
    <row r="64" spans="2:27" s="10" customFormat="1" ht="12.75" customHeight="1">
      <c r="B64" s="68">
        <v>2025</v>
      </c>
      <c r="C64" s="509" t="s">
        <v>33</v>
      </c>
      <c r="D64" s="608">
        <v>2107</v>
      </c>
      <c r="E64" s="12"/>
      <c r="F64" s="12">
        <v>167</v>
      </c>
      <c r="G64" s="12"/>
      <c r="H64" s="12">
        <v>55</v>
      </c>
      <c r="I64" s="12"/>
      <c r="J64" s="12">
        <v>17</v>
      </c>
      <c r="K64" s="12"/>
      <c r="L64" s="12">
        <v>30</v>
      </c>
      <c r="M64" s="12"/>
      <c r="N64" s="12">
        <v>125</v>
      </c>
      <c r="O64" s="12"/>
      <c r="P64" s="12">
        <v>80</v>
      </c>
      <c r="Q64" s="12"/>
      <c r="R64" s="12">
        <v>29</v>
      </c>
      <c r="S64" s="12"/>
      <c r="T64" s="12">
        <v>18</v>
      </c>
      <c r="U64" s="12"/>
      <c r="V64" s="12"/>
      <c r="W64" s="12"/>
      <c r="X64" s="607">
        <v>2628</v>
      </c>
      <c r="Y64" s="12"/>
      <c r="Z64" s="647">
        <v>2025</v>
      </c>
      <c r="AA64" s="71" t="s">
        <v>33</v>
      </c>
    </row>
    <row r="65" spans="2:29" s="10" customFormat="1" ht="12.75" customHeight="1">
      <c r="B65" s="68"/>
      <c r="C65" s="98" t="s">
        <v>34</v>
      </c>
      <c r="D65" s="607">
        <v>1774</v>
      </c>
      <c r="E65" s="12"/>
      <c r="F65" s="12">
        <v>29</v>
      </c>
      <c r="G65" s="12"/>
      <c r="H65" s="12">
        <v>47</v>
      </c>
      <c r="I65" s="12"/>
      <c r="J65" s="12">
        <v>1</v>
      </c>
      <c r="K65" s="12"/>
      <c r="L65" s="12">
        <v>17</v>
      </c>
      <c r="M65" s="12"/>
      <c r="N65" s="12">
        <v>66</v>
      </c>
      <c r="O65" s="12"/>
      <c r="P65" s="12">
        <v>19</v>
      </c>
      <c r="Q65" s="12"/>
      <c r="R65" s="12">
        <v>10</v>
      </c>
      <c r="S65" s="12"/>
      <c r="T65" s="12">
        <v>9</v>
      </c>
      <c r="U65" s="12"/>
      <c r="V65" s="12"/>
      <c r="W65" s="12"/>
      <c r="X65" s="607">
        <v>1972</v>
      </c>
      <c r="Y65" s="71"/>
      <c r="Z65" s="506"/>
      <c r="AA65" s="71" t="s">
        <v>75</v>
      </c>
    </row>
    <row r="66" spans="2:29" s="10" customFormat="1" ht="13.5" customHeight="1">
      <c r="B66" s="68"/>
      <c r="C66" s="98" t="s">
        <v>29</v>
      </c>
      <c r="D66" s="607">
        <v>1825</v>
      </c>
      <c r="E66" s="12"/>
      <c r="F66" s="12">
        <v>130</v>
      </c>
      <c r="G66" s="12"/>
      <c r="H66" s="12">
        <v>31</v>
      </c>
      <c r="I66" s="12"/>
      <c r="J66" s="12">
        <v>12</v>
      </c>
      <c r="K66" s="12"/>
      <c r="L66" s="12">
        <v>36</v>
      </c>
      <c r="M66" s="12"/>
      <c r="N66" s="12">
        <v>155</v>
      </c>
      <c r="O66" s="12"/>
      <c r="P66" s="12">
        <v>57</v>
      </c>
      <c r="Q66" s="12"/>
      <c r="R66" s="12">
        <v>26</v>
      </c>
      <c r="S66" s="12"/>
      <c r="T66" s="12">
        <v>20</v>
      </c>
      <c r="U66" s="12"/>
      <c r="V66" s="12"/>
      <c r="W66" s="12"/>
      <c r="X66" s="607">
        <v>2292</v>
      </c>
      <c r="Y66" s="71"/>
      <c r="Z66" s="506"/>
      <c r="AA66" s="71" t="s">
        <v>29</v>
      </c>
    </row>
    <row r="67" spans="2:29" s="10" customFormat="1" ht="13.5" customHeight="1">
      <c r="B67" s="68"/>
      <c r="C67" s="98" t="s">
        <v>35</v>
      </c>
      <c r="D67" s="607">
        <v>2758</v>
      </c>
      <c r="E67" s="12"/>
      <c r="F67" s="12">
        <v>50</v>
      </c>
      <c r="G67" s="12"/>
      <c r="H67" s="12">
        <v>39</v>
      </c>
      <c r="I67" s="12"/>
      <c r="J67" s="12">
        <v>9</v>
      </c>
      <c r="K67" s="12"/>
      <c r="L67" s="12">
        <v>24</v>
      </c>
      <c r="M67" s="12"/>
      <c r="N67" s="12">
        <v>51</v>
      </c>
      <c r="O67" s="12"/>
      <c r="P67" s="12">
        <v>27</v>
      </c>
      <c r="Q67" s="12"/>
      <c r="R67" s="12">
        <v>7</v>
      </c>
      <c r="S67" s="12"/>
      <c r="T67" s="12">
        <v>9</v>
      </c>
      <c r="U67" s="12"/>
      <c r="V67" s="12"/>
      <c r="W67" s="12"/>
      <c r="X67" s="607">
        <v>2974</v>
      </c>
      <c r="Y67" s="71"/>
      <c r="Z67" s="506"/>
      <c r="AA67" s="71" t="s">
        <v>76</v>
      </c>
    </row>
    <row r="68" spans="2:29" s="10" customFormat="1" ht="13.5" customHeight="1">
      <c r="B68" s="68"/>
      <c r="C68" s="98" t="s">
        <v>4</v>
      </c>
      <c r="D68" s="607">
        <v>3894</v>
      </c>
      <c r="E68" s="12"/>
      <c r="F68" s="12">
        <v>95</v>
      </c>
      <c r="G68" s="12"/>
      <c r="H68" s="12">
        <v>32</v>
      </c>
      <c r="I68" s="12"/>
      <c r="J68" s="12">
        <v>11</v>
      </c>
      <c r="K68" s="12"/>
      <c r="L68" s="12">
        <v>32</v>
      </c>
      <c r="M68" s="12"/>
      <c r="N68" s="12">
        <v>126</v>
      </c>
      <c r="O68" s="12"/>
      <c r="P68" s="12">
        <v>21</v>
      </c>
      <c r="Q68" s="12"/>
      <c r="R68" s="12">
        <v>19</v>
      </c>
      <c r="S68" s="12"/>
      <c r="T68" s="12">
        <v>21</v>
      </c>
      <c r="U68" s="12"/>
      <c r="V68" s="12"/>
      <c r="W68" s="12"/>
      <c r="X68" s="607">
        <v>4251</v>
      </c>
      <c r="Y68" s="71"/>
      <c r="Z68" s="506"/>
      <c r="AA68" s="71" t="s">
        <v>77</v>
      </c>
    </row>
    <row r="69" spans="2:29" s="10" customFormat="1" ht="13.5" customHeight="1">
      <c r="B69" s="68"/>
      <c r="C69" s="98" t="s">
        <v>30</v>
      </c>
      <c r="D69" s="607">
        <v>2502</v>
      </c>
      <c r="E69" s="12"/>
      <c r="F69" s="12">
        <v>159</v>
      </c>
      <c r="G69" s="12"/>
      <c r="H69" s="12">
        <v>36</v>
      </c>
      <c r="I69" s="12"/>
      <c r="J69" s="12">
        <v>5</v>
      </c>
      <c r="K69" s="12"/>
      <c r="L69" s="12">
        <v>36</v>
      </c>
      <c r="M69" s="12"/>
      <c r="N69" s="12">
        <v>128</v>
      </c>
      <c r="O69" s="12"/>
      <c r="P69" s="12">
        <v>37</v>
      </c>
      <c r="Q69" s="12"/>
      <c r="R69" s="12">
        <v>23</v>
      </c>
      <c r="S69" s="12"/>
      <c r="T69" s="12">
        <v>26</v>
      </c>
      <c r="U69" s="12"/>
      <c r="V69" s="12"/>
      <c r="W69" s="12"/>
      <c r="X69" s="607">
        <v>2952</v>
      </c>
      <c r="Y69" s="71"/>
      <c r="Z69" s="506"/>
      <c r="AA69" s="71" t="s">
        <v>78</v>
      </c>
    </row>
    <row r="70" spans="2:29" s="10" customFormat="1" ht="13.5" customHeight="1">
      <c r="B70" s="68"/>
      <c r="C70" s="98" t="s">
        <v>36</v>
      </c>
      <c r="D70" s="607">
        <v>2510</v>
      </c>
      <c r="E70" s="12"/>
      <c r="F70" s="12">
        <v>141</v>
      </c>
      <c r="G70" s="12"/>
      <c r="H70" s="12">
        <v>21</v>
      </c>
      <c r="I70" s="12"/>
      <c r="J70" s="12">
        <v>5</v>
      </c>
      <c r="K70" s="12"/>
      <c r="L70" s="12">
        <v>42</v>
      </c>
      <c r="M70" s="12"/>
      <c r="N70" s="12">
        <v>164</v>
      </c>
      <c r="O70" s="12"/>
      <c r="P70" s="12">
        <v>38</v>
      </c>
      <c r="Q70" s="12"/>
      <c r="R70" s="12">
        <v>21</v>
      </c>
      <c r="S70" s="12"/>
      <c r="T70" s="12">
        <v>38</v>
      </c>
      <c r="U70" s="12"/>
      <c r="V70" s="12"/>
      <c r="W70" s="12"/>
      <c r="X70" s="607">
        <v>2980</v>
      </c>
      <c r="Y70" s="71"/>
      <c r="Z70" s="506"/>
      <c r="AA70" s="71" t="s">
        <v>79</v>
      </c>
    </row>
    <row r="71" spans="2:29" s="10" customFormat="1" ht="13.5" customHeight="1">
      <c r="B71" s="68"/>
      <c r="C71" s="98" t="s">
        <v>37</v>
      </c>
      <c r="D71" s="607">
        <v>2504</v>
      </c>
      <c r="E71" s="12"/>
      <c r="F71" s="12">
        <v>79</v>
      </c>
      <c r="G71" s="12"/>
      <c r="H71" s="12">
        <v>50</v>
      </c>
      <c r="I71" s="12"/>
      <c r="J71" s="12">
        <v>5</v>
      </c>
      <c r="K71" s="12"/>
      <c r="L71" s="12">
        <v>26</v>
      </c>
      <c r="M71" s="12"/>
      <c r="N71" s="12">
        <v>245</v>
      </c>
      <c r="O71" s="12"/>
      <c r="P71" s="12">
        <v>28</v>
      </c>
      <c r="Q71" s="12"/>
      <c r="R71" s="12">
        <v>14</v>
      </c>
      <c r="S71" s="12"/>
      <c r="T71" s="12">
        <v>18</v>
      </c>
      <c r="U71" s="12"/>
      <c r="V71" s="12"/>
      <c r="W71" s="12"/>
      <c r="X71" s="607">
        <v>2969</v>
      </c>
      <c r="Y71" s="71"/>
      <c r="Z71" s="506"/>
      <c r="AA71" s="716" t="s">
        <v>80</v>
      </c>
    </row>
    <row r="72" spans="2:29" s="10" customFormat="1" ht="13.5" customHeight="1">
      <c r="B72" s="68"/>
      <c r="C72" s="98" t="s">
        <v>31</v>
      </c>
      <c r="D72" s="607">
        <v>4082</v>
      </c>
      <c r="E72" s="12"/>
      <c r="F72" s="12">
        <v>95</v>
      </c>
      <c r="G72" s="12"/>
      <c r="H72" s="12">
        <v>17</v>
      </c>
      <c r="I72" s="12"/>
      <c r="J72" s="12">
        <v>7</v>
      </c>
      <c r="K72" s="12"/>
      <c r="L72" s="12">
        <v>20</v>
      </c>
      <c r="M72" s="12"/>
      <c r="N72" s="12">
        <v>127</v>
      </c>
      <c r="O72" s="12"/>
      <c r="P72" s="12">
        <v>26</v>
      </c>
      <c r="Q72" s="12"/>
      <c r="R72" s="12">
        <v>14</v>
      </c>
      <c r="S72" s="12"/>
      <c r="T72" s="12">
        <v>17</v>
      </c>
      <c r="U72" s="12"/>
      <c r="V72" s="12"/>
      <c r="W72" s="12"/>
      <c r="X72" s="607">
        <v>4405</v>
      </c>
      <c r="Y72" s="71"/>
      <c r="Z72" s="506"/>
      <c r="AA72" s="716" t="s">
        <v>31</v>
      </c>
    </row>
    <row r="73" spans="2:29" s="10" customFormat="1" ht="13.5" customHeight="1">
      <c r="B73" s="68"/>
      <c r="C73" s="98" t="s">
        <v>38</v>
      </c>
      <c r="D73" s="607">
        <v>2919</v>
      </c>
      <c r="E73" s="12"/>
      <c r="F73" s="12">
        <v>113</v>
      </c>
      <c r="G73" s="12"/>
      <c r="H73" s="12">
        <v>9</v>
      </c>
      <c r="I73" s="12"/>
      <c r="J73" s="12">
        <v>2</v>
      </c>
      <c r="K73" s="12"/>
      <c r="L73" s="12">
        <v>24</v>
      </c>
      <c r="M73" s="12"/>
      <c r="N73" s="12">
        <v>152</v>
      </c>
      <c r="O73" s="12"/>
      <c r="P73" s="12">
        <v>29</v>
      </c>
      <c r="Q73" s="12"/>
      <c r="R73" s="12">
        <v>13</v>
      </c>
      <c r="S73" s="12"/>
      <c r="T73" s="10">
        <v>35</v>
      </c>
      <c r="U73" s="12"/>
      <c r="V73" s="12"/>
      <c r="W73" s="12"/>
      <c r="X73" s="607">
        <v>3296</v>
      </c>
      <c r="Y73" s="71"/>
      <c r="Z73" s="506"/>
      <c r="AA73" s="716" t="s">
        <v>38</v>
      </c>
    </row>
    <row r="74" spans="2:29" s="10" customFormat="1" ht="13.5" customHeight="1">
      <c r="B74" s="68"/>
      <c r="C74" s="98" t="s">
        <v>39</v>
      </c>
      <c r="D74" s="607">
        <v>3256</v>
      </c>
      <c r="E74" s="12"/>
      <c r="F74" s="12">
        <v>25</v>
      </c>
      <c r="G74" s="12"/>
      <c r="H74" s="12">
        <v>18</v>
      </c>
      <c r="I74" s="12"/>
      <c r="J74" s="12">
        <v>3</v>
      </c>
      <c r="K74" s="12"/>
      <c r="L74" s="12">
        <v>16</v>
      </c>
      <c r="M74" s="12"/>
      <c r="N74" s="12">
        <v>22</v>
      </c>
      <c r="O74" s="12"/>
      <c r="P74" s="12">
        <v>16</v>
      </c>
      <c r="Q74" s="12"/>
      <c r="R74" s="12">
        <v>4</v>
      </c>
      <c r="S74" s="12"/>
      <c r="T74" s="10">
        <v>8</v>
      </c>
      <c r="U74" s="12"/>
      <c r="V74" s="12"/>
      <c r="W74" s="12"/>
      <c r="X74" s="607">
        <v>3368</v>
      </c>
      <c r="Y74" s="71"/>
      <c r="Z74" s="506"/>
      <c r="AA74" s="716" t="s">
        <v>39</v>
      </c>
    </row>
    <row r="75" spans="2:29" s="10" customFormat="1" ht="13.5" customHeight="1">
      <c r="B75" s="68"/>
      <c r="C75" s="98" t="s">
        <v>32</v>
      </c>
      <c r="D75" s="607">
        <v>2781</v>
      </c>
      <c r="E75" s="12"/>
      <c r="F75" s="12">
        <v>35</v>
      </c>
      <c r="G75" s="12"/>
      <c r="H75" s="12">
        <v>7</v>
      </c>
      <c r="I75" s="12"/>
      <c r="J75" s="12">
        <v>3</v>
      </c>
      <c r="K75" s="12"/>
      <c r="L75" s="12">
        <v>8</v>
      </c>
      <c r="M75" s="12"/>
      <c r="N75" s="12">
        <v>37</v>
      </c>
      <c r="O75" s="12"/>
      <c r="P75" s="12">
        <v>6</v>
      </c>
      <c r="Q75" s="12"/>
      <c r="R75" s="12">
        <v>8</v>
      </c>
      <c r="S75" s="12"/>
      <c r="T75" s="10">
        <v>6</v>
      </c>
      <c r="U75" s="12"/>
      <c r="V75" s="12"/>
      <c r="W75" s="12"/>
      <c r="X75" s="607">
        <v>2891</v>
      </c>
      <c r="Y75" s="71"/>
      <c r="Z75" s="506"/>
      <c r="AA75" s="716" t="s">
        <v>81</v>
      </c>
    </row>
    <row r="76" spans="2:29" s="10" customFormat="1" ht="13.5" customHeight="1">
      <c r="B76" s="95">
        <v>2026</v>
      </c>
      <c r="C76" s="866" t="s">
        <v>33</v>
      </c>
      <c r="D76" s="568">
        <v>2252</v>
      </c>
      <c r="E76" s="94"/>
      <c r="F76" s="94">
        <v>42</v>
      </c>
      <c r="G76" s="94"/>
      <c r="H76" s="94">
        <v>35</v>
      </c>
      <c r="I76" s="94"/>
      <c r="J76" s="94">
        <v>1</v>
      </c>
      <c r="K76" s="94"/>
      <c r="L76" s="94">
        <v>10</v>
      </c>
      <c r="M76" s="94"/>
      <c r="N76" s="94">
        <v>55</v>
      </c>
      <c r="O76" s="94"/>
      <c r="P76" s="94">
        <v>32</v>
      </c>
      <c r="Q76" s="94"/>
      <c r="R76" s="94">
        <v>11</v>
      </c>
      <c r="S76" s="94"/>
      <c r="T76" s="556">
        <v>18</v>
      </c>
      <c r="U76" s="94"/>
      <c r="V76" s="94"/>
      <c r="W76" s="94"/>
      <c r="X76" s="568">
        <v>2456</v>
      </c>
      <c r="Y76" s="7"/>
      <c r="Z76" s="862">
        <v>2026</v>
      </c>
      <c r="AA76" s="825" t="s">
        <v>33</v>
      </c>
    </row>
    <row r="77" spans="2:29" s="10" customFormat="1" ht="16.5" customHeight="1">
      <c r="B77" s="79" t="s">
        <v>338</v>
      </c>
      <c r="C77" s="113"/>
      <c r="D77" s="76"/>
      <c r="E77" s="76"/>
      <c r="F77" s="76" t="s">
        <v>41</v>
      </c>
      <c r="G77" s="76"/>
      <c r="H77" s="77"/>
      <c r="I77" s="77"/>
      <c r="J77" s="12"/>
      <c r="K77" s="12"/>
      <c r="L77" s="12"/>
      <c r="M77" s="12"/>
      <c r="X77" s="319"/>
      <c r="Z77" s="122"/>
    </row>
    <row r="78" spans="2:29" hidden="1">
      <c r="B78" s="248" t="s">
        <v>26</v>
      </c>
      <c r="C78" s="56" t="s">
        <v>122</v>
      </c>
      <c r="D78" s="2"/>
      <c r="E78" s="2"/>
      <c r="F78" s="2"/>
      <c r="H78" s="73"/>
      <c r="I78" s="73"/>
      <c r="J78" s="73"/>
      <c r="K78" s="73"/>
      <c r="L78" s="73"/>
      <c r="M78" s="73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8"/>
      <c r="Y78" s="67"/>
      <c r="Z78" s="123"/>
      <c r="AA78" s="67"/>
      <c r="AB78" s="60"/>
      <c r="AC78" s="60"/>
    </row>
    <row r="79" spans="2:29" hidden="1">
      <c r="B79" s="248" t="s">
        <v>117</v>
      </c>
      <c r="C79" s="51" t="s">
        <v>123</v>
      </c>
      <c r="D79" s="47"/>
      <c r="E79" s="47"/>
      <c r="F79" s="247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X79" s="82"/>
      <c r="Z79" s="60"/>
      <c r="AA79" s="60"/>
      <c r="AB79" s="67"/>
      <c r="AC79" s="2"/>
    </row>
    <row r="80" spans="2:29">
      <c r="C80" s="51" t="s">
        <v>325</v>
      </c>
      <c r="D80" s="47"/>
      <c r="F80" s="47"/>
      <c r="G80" s="247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X80" s="82"/>
      <c r="Z80" s="60"/>
      <c r="AA80" s="60"/>
      <c r="AB80" s="67"/>
      <c r="AC80" s="2"/>
    </row>
    <row r="81" spans="3:27">
      <c r="C81" s="638" t="s">
        <v>324</v>
      </c>
      <c r="D81" s="248"/>
      <c r="E81" s="51"/>
      <c r="F81" s="51"/>
      <c r="G81" s="639"/>
      <c r="H81" s="640"/>
      <c r="I81" s="639"/>
      <c r="J81" s="639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67"/>
      <c r="Z81" s="123"/>
      <c r="AA81" s="67"/>
    </row>
    <row r="82" spans="3:27" ht="12" customHeight="1">
      <c r="C82" s="115" t="s">
        <v>334</v>
      </c>
    </row>
    <row r="83" spans="3:27">
      <c r="C83"/>
    </row>
    <row r="84" spans="3:27">
      <c r="C84"/>
    </row>
    <row r="85" spans="3:27">
      <c r="C85"/>
      <c r="J85" s="291"/>
    </row>
    <row r="86" spans="3:27">
      <c r="C86"/>
    </row>
    <row r="87" spans="3:27">
      <c r="C87"/>
    </row>
    <row r="88" spans="3:27">
      <c r="C88"/>
    </row>
  </sheetData>
  <phoneticPr fontId="10" type="noConversion"/>
  <pageMargins left="0.25" right="0.25" top="0.75" bottom="0.75" header="0.3" footer="0.3"/>
  <pageSetup paperSize="9" scale="29" orientation="landscape" r:id="rId1"/>
  <headerFooter alignWithMargins="0">
    <oddHeader>&amp;LVanuatu Bureau of Statistics &amp;RInternational Visitors Arrival January 2026</oddHeader>
    <oddFooter>&amp;C&amp;"Times New Roman,Regular"&amp;8Page 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09375" defaultRowHeight="10.199999999999999"/>
  <cols>
    <col min="1" max="1" width="9.109375" style="55"/>
    <col min="2" max="2" width="3.33203125" style="55" customWidth="1"/>
    <col min="3" max="3" width="6.88671875" style="55" customWidth="1"/>
    <col min="4" max="4" width="6.5546875" style="55" customWidth="1"/>
    <col min="5" max="7" width="20.109375" style="80" customWidth="1"/>
    <col min="8" max="8" width="7.44140625" style="55" customWidth="1"/>
    <col min="9" max="9" width="18.88671875" style="55" customWidth="1"/>
    <col min="10" max="10" width="6.88671875" style="124" customWidth="1"/>
    <col min="11" max="11" width="6.5546875" style="55" customWidth="1"/>
    <col min="12" max="16384" width="9.109375" style="55"/>
  </cols>
  <sheetData>
    <row r="2" spans="3:18" ht="15.6">
      <c r="C2" s="106" t="s">
        <v>158</v>
      </c>
      <c r="D2" s="106"/>
      <c r="E2" s="131"/>
      <c r="F2" s="131"/>
      <c r="G2" s="132"/>
      <c r="H2" s="108"/>
      <c r="I2" s="108"/>
    </row>
    <row r="3" spans="3:18" ht="15.6">
      <c r="C3" s="106" t="s">
        <v>171</v>
      </c>
      <c r="D3" s="106"/>
      <c r="E3" s="131"/>
      <c r="F3" s="131"/>
      <c r="G3" s="132"/>
      <c r="H3" s="108"/>
      <c r="I3" s="108"/>
      <c r="J3" s="124" t="s">
        <v>132</v>
      </c>
    </row>
    <row r="4" spans="3:18">
      <c r="C4" s="109"/>
      <c r="D4" s="109"/>
      <c r="E4" s="133"/>
      <c r="F4" s="134"/>
      <c r="G4" s="134"/>
    </row>
    <row r="5" spans="3:18" s="87" customFormat="1" ht="26.25" customHeight="1">
      <c r="C5" s="950" t="s">
        <v>73</v>
      </c>
      <c r="D5" s="948" t="s">
        <v>115</v>
      </c>
      <c r="E5" s="954" t="s">
        <v>176</v>
      </c>
      <c r="F5" s="954"/>
      <c r="G5" s="954"/>
      <c r="H5" s="952" t="s">
        <v>161</v>
      </c>
      <c r="I5" s="953"/>
      <c r="J5" s="955" t="s">
        <v>74</v>
      </c>
      <c r="K5" s="946" t="s">
        <v>116</v>
      </c>
    </row>
    <row r="6" spans="3:18" s="87" customFormat="1" ht="18.75" customHeight="1">
      <c r="C6" s="951"/>
      <c r="D6" s="949"/>
      <c r="E6" s="228" t="s">
        <v>145</v>
      </c>
      <c r="F6" s="229" t="s">
        <v>146</v>
      </c>
      <c r="G6" s="229" t="s">
        <v>155</v>
      </c>
      <c r="H6" s="231" t="s">
        <v>177</v>
      </c>
      <c r="I6" s="230" t="s">
        <v>175</v>
      </c>
      <c r="J6" s="956"/>
      <c r="K6" s="947"/>
    </row>
    <row r="7" spans="3:18" s="171" customFormat="1" ht="13.2" hidden="1">
      <c r="C7" s="172">
        <v>2009</v>
      </c>
      <c r="D7" s="173" t="s">
        <v>33</v>
      </c>
      <c r="E7" s="174">
        <v>0</v>
      </c>
      <c r="F7" s="175">
        <v>0</v>
      </c>
      <c r="G7" s="175">
        <f t="shared" ref="G7:G12" si="0">(E7+F7)/2</f>
        <v>0</v>
      </c>
      <c r="H7" s="178"/>
      <c r="I7" s="179"/>
      <c r="J7" s="180">
        <v>2009</v>
      </c>
      <c r="K7" s="173" t="s">
        <v>33</v>
      </c>
      <c r="O7" s="177"/>
      <c r="R7" s="177"/>
    </row>
    <row r="8" spans="3:18" s="171" customFormat="1" ht="13.2" hidden="1">
      <c r="C8" s="172"/>
      <c r="D8" s="173" t="s">
        <v>34</v>
      </c>
      <c r="E8" s="174">
        <v>0</v>
      </c>
      <c r="F8" s="175">
        <v>0</v>
      </c>
      <c r="G8" s="175">
        <f t="shared" si="0"/>
        <v>0</v>
      </c>
      <c r="H8" s="178"/>
      <c r="I8" s="179"/>
      <c r="J8" s="180"/>
      <c r="K8" s="173" t="s">
        <v>75</v>
      </c>
      <c r="O8" s="177"/>
      <c r="R8" s="177"/>
    </row>
    <row r="9" spans="3:18" s="171" customFormat="1" ht="13.2" hidden="1">
      <c r="C9" s="172"/>
      <c r="D9" s="173" t="s">
        <v>29</v>
      </c>
      <c r="E9" s="174">
        <v>0</v>
      </c>
      <c r="F9" s="175">
        <v>0</v>
      </c>
      <c r="G9" s="175">
        <f t="shared" si="0"/>
        <v>0</v>
      </c>
      <c r="H9" s="178"/>
      <c r="I9" s="179"/>
      <c r="J9" s="180"/>
      <c r="K9" s="173" t="s">
        <v>29</v>
      </c>
      <c r="O9" s="177"/>
      <c r="R9" s="177"/>
    </row>
    <row r="10" spans="3:18" s="171" customFormat="1" ht="13.2" hidden="1">
      <c r="C10" s="172"/>
      <c r="D10" s="173" t="s">
        <v>35</v>
      </c>
      <c r="E10" s="174">
        <v>0</v>
      </c>
      <c r="F10" s="175">
        <v>0</v>
      </c>
      <c r="G10" s="175">
        <f t="shared" si="0"/>
        <v>0</v>
      </c>
      <c r="H10" s="178"/>
      <c r="I10" s="179"/>
      <c r="J10" s="180"/>
      <c r="K10" s="173" t="s">
        <v>76</v>
      </c>
      <c r="O10" s="177"/>
      <c r="R10" s="177"/>
    </row>
    <row r="11" spans="3:18" s="171" customFormat="1" ht="13.2" hidden="1">
      <c r="C11" s="172"/>
      <c r="D11" s="173" t="s">
        <v>4</v>
      </c>
      <c r="E11" s="174">
        <v>0</v>
      </c>
      <c r="F11" s="175">
        <v>0</v>
      </c>
      <c r="G11" s="175">
        <f t="shared" si="0"/>
        <v>0</v>
      </c>
      <c r="H11" s="178"/>
      <c r="I11" s="179"/>
      <c r="J11" s="180"/>
      <c r="K11" s="173" t="s">
        <v>77</v>
      </c>
      <c r="O11" s="177"/>
      <c r="R11" s="177"/>
    </row>
    <row r="12" spans="3:18" s="171" customFormat="1" ht="13.2" hidden="1">
      <c r="C12" s="172"/>
      <c r="D12" s="173" t="s">
        <v>30</v>
      </c>
      <c r="E12" s="174" t="e">
        <f>#REF!</f>
        <v>#REF!</v>
      </c>
      <c r="F12" s="175">
        <v>0</v>
      </c>
      <c r="G12" s="175" t="e">
        <f t="shared" si="0"/>
        <v>#REF!</v>
      </c>
      <c r="H12" s="181" t="e">
        <f>REPT("|",G12)</f>
        <v>#REF!</v>
      </c>
      <c r="I12" s="179" t="e">
        <f>IF(G12&lt;4,"Transit",IF(G12&lt;7,"Holiday",IF(G12&lt;10.5,"Holiday/Business",IF(G12&lt;15,"Visiting friends and families"))))</f>
        <v>#REF!</v>
      </c>
      <c r="J12" s="180">
        <v>2009</v>
      </c>
      <c r="K12" s="173" t="s">
        <v>78</v>
      </c>
      <c r="O12" s="177"/>
      <c r="R12" s="177"/>
    </row>
    <row r="13" spans="3:18" s="171" customFormat="1" ht="13.2" hidden="1">
      <c r="C13" s="172"/>
      <c r="D13" s="173" t="s">
        <v>36</v>
      </c>
      <c r="E13" s="174" t="e">
        <f>#REF!</f>
        <v>#REF!</v>
      </c>
      <c r="F13" s="174" t="e">
        <f>#REF!</f>
        <v>#REF!</v>
      </c>
      <c r="G13" s="175" t="e">
        <f t="shared" ref="G13:G54" si="1">(E13+F13)/2</f>
        <v>#REF!</v>
      </c>
      <c r="H13" s="181" t="e">
        <f t="shared" ref="H13:H28" si="2">REPT("|",G13)</f>
        <v>#REF!</v>
      </c>
      <c r="I13" s="179" t="e">
        <f>IF(G13&lt;4,"Transit",IF(G13&lt;7,"Holiday",IF(G13&lt;10.5,"Holiday/Business",IF(G13&lt;15,"Visiting friends and families"))))</f>
        <v>#REF!</v>
      </c>
      <c r="J13" s="180"/>
      <c r="K13" s="173" t="s">
        <v>79</v>
      </c>
      <c r="O13" s="177"/>
      <c r="R13" s="177"/>
    </row>
    <row r="14" spans="3:18" s="171" customFormat="1" ht="13.2" hidden="1">
      <c r="C14" s="172"/>
      <c r="D14" s="173" t="s">
        <v>37</v>
      </c>
      <c r="E14" s="174" t="e">
        <f>#REF!</f>
        <v>#REF!</v>
      </c>
      <c r="F14" s="174" t="e">
        <f>#REF!</f>
        <v>#REF!</v>
      </c>
      <c r="G14" s="175" t="e">
        <f t="shared" si="1"/>
        <v>#REF!</v>
      </c>
      <c r="H14" s="181" t="e">
        <f t="shared" si="2"/>
        <v>#REF!</v>
      </c>
      <c r="I14" s="179" t="e">
        <f>IF(G14&lt;4,"Transit",IF(G14&lt;7,"Holiday",IF(G14&lt;10.5,"Holiday/Business",IF(G14&lt;15,"Visiting friends and families"))))</f>
        <v>#REF!</v>
      </c>
      <c r="J14" s="180"/>
      <c r="K14" s="173" t="s">
        <v>80</v>
      </c>
      <c r="O14" s="177"/>
      <c r="R14" s="177"/>
    </row>
    <row r="15" spans="3:18" s="171" customFormat="1" ht="13.2" hidden="1">
      <c r="C15" s="172"/>
      <c r="D15" s="173" t="s">
        <v>31</v>
      </c>
      <c r="E15" s="174" t="e">
        <f>#REF!</f>
        <v>#REF!</v>
      </c>
      <c r="F15" s="174" t="e">
        <f>#REF!</f>
        <v>#REF!</v>
      </c>
      <c r="G15" s="175" t="e">
        <f t="shared" si="1"/>
        <v>#REF!</v>
      </c>
      <c r="H15" s="181" t="e">
        <f t="shared" si="2"/>
        <v>#REF!</v>
      </c>
      <c r="I15" s="179" t="e">
        <f>IF(G15&lt;4,"Transit",IF(G15&lt;7,"Holiday",IF(G15&lt;10.5,"Holiday/Business",IF(G15&lt;15,"Visiting friends and families"))))</f>
        <v>#REF!</v>
      </c>
      <c r="J15" s="180"/>
      <c r="K15" s="173" t="s">
        <v>31</v>
      </c>
      <c r="O15" s="177"/>
      <c r="R15" s="177"/>
    </row>
    <row r="16" spans="3:18" s="187" customFormat="1" ht="13.8" hidden="1">
      <c r="C16" s="182">
        <v>2009</v>
      </c>
      <c r="D16" s="183" t="s">
        <v>38</v>
      </c>
      <c r="E16" s="184" t="e">
        <f>#REF!</f>
        <v>#REF!</v>
      </c>
      <c r="F16" s="184" t="e">
        <f>#REF!</f>
        <v>#REF!</v>
      </c>
      <c r="G16" s="185" t="e">
        <f t="shared" si="1"/>
        <v>#REF!</v>
      </c>
      <c r="H16" s="208" t="e">
        <f t="shared" si="2"/>
        <v>#REF!</v>
      </c>
      <c r="I16" s="206" t="e">
        <f>IF(G16&lt;4,"Transit",IF(G16&lt;5,"Holiday",IF(G16&lt;8.7,"Business/Holiday",IF(G16&lt;10,"Business",IF(G16&lt;14,"Visiting friends/families")))))</f>
        <v>#REF!</v>
      </c>
      <c r="J16" s="186">
        <v>2009</v>
      </c>
      <c r="K16" s="183" t="s">
        <v>49</v>
      </c>
      <c r="O16" s="188"/>
      <c r="R16" s="188"/>
    </row>
    <row r="17" spans="3:18" s="187" customFormat="1" ht="5.25" customHeight="1">
      <c r="C17" s="182"/>
      <c r="D17" s="183"/>
      <c r="E17" s="184"/>
      <c r="F17" s="184"/>
      <c r="G17" s="185"/>
      <c r="H17" s="208"/>
      <c r="I17" s="206"/>
      <c r="J17" s="186"/>
      <c r="K17" s="183"/>
      <c r="O17" s="188"/>
      <c r="R17" s="188"/>
    </row>
    <row r="18" spans="3:18" s="187" customFormat="1" ht="13.8">
      <c r="C18" s="182">
        <v>2009</v>
      </c>
      <c r="D18" s="183" t="s">
        <v>39</v>
      </c>
      <c r="E18" s="184" t="e">
        <f>#REF!</f>
        <v>#REF!</v>
      </c>
      <c r="F18" s="184" t="e">
        <f>#REF!</f>
        <v>#REF!</v>
      </c>
      <c r="G18" s="185" t="e">
        <f t="shared" si="1"/>
        <v>#REF!</v>
      </c>
      <c r="H18" s="207" t="e">
        <f>REPT("|",G18)</f>
        <v>#REF!</v>
      </c>
      <c r="I18" s="206" t="e">
        <f>IF(G18&lt;4,"Transit",IF(G18&lt;5.1,"Holiday",IF(G18&lt;9.1,"Business/Holiday",IF(G18&lt;10.6,"Business",IF(G18&gt;10.6,"Visiting friends/families")))))</f>
        <v>#REF!</v>
      </c>
      <c r="J18" s="186">
        <v>2009</v>
      </c>
      <c r="K18" s="183" t="s">
        <v>39</v>
      </c>
      <c r="O18" s="188"/>
      <c r="R18" s="188"/>
    </row>
    <row r="19" spans="3:18" s="187" customFormat="1" ht="13.8" hidden="1">
      <c r="C19" s="182"/>
      <c r="D19" s="183" t="s">
        <v>32</v>
      </c>
      <c r="E19" s="184" t="e">
        <f>#REF!</f>
        <v>#REF!</v>
      </c>
      <c r="F19" s="184" t="e">
        <f>#REF!</f>
        <v>#REF!</v>
      </c>
      <c r="G19" s="185" t="e">
        <f t="shared" si="1"/>
        <v>#REF!</v>
      </c>
      <c r="H19" s="207" t="e">
        <f t="shared" si="2"/>
        <v>#REF!</v>
      </c>
      <c r="I19" s="206" t="e">
        <f t="shared" ref="I19:I54" si="3">IF(G19&lt;4,"Transit",IF(G19&lt;5.1,"Holiday",IF(G19&lt;9.1,"Business/Holiday",IF(G19&lt;10.6,"Business",IF(G19&gt;10.6,"Visiting friends/families")))))</f>
        <v>#REF!</v>
      </c>
      <c r="J19" s="186"/>
      <c r="K19" s="183" t="s">
        <v>32</v>
      </c>
      <c r="O19" s="188"/>
      <c r="R19" s="188"/>
    </row>
    <row r="20" spans="3:18" s="187" customFormat="1" ht="13.8" hidden="1">
      <c r="C20" s="182">
        <v>2010</v>
      </c>
      <c r="D20" s="183" t="s">
        <v>33</v>
      </c>
      <c r="E20" s="184" t="e">
        <f>#REF!</f>
        <v>#REF!</v>
      </c>
      <c r="F20" s="184" t="e">
        <f>#REF!</f>
        <v>#REF!</v>
      </c>
      <c r="G20" s="185" t="e">
        <f t="shared" si="1"/>
        <v>#REF!</v>
      </c>
      <c r="H20" s="207" t="e">
        <f t="shared" si="2"/>
        <v>#REF!</v>
      </c>
      <c r="I20" s="206" t="e">
        <f t="shared" si="3"/>
        <v>#REF!</v>
      </c>
      <c r="J20" s="186">
        <v>2010</v>
      </c>
      <c r="K20" s="183" t="s">
        <v>33</v>
      </c>
      <c r="O20" s="188"/>
      <c r="R20" s="188"/>
    </row>
    <row r="21" spans="3:18" s="187" customFormat="1" ht="13.8" hidden="1">
      <c r="C21" s="182"/>
      <c r="D21" s="183" t="s">
        <v>34</v>
      </c>
      <c r="E21" s="184" t="e">
        <f>#REF!</f>
        <v>#REF!</v>
      </c>
      <c r="F21" s="184" t="e">
        <f>#REF!</f>
        <v>#REF!</v>
      </c>
      <c r="G21" s="185" t="e">
        <f t="shared" si="1"/>
        <v>#REF!</v>
      </c>
      <c r="H21" s="207" t="e">
        <f t="shared" si="2"/>
        <v>#REF!</v>
      </c>
      <c r="I21" s="206" t="e">
        <f t="shared" si="3"/>
        <v>#REF!</v>
      </c>
      <c r="J21" s="186"/>
      <c r="K21" s="183" t="s">
        <v>75</v>
      </c>
      <c r="O21" s="188"/>
      <c r="R21" s="188"/>
    </row>
    <row r="22" spans="3:18" s="187" customFormat="1" ht="13.8" hidden="1">
      <c r="C22" s="182"/>
      <c r="D22" s="183" t="s">
        <v>29</v>
      </c>
      <c r="E22" s="184" t="e">
        <f>#REF!</f>
        <v>#REF!</v>
      </c>
      <c r="F22" s="184" t="e">
        <f>#REF!</f>
        <v>#REF!</v>
      </c>
      <c r="G22" s="185" t="e">
        <f t="shared" si="1"/>
        <v>#REF!</v>
      </c>
      <c r="H22" s="207" t="e">
        <f t="shared" si="2"/>
        <v>#REF!</v>
      </c>
      <c r="I22" s="206" t="e">
        <f t="shared" si="3"/>
        <v>#REF!</v>
      </c>
      <c r="J22" s="186"/>
      <c r="K22" s="183" t="s">
        <v>29</v>
      </c>
      <c r="O22" s="188"/>
      <c r="R22" s="188"/>
    </row>
    <row r="23" spans="3:18" s="187" customFormat="1" ht="13.8" hidden="1">
      <c r="C23" s="182"/>
      <c r="D23" s="183" t="s">
        <v>35</v>
      </c>
      <c r="E23" s="184" t="e">
        <f>#REF!</f>
        <v>#REF!</v>
      </c>
      <c r="F23" s="184" t="e">
        <f>#REF!</f>
        <v>#REF!</v>
      </c>
      <c r="G23" s="185" t="e">
        <f t="shared" si="1"/>
        <v>#REF!</v>
      </c>
      <c r="H23" s="207" t="e">
        <f t="shared" si="2"/>
        <v>#REF!</v>
      </c>
      <c r="I23" s="206" t="e">
        <f t="shared" si="3"/>
        <v>#REF!</v>
      </c>
      <c r="J23" s="186"/>
      <c r="K23" s="183" t="s">
        <v>76</v>
      </c>
      <c r="O23" s="188"/>
      <c r="R23" s="188"/>
    </row>
    <row r="24" spans="3:18" s="187" customFormat="1" ht="13.8" hidden="1">
      <c r="C24" s="182"/>
      <c r="D24" s="183" t="s">
        <v>4</v>
      </c>
      <c r="E24" s="184" t="e">
        <f>#REF!</f>
        <v>#REF!</v>
      </c>
      <c r="F24" s="184" t="e">
        <f>#REF!</f>
        <v>#REF!</v>
      </c>
      <c r="G24" s="185" t="e">
        <f t="shared" si="1"/>
        <v>#REF!</v>
      </c>
      <c r="H24" s="207" t="e">
        <f t="shared" si="2"/>
        <v>#REF!</v>
      </c>
      <c r="I24" s="206" t="e">
        <f t="shared" si="3"/>
        <v>#REF!</v>
      </c>
      <c r="J24" s="186"/>
      <c r="K24" s="183" t="s">
        <v>77</v>
      </c>
      <c r="O24" s="188"/>
      <c r="R24" s="188"/>
    </row>
    <row r="25" spans="3:18" s="187" customFormat="1" ht="13.8" hidden="1">
      <c r="C25" s="182"/>
      <c r="D25" s="183" t="s">
        <v>30</v>
      </c>
      <c r="E25" s="184" t="e">
        <f>#REF!</f>
        <v>#REF!</v>
      </c>
      <c r="F25" s="184" t="e">
        <f>#REF!</f>
        <v>#REF!</v>
      </c>
      <c r="G25" s="185" t="e">
        <f t="shared" si="1"/>
        <v>#REF!</v>
      </c>
      <c r="H25" s="207" t="e">
        <f t="shared" si="2"/>
        <v>#REF!</v>
      </c>
      <c r="I25" s="206" t="e">
        <f t="shared" si="3"/>
        <v>#REF!</v>
      </c>
      <c r="J25" s="186">
        <v>2010</v>
      </c>
      <c r="K25" s="183" t="s">
        <v>78</v>
      </c>
      <c r="O25" s="188"/>
      <c r="R25" s="188"/>
    </row>
    <row r="26" spans="3:18" s="187" customFormat="1" ht="13.8" hidden="1">
      <c r="C26" s="182"/>
      <c r="D26" s="183" t="s">
        <v>36</v>
      </c>
      <c r="E26" s="184" t="e">
        <f>#REF!</f>
        <v>#REF!</v>
      </c>
      <c r="F26" s="184" t="e">
        <f>#REF!</f>
        <v>#REF!</v>
      </c>
      <c r="G26" s="185" t="e">
        <f t="shared" si="1"/>
        <v>#REF!</v>
      </c>
      <c r="H26" s="207" t="e">
        <f t="shared" si="2"/>
        <v>#REF!</v>
      </c>
      <c r="I26" s="206" t="e">
        <f t="shared" si="3"/>
        <v>#REF!</v>
      </c>
      <c r="J26" s="186"/>
      <c r="K26" s="183" t="s">
        <v>79</v>
      </c>
      <c r="O26" s="188"/>
      <c r="R26" s="188"/>
    </row>
    <row r="27" spans="3:18" s="187" customFormat="1" ht="13.8" hidden="1">
      <c r="C27" s="182"/>
      <c r="D27" s="183" t="s">
        <v>37</v>
      </c>
      <c r="E27" s="184" t="e">
        <f>#REF!</f>
        <v>#REF!</v>
      </c>
      <c r="F27" s="184" t="e">
        <f>#REF!</f>
        <v>#REF!</v>
      </c>
      <c r="G27" s="185" t="e">
        <f t="shared" si="1"/>
        <v>#REF!</v>
      </c>
      <c r="H27" s="207" t="e">
        <f t="shared" si="2"/>
        <v>#REF!</v>
      </c>
      <c r="I27" s="206" t="e">
        <f t="shared" si="3"/>
        <v>#REF!</v>
      </c>
      <c r="J27" s="186"/>
      <c r="K27" s="183" t="s">
        <v>80</v>
      </c>
      <c r="M27" s="189"/>
      <c r="N27" s="190"/>
      <c r="O27" s="188"/>
      <c r="R27" s="188"/>
    </row>
    <row r="28" spans="3:18" s="187" customFormat="1" ht="13.8" hidden="1">
      <c r="C28" s="182"/>
      <c r="D28" s="183" t="s">
        <v>31</v>
      </c>
      <c r="E28" s="184" t="e">
        <f>#REF!</f>
        <v>#REF!</v>
      </c>
      <c r="F28" s="184" t="e">
        <f>#REF!</f>
        <v>#REF!</v>
      </c>
      <c r="G28" s="185" t="e">
        <f t="shared" si="1"/>
        <v>#REF!</v>
      </c>
      <c r="H28" s="207" t="e">
        <f t="shared" si="2"/>
        <v>#REF!</v>
      </c>
      <c r="I28" s="206" t="e">
        <f t="shared" si="3"/>
        <v>#REF!</v>
      </c>
      <c r="J28" s="186"/>
      <c r="K28" s="183" t="s">
        <v>31</v>
      </c>
      <c r="M28" s="191"/>
      <c r="O28" s="188"/>
      <c r="R28" s="188"/>
    </row>
    <row r="29" spans="3:18" s="187" customFormat="1" ht="13.8" hidden="1">
      <c r="C29" s="182">
        <v>2010</v>
      </c>
      <c r="D29" s="183" t="s">
        <v>38</v>
      </c>
      <c r="E29" s="184" t="e">
        <f>#REF!</f>
        <v>#REF!</v>
      </c>
      <c r="F29" s="184" t="e">
        <f>#REF!</f>
        <v>#REF!</v>
      </c>
      <c r="G29" s="185" t="e">
        <f t="shared" si="1"/>
        <v>#REF!</v>
      </c>
      <c r="H29" s="208" t="e">
        <f t="shared" ref="H29:H54" si="4">REPT("|",G29)</f>
        <v>#REF!</v>
      </c>
      <c r="I29" s="206" t="e">
        <f t="shared" si="3"/>
        <v>#REF!</v>
      </c>
      <c r="J29" s="186">
        <v>2010</v>
      </c>
      <c r="K29" s="183" t="s">
        <v>49</v>
      </c>
      <c r="M29" s="189"/>
      <c r="O29" s="188"/>
      <c r="R29" s="188"/>
    </row>
    <row r="30" spans="3:18" s="187" customFormat="1" ht="13.8">
      <c r="C30" s="182">
        <v>2010</v>
      </c>
      <c r="D30" s="183" t="s">
        <v>39</v>
      </c>
      <c r="E30" s="184" t="e">
        <f>#REF!</f>
        <v>#REF!</v>
      </c>
      <c r="F30" s="184" t="e">
        <f>#REF!</f>
        <v>#REF!</v>
      </c>
      <c r="G30" s="185" t="e">
        <f t="shared" si="1"/>
        <v>#REF!</v>
      </c>
      <c r="H30" s="208" t="e">
        <f t="shared" si="4"/>
        <v>#REF!</v>
      </c>
      <c r="I30" s="206" t="e">
        <f t="shared" si="3"/>
        <v>#REF!</v>
      </c>
      <c r="J30" s="186">
        <v>2010</v>
      </c>
      <c r="K30" s="183" t="s">
        <v>39</v>
      </c>
      <c r="M30" s="189"/>
      <c r="O30" s="188"/>
      <c r="R30" s="188"/>
    </row>
    <row r="31" spans="3:18" s="187" customFormat="1" ht="13.8" hidden="1">
      <c r="C31" s="182"/>
      <c r="D31" s="183" t="s">
        <v>32</v>
      </c>
      <c r="E31" s="184" t="e">
        <f>#REF!</f>
        <v>#REF!</v>
      </c>
      <c r="F31" s="184" t="e">
        <f>#REF!</f>
        <v>#REF!</v>
      </c>
      <c r="G31" s="185" t="e">
        <f t="shared" si="1"/>
        <v>#REF!</v>
      </c>
      <c r="H31" s="208" t="e">
        <f t="shared" si="4"/>
        <v>#REF!</v>
      </c>
      <c r="I31" s="206" t="e">
        <f t="shared" si="3"/>
        <v>#REF!</v>
      </c>
      <c r="J31" s="186"/>
      <c r="K31" s="183" t="s">
        <v>32</v>
      </c>
      <c r="M31" s="189"/>
      <c r="O31" s="188"/>
      <c r="R31" s="188"/>
    </row>
    <row r="32" spans="3:18" s="187" customFormat="1" ht="13.8">
      <c r="C32" s="182">
        <v>2011</v>
      </c>
      <c r="D32" s="183" t="s">
        <v>33</v>
      </c>
      <c r="E32" s="184">
        <f>[1]Jan!$B$47</f>
        <v>8.638004896</v>
      </c>
      <c r="F32" s="184">
        <f>[1]Jan!$D$47</f>
        <v>9.3602941176470598</v>
      </c>
      <c r="G32" s="185">
        <f t="shared" si="1"/>
        <v>8.9991495068235299</v>
      </c>
      <c r="H32" s="208" t="str">
        <f t="shared" si="4"/>
        <v>||||||||</v>
      </c>
      <c r="I32" s="206" t="str">
        <f t="shared" si="3"/>
        <v>Business/Holiday</v>
      </c>
      <c r="J32" s="186">
        <v>2011</v>
      </c>
      <c r="K32" s="183" t="s">
        <v>33</v>
      </c>
      <c r="M32" s="189"/>
      <c r="N32" s="193"/>
      <c r="O32" s="188"/>
      <c r="R32" s="188"/>
    </row>
    <row r="33" spans="3:18" s="187" customFormat="1" ht="13.8">
      <c r="C33" s="182"/>
      <c r="D33" s="183" t="s">
        <v>34</v>
      </c>
      <c r="E33" s="184">
        <f>[1]Feb!$B$47</f>
        <v>8.3964082347788001</v>
      </c>
      <c r="F33" s="184">
        <f>[1]Feb!$D$47</f>
        <v>11.448275862068966</v>
      </c>
      <c r="G33" s="185">
        <f t="shared" si="1"/>
        <v>9.9223420484238822</v>
      </c>
      <c r="H33" s="208" t="str">
        <f t="shared" si="4"/>
        <v>|||||||||</v>
      </c>
      <c r="I33" s="206" t="str">
        <f t="shared" si="3"/>
        <v>Business</v>
      </c>
      <c r="J33" s="186"/>
      <c r="K33" s="194" t="s">
        <v>75</v>
      </c>
      <c r="M33" s="189"/>
      <c r="O33" s="188"/>
      <c r="R33" s="188"/>
    </row>
    <row r="34" spans="3:18" s="187" customFormat="1" ht="13.8">
      <c r="C34" s="182"/>
      <c r="D34" s="183" t="s">
        <v>29</v>
      </c>
      <c r="E34" s="184">
        <f>[1]Mar!$B$47</f>
        <v>8.797364834166288</v>
      </c>
      <c r="F34" s="184">
        <f>[1]Mar!$D$47</f>
        <v>8.3440860220000008</v>
      </c>
      <c r="G34" s="185">
        <f t="shared" si="1"/>
        <v>8.5707254280831435</v>
      </c>
      <c r="H34" s="208" t="str">
        <f t="shared" si="4"/>
        <v>||||||||</v>
      </c>
      <c r="I34" s="206" t="str">
        <f t="shared" si="3"/>
        <v>Business/Holiday</v>
      </c>
      <c r="J34" s="186"/>
      <c r="K34" s="183" t="s">
        <v>29</v>
      </c>
      <c r="O34" s="188"/>
      <c r="R34" s="188"/>
    </row>
    <row r="35" spans="3:18" s="187" customFormat="1" ht="13.8">
      <c r="C35" s="182"/>
      <c r="D35" s="183" t="s">
        <v>35</v>
      </c>
      <c r="E35" s="184">
        <f>[1]April!$B$47</f>
        <v>8.2138628158844771</v>
      </c>
      <c r="F35" s="184">
        <f>[1]April!$D$47</f>
        <v>13.838983050847499</v>
      </c>
      <c r="G35" s="185">
        <f t="shared" si="1"/>
        <v>11.026422933365989</v>
      </c>
      <c r="H35" s="208" t="str">
        <f t="shared" si="4"/>
        <v>|||||||||||</v>
      </c>
      <c r="I35" s="206" t="str">
        <f t="shared" si="3"/>
        <v>Visiting friends/families</v>
      </c>
      <c r="J35" s="186"/>
      <c r="K35" s="183" t="s">
        <v>35</v>
      </c>
    </row>
    <row r="36" spans="3:18" s="187" customFormat="1" ht="13.8">
      <c r="C36" s="182"/>
      <c r="D36" s="183" t="s">
        <v>4</v>
      </c>
      <c r="E36" s="184">
        <f>[1]May!$B$47</f>
        <v>9.1427655824387113</v>
      </c>
      <c r="F36" s="184">
        <f>[1]May!$D$47</f>
        <v>10.446700507614214</v>
      </c>
      <c r="G36" s="185">
        <f t="shared" si="1"/>
        <v>9.7947330450264616</v>
      </c>
      <c r="H36" s="208" t="str">
        <f t="shared" si="4"/>
        <v>|||||||||</v>
      </c>
      <c r="I36" s="206" t="str">
        <f t="shared" si="3"/>
        <v>Business</v>
      </c>
      <c r="J36" s="186"/>
      <c r="K36" s="183" t="s">
        <v>77</v>
      </c>
    </row>
    <row r="37" spans="3:18" s="187" customFormat="1" ht="13.8">
      <c r="C37" s="192"/>
      <c r="D37" s="183" t="s">
        <v>30</v>
      </c>
      <c r="E37" s="184">
        <f>[1]June!$B$47</f>
        <v>8.589365037888685</v>
      </c>
      <c r="F37" s="184">
        <f>[1]June!$D$47</f>
        <v>12.584905660377359</v>
      </c>
      <c r="G37" s="185">
        <f t="shared" si="1"/>
        <v>10.587135349133021</v>
      </c>
      <c r="H37" s="208" t="str">
        <f t="shared" si="4"/>
        <v>||||||||||</v>
      </c>
      <c r="I37" s="206" t="str">
        <f t="shared" si="3"/>
        <v>Business</v>
      </c>
      <c r="J37" s="186"/>
      <c r="K37" s="183" t="s">
        <v>78</v>
      </c>
    </row>
    <row r="38" spans="3:18" s="187" customFormat="1" ht="13.8">
      <c r="C38" s="192"/>
      <c r="D38" s="183" t="s">
        <v>36</v>
      </c>
      <c r="E38" s="184">
        <f>[1]July!$B$47</f>
        <v>8.9597811480130538</v>
      </c>
      <c r="F38" s="184">
        <f>[1]July!$D$47</f>
        <v>10.425806451612903</v>
      </c>
      <c r="G38" s="185">
        <f t="shared" si="1"/>
        <v>9.6927937998129785</v>
      </c>
      <c r="H38" s="208" t="str">
        <f t="shared" si="4"/>
        <v>|||||||||</v>
      </c>
      <c r="I38" s="206" t="str">
        <f t="shared" si="3"/>
        <v>Business</v>
      </c>
      <c r="J38" s="186"/>
      <c r="K38" s="183" t="s">
        <v>79</v>
      </c>
    </row>
    <row r="39" spans="3:18" s="187" customFormat="1" ht="13.8">
      <c r="C39" s="192"/>
      <c r="D39" s="183" t="s">
        <v>37</v>
      </c>
      <c r="E39" s="184">
        <f>[1]August!$B$47</f>
        <v>8.9640038914711919</v>
      </c>
      <c r="F39" s="184">
        <f>[1]August!$D$47</f>
        <v>10.8283378746594</v>
      </c>
      <c r="G39" s="185">
        <f t="shared" si="1"/>
        <v>9.8961708830652952</v>
      </c>
      <c r="H39" s="208" t="str">
        <f t="shared" si="4"/>
        <v>|||||||||</v>
      </c>
      <c r="I39" s="206" t="str">
        <f t="shared" si="3"/>
        <v>Business</v>
      </c>
      <c r="J39" s="186"/>
      <c r="K39" s="183" t="s">
        <v>80</v>
      </c>
    </row>
    <row r="40" spans="3:18" s="187" customFormat="1" ht="13.8">
      <c r="C40" s="192"/>
      <c r="D40" s="183" t="s">
        <v>31</v>
      </c>
      <c r="E40" s="184">
        <f>[1]September!$B$47</f>
        <v>8.7441051830924703</v>
      </c>
      <c r="F40" s="184">
        <f>[1]September!$D$47</f>
        <v>9.5801749271137027</v>
      </c>
      <c r="G40" s="185">
        <f t="shared" si="1"/>
        <v>9.1621400551030874</v>
      </c>
      <c r="H40" s="208" t="str">
        <f t="shared" si="4"/>
        <v>|||||||||</v>
      </c>
      <c r="I40" s="206" t="str">
        <f t="shared" si="3"/>
        <v>Business</v>
      </c>
      <c r="J40" s="186"/>
      <c r="K40" s="183" t="s">
        <v>31</v>
      </c>
    </row>
    <row r="41" spans="3:18" s="187" customFormat="1" ht="13.8">
      <c r="C41" s="192"/>
      <c r="D41" s="183" t="s">
        <v>38</v>
      </c>
      <c r="E41" s="184">
        <f>[1]October!$B$48</f>
        <v>8.0182057731464802</v>
      </c>
      <c r="F41" s="184">
        <f>[1]October!$D$48</f>
        <v>9.039007092198581</v>
      </c>
      <c r="G41" s="185">
        <f t="shared" si="1"/>
        <v>8.5286064326725306</v>
      </c>
      <c r="H41" s="208" t="str">
        <f t="shared" si="4"/>
        <v>||||||||</v>
      </c>
      <c r="I41" s="206" t="str">
        <f t="shared" si="3"/>
        <v>Business/Holiday</v>
      </c>
      <c r="J41" s="186"/>
      <c r="K41" s="183" t="s">
        <v>49</v>
      </c>
    </row>
    <row r="42" spans="3:18" s="187" customFormat="1" ht="13.8">
      <c r="C42" s="192"/>
      <c r="D42" s="183" t="s">
        <v>39</v>
      </c>
      <c r="E42" s="184">
        <f>[1]November!$B$47</f>
        <v>8.1449945593035906</v>
      </c>
      <c r="F42" s="184">
        <f>[1]November!$D$47</f>
        <v>10.963576160000001</v>
      </c>
      <c r="G42" s="185">
        <f t="shared" si="1"/>
        <v>9.5542853596517965</v>
      </c>
      <c r="H42" s="208" t="str">
        <f t="shared" si="4"/>
        <v>|||||||||</v>
      </c>
      <c r="I42" s="206" t="str">
        <f t="shared" si="3"/>
        <v>Business</v>
      </c>
      <c r="J42" s="186"/>
      <c r="K42" s="183" t="s">
        <v>39</v>
      </c>
      <c r="P42" s="195"/>
    </row>
    <row r="43" spans="3:18" s="187" customFormat="1" ht="13.8">
      <c r="C43" s="192"/>
      <c r="D43" s="183" t="s">
        <v>32</v>
      </c>
      <c r="E43" s="184">
        <f>[1]December!$B$47</f>
        <v>11.985294120000001</v>
      </c>
      <c r="F43" s="184">
        <f>[1]December!$D$47</f>
        <v>13.53231939</v>
      </c>
      <c r="G43" s="185">
        <f t="shared" si="1"/>
        <v>12.758806755</v>
      </c>
      <c r="H43" s="208" t="str">
        <f t="shared" si="4"/>
        <v>||||||||||||</v>
      </c>
      <c r="I43" s="206" t="str">
        <f t="shared" si="3"/>
        <v>Visiting friends/families</v>
      </c>
      <c r="J43" s="186"/>
      <c r="K43" s="183" t="s">
        <v>81</v>
      </c>
    </row>
    <row r="44" spans="3:18" s="187" customFormat="1" ht="13.8">
      <c r="C44" s="182">
        <v>2012</v>
      </c>
      <c r="D44" s="16" t="s">
        <v>33</v>
      </c>
      <c r="E44" s="184">
        <f>[2]Summary_Jan_12!$B$47</f>
        <v>10.287258792938278</v>
      </c>
      <c r="F44" s="184">
        <f>[2]Summary_Jan_12!$D$47</f>
        <v>11.109756097560975</v>
      </c>
      <c r="G44" s="185">
        <f t="shared" si="1"/>
        <v>10.698507445249627</v>
      </c>
      <c r="H44" s="208" t="str">
        <f t="shared" si="4"/>
        <v>||||||||||</v>
      </c>
      <c r="I44" s="206" t="str">
        <f t="shared" si="3"/>
        <v>Visiting friends/families</v>
      </c>
      <c r="J44" s="186">
        <v>2012</v>
      </c>
      <c r="K44" s="183" t="s">
        <v>33</v>
      </c>
    </row>
    <row r="45" spans="3:18" s="187" customFormat="1" ht="13.8">
      <c r="C45" s="182"/>
      <c r="D45" s="16" t="s">
        <v>34</v>
      </c>
      <c r="E45" s="184">
        <f>'[2]Summary_Feb_12 '!$B$47</f>
        <v>9.2880630630630634</v>
      </c>
      <c r="F45" s="184">
        <f>'[2]Summary_Feb_12 '!$D$47</f>
        <v>10.655172413793103</v>
      </c>
      <c r="G45" s="185">
        <f t="shared" si="1"/>
        <v>9.9716177384280833</v>
      </c>
      <c r="H45" s="208" t="str">
        <f t="shared" si="4"/>
        <v>|||||||||</v>
      </c>
      <c r="I45" s="206" t="str">
        <f t="shared" si="3"/>
        <v>Business</v>
      </c>
      <c r="J45" s="186"/>
      <c r="K45" s="194" t="s">
        <v>75</v>
      </c>
    </row>
    <row r="46" spans="3:18" s="187" customFormat="1" ht="13.8">
      <c r="C46" s="182"/>
      <c r="D46" s="16" t="s">
        <v>29</v>
      </c>
      <c r="E46" s="184">
        <f>[2]Summary_Mar_12!$B$47</f>
        <v>9.7463827019996749</v>
      </c>
      <c r="F46" s="184">
        <f>[2]Summary_Mar_12!$D$47</f>
        <v>11.178010471204189</v>
      </c>
      <c r="G46" s="185">
        <f t="shared" si="1"/>
        <v>10.462196586601932</v>
      </c>
      <c r="H46" s="208" t="str">
        <f t="shared" si="4"/>
        <v>||||||||||</v>
      </c>
      <c r="I46" s="206" t="str">
        <f t="shared" si="3"/>
        <v>Business</v>
      </c>
      <c r="J46" s="186"/>
      <c r="K46" s="183" t="s">
        <v>29</v>
      </c>
    </row>
    <row r="47" spans="3:18" s="187" customFormat="1" ht="13.8">
      <c r="C47" s="182"/>
      <c r="D47" s="16" t="s">
        <v>35</v>
      </c>
      <c r="E47" s="184">
        <f>'[2]Summary_Apr_12 '!$B$47</f>
        <v>9.6733892090099527</v>
      </c>
      <c r="F47" s="184">
        <f>'[2]Summary_Apr_12 '!$D$47</f>
        <v>10.79372197309417</v>
      </c>
      <c r="G47" s="185">
        <f t="shared" si="1"/>
        <v>10.233555591052061</v>
      </c>
      <c r="H47" s="208" t="str">
        <f t="shared" si="4"/>
        <v>||||||||||</v>
      </c>
      <c r="I47" s="206" t="str">
        <f t="shared" si="3"/>
        <v>Business</v>
      </c>
      <c r="J47" s="186"/>
      <c r="K47" s="183" t="s">
        <v>35</v>
      </c>
      <c r="O47" s="195"/>
    </row>
    <row r="48" spans="3:18" s="187" customFormat="1" ht="13.8">
      <c r="C48" s="182"/>
      <c r="D48" s="16" t="s">
        <v>4</v>
      </c>
      <c r="E48" s="184">
        <f>[2]Summary_May_12!$B$47</f>
        <v>9.8192021636240696</v>
      </c>
      <c r="F48" s="184">
        <f>[2]Summary_May_12!$D$47</f>
        <v>12.575342465753424</v>
      </c>
      <c r="G48" s="185">
        <f t="shared" si="1"/>
        <v>11.197272314688746</v>
      </c>
      <c r="H48" s="208" t="str">
        <f t="shared" si="4"/>
        <v>|||||||||||</v>
      </c>
      <c r="I48" s="206" t="str">
        <f t="shared" si="3"/>
        <v>Visiting friends/families</v>
      </c>
      <c r="J48" s="186"/>
      <c r="K48" s="183" t="s">
        <v>77</v>
      </c>
      <c r="O48" s="193"/>
    </row>
    <row r="49" spans="3:15" s="187" customFormat="1" ht="13.8">
      <c r="C49" s="182"/>
      <c r="D49" s="16" t="s">
        <v>30</v>
      </c>
      <c r="E49" s="196">
        <f>[2]Summary_June_12!$B$47</f>
        <v>9.5336464821811493</v>
      </c>
      <c r="F49" s="184">
        <f>[2]Summary_June_12!$D$47</f>
        <v>11.744047619047619</v>
      </c>
      <c r="G49" s="185">
        <f t="shared" si="1"/>
        <v>10.638847050614384</v>
      </c>
      <c r="H49" s="208" t="str">
        <f t="shared" si="4"/>
        <v>||||||||||</v>
      </c>
      <c r="I49" s="206" t="str">
        <f t="shared" si="3"/>
        <v>Visiting friends/families</v>
      </c>
      <c r="J49" s="186"/>
      <c r="K49" s="183" t="s">
        <v>78</v>
      </c>
    </row>
    <row r="50" spans="3:15" s="187" customFormat="1" ht="13.8">
      <c r="C50" s="182"/>
      <c r="D50" s="16" t="s">
        <v>36</v>
      </c>
      <c r="E50" s="196">
        <f>[2]Summary_July_12!$B$47</f>
        <v>11.368008363826451</v>
      </c>
      <c r="F50" s="184">
        <f>[2]Summary_July_12!$D$47</f>
        <v>11.535031847133759</v>
      </c>
      <c r="G50" s="185">
        <f t="shared" si="1"/>
        <v>11.451520105480105</v>
      </c>
      <c r="H50" s="208" t="str">
        <f t="shared" si="4"/>
        <v>|||||||||||</v>
      </c>
      <c r="I50" s="206" t="str">
        <f t="shared" si="3"/>
        <v>Visiting friends/families</v>
      </c>
      <c r="J50" s="186"/>
      <c r="K50" s="183" t="s">
        <v>79</v>
      </c>
    </row>
    <row r="51" spans="3:15" s="187" customFormat="1" ht="13.8">
      <c r="C51" s="182"/>
      <c r="D51" s="14" t="s">
        <v>37</v>
      </c>
      <c r="E51" s="196">
        <f>'[2]Summary_August_12 '!$B$47</f>
        <v>10.445090121146459</v>
      </c>
      <c r="F51" s="184">
        <f>'[2]Summary_August_12 '!$D$47</f>
        <v>10.50199203187251</v>
      </c>
      <c r="G51" s="185">
        <f t="shared" si="1"/>
        <v>10.473541076509484</v>
      </c>
      <c r="H51" s="208" t="str">
        <f t="shared" si="4"/>
        <v>||||||||||</v>
      </c>
      <c r="I51" s="206" t="str">
        <f t="shared" si="3"/>
        <v>Business</v>
      </c>
      <c r="J51" s="186"/>
      <c r="K51" s="183" t="s">
        <v>80</v>
      </c>
      <c r="N51" s="188"/>
    </row>
    <row r="52" spans="3:15" s="187" customFormat="1" ht="13.8">
      <c r="C52" s="182"/>
      <c r="D52" s="14" t="s">
        <v>31</v>
      </c>
      <c r="E52" s="196">
        <f>[2]Summary_September_12!$B$47</f>
        <v>9.5212454842594187</v>
      </c>
      <c r="F52" s="184">
        <f>[2]Summary_September_12!$D$47</f>
        <v>11.020338983050847</v>
      </c>
      <c r="G52" s="185">
        <f t="shared" si="1"/>
        <v>10.270792233655133</v>
      </c>
      <c r="H52" s="208" t="str">
        <f t="shared" si="4"/>
        <v>||||||||||</v>
      </c>
      <c r="I52" s="206" t="str">
        <f t="shared" si="3"/>
        <v>Business</v>
      </c>
      <c r="J52" s="186"/>
      <c r="K52" s="183" t="s">
        <v>31</v>
      </c>
      <c r="N52" s="188"/>
    </row>
    <row r="53" spans="3:15" s="187" customFormat="1" ht="13.8">
      <c r="C53" s="182"/>
      <c r="D53" s="14" t="s">
        <v>38</v>
      </c>
      <c r="E53" s="196">
        <f>'[2]Summary_October_12 '!$B$47</f>
        <v>10.445090121146459</v>
      </c>
      <c r="F53" s="184">
        <f>'[2]Summary_October_12 '!$D$47</f>
        <v>10.50199203187251</v>
      </c>
      <c r="G53" s="185">
        <f t="shared" si="1"/>
        <v>10.473541076509484</v>
      </c>
      <c r="H53" s="208" t="str">
        <f t="shared" si="4"/>
        <v>||||||||||</v>
      </c>
      <c r="I53" s="206" t="str">
        <f t="shared" si="3"/>
        <v>Business</v>
      </c>
      <c r="J53" s="186"/>
      <c r="K53" s="183" t="s">
        <v>49</v>
      </c>
      <c r="N53" s="188"/>
    </row>
    <row r="54" spans="3:15" s="187" customFormat="1" ht="13.8">
      <c r="C54" s="182"/>
      <c r="D54" s="14" t="s">
        <v>39</v>
      </c>
      <c r="E54" s="196">
        <f>'[2]Summary November12'!$B$47</f>
        <v>8.9084421704591357</v>
      </c>
      <c r="F54" s="184">
        <f>'[2]Summary November12'!$D$47</f>
        <v>9.0222222222222221</v>
      </c>
      <c r="G54" s="185">
        <f t="shared" si="1"/>
        <v>8.9653321963406789</v>
      </c>
      <c r="H54" s="208" t="str">
        <f t="shared" si="4"/>
        <v>||||||||</v>
      </c>
      <c r="I54" s="206" t="str">
        <f t="shared" si="3"/>
        <v>Business/Holiday</v>
      </c>
      <c r="J54" s="186"/>
      <c r="K54" s="183" t="s">
        <v>39</v>
      </c>
      <c r="N54" s="188"/>
    </row>
    <row r="55" spans="3:15" s="187" customFormat="1" ht="15.6">
      <c r="C55" s="197"/>
      <c r="D55" s="198"/>
      <c r="E55" s="199"/>
      <c r="F55" s="200"/>
      <c r="G55" s="200"/>
      <c r="H55" s="201"/>
      <c r="I55" s="209"/>
      <c r="J55" s="202"/>
      <c r="K55" s="203"/>
    </row>
    <row r="56" spans="3:15" ht="10.8">
      <c r="C56" s="112" t="s">
        <v>82</v>
      </c>
      <c r="D56" s="113" t="s">
        <v>125</v>
      </c>
      <c r="E56" s="135"/>
      <c r="F56" s="135"/>
      <c r="N56" s="128"/>
      <c r="O56" s="129"/>
    </row>
    <row r="57" spans="3:15" ht="18.75" customHeight="1">
      <c r="C57" s="112"/>
      <c r="D57" s="113"/>
      <c r="E57" s="135"/>
      <c r="F57" s="135"/>
      <c r="N57" s="128"/>
      <c r="O57" s="129"/>
    </row>
    <row r="58" spans="3:15" s="214" customFormat="1" ht="15.75" customHeight="1">
      <c r="C58" s="210" t="s">
        <v>164</v>
      </c>
      <c r="D58" s="211"/>
      <c r="E58" s="212"/>
      <c r="F58" s="213" t="s">
        <v>140</v>
      </c>
      <c r="G58" s="212"/>
      <c r="I58" s="215"/>
      <c r="K58" s="215"/>
    </row>
    <row r="59" spans="3:15" s="218" customFormat="1" ht="10.8">
      <c r="C59" s="216" t="s">
        <v>165</v>
      </c>
      <c r="D59" s="217"/>
      <c r="F59" s="225" t="s">
        <v>141</v>
      </c>
      <c r="G59" s="219"/>
      <c r="I59" s="220"/>
      <c r="K59" s="220"/>
    </row>
    <row r="60" spans="3:15" s="214" customFormat="1" ht="10.8">
      <c r="C60" s="221" t="s">
        <v>162</v>
      </c>
      <c r="D60" s="211"/>
      <c r="E60" s="212"/>
      <c r="F60" s="226" t="s">
        <v>167</v>
      </c>
      <c r="G60" s="212"/>
      <c r="I60" s="215"/>
      <c r="K60" s="215"/>
    </row>
    <row r="61" spans="3:15" s="214" customFormat="1" ht="10.8">
      <c r="C61" s="221" t="s">
        <v>166</v>
      </c>
      <c r="D61" s="211"/>
      <c r="E61" s="212"/>
      <c r="F61" s="227" t="s">
        <v>170</v>
      </c>
      <c r="G61" s="212"/>
      <c r="I61" s="215"/>
      <c r="K61" s="215"/>
    </row>
    <row r="62" spans="3:15" s="214" customFormat="1" ht="10.8">
      <c r="C62" s="222" t="s">
        <v>168</v>
      </c>
      <c r="D62" s="211"/>
      <c r="E62" s="212"/>
      <c r="F62" s="227" t="s">
        <v>173</v>
      </c>
      <c r="G62" s="212"/>
      <c r="I62" s="215"/>
      <c r="K62" s="215"/>
    </row>
    <row r="63" spans="3:15" s="214" customFormat="1" ht="10.8">
      <c r="C63" s="222" t="s">
        <v>163</v>
      </c>
      <c r="D63" s="223"/>
      <c r="E63" s="211"/>
      <c r="F63" s="225" t="s">
        <v>174</v>
      </c>
      <c r="G63" s="212"/>
      <c r="I63" s="215"/>
      <c r="J63" s="224"/>
    </row>
    <row r="78" spans="5:7" s="55" customFormat="1">
      <c r="E78" s="80"/>
      <c r="F78" s="136"/>
      <c r="G78" s="80"/>
    </row>
    <row r="80" spans="5:7" s="55" customFormat="1">
      <c r="E80" s="80"/>
      <c r="F80" s="80"/>
      <c r="G80" s="80"/>
    </row>
    <row r="82" spans="5:7" s="55" customFormat="1" ht="13.2">
      <c r="E82" s="137"/>
      <c r="F82" s="80"/>
      <c r="G82" s="80"/>
    </row>
    <row r="83" spans="5:7" s="55" customFormat="1" ht="13.2">
      <c r="E83" s="137"/>
      <c r="F83" s="80"/>
      <c r="G83" s="80"/>
    </row>
    <row r="84" spans="5:7" s="55" customFormat="1" ht="13.2">
      <c r="E84" s="137"/>
      <c r="F84" s="80"/>
      <c r="G84" s="80"/>
    </row>
    <row r="85" spans="5:7" s="55" customFormat="1" ht="13.2">
      <c r="E85" s="137"/>
      <c r="F85" s="80"/>
      <c r="G85" s="80"/>
    </row>
    <row r="86" spans="5:7" s="55" customFormat="1" ht="13.2">
      <c r="E86" s="137"/>
      <c r="F86" s="80"/>
      <c r="G86" s="80"/>
    </row>
    <row r="87" spans="5:7" s="55" customFormat="1" ht="13.2">
      <c r="E87" s="137"/>
      <c r="F87" s="80"/>
      <c r="G87" s="80"/>
    </row>
    <row r="88" spans="5:7" s="55" customFormat="1" ht="13.2">
      <c r="E88" s="137"/>
      <c r="F88" s="80"/>
      <c r="G88" s="80"/>
    </row>
    <row r="89" spans="5:7" s="55" customFormat="1" ht="13.2">
      <c r="E89" s="137"/>
      <c r="F89" s="80"/>
      <c r="G89" s="80"/>
    </row>
    <row r="90" spans="5:7" s="55" customFormat="1" ht="13.2">
      <c r="E90" s="137"/>
      <c r="F90" s="80"/>
      <c r="G90" s="80"/>
    </row>
    <row r="93" spans="5:7" s="55" customFormat="1" ht="13.2">
      <c r="E93" s="137"/>
      <c r="F93" s="80"/>
      <c r="G93" s="80"/>
    </row>
    <row r="94" spans="5:7" s="55" customFormat="1" ht="13.2">
      <c r="E94" s="137"/>
      <c r="F94" s="80"/>
      <c r="G94" s="80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5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0" customWidth="1"/>
    <col min="7" max="7" width="27.5546875" style="55" customWidth="1"/>
    <col min="8" max="8" width="6.88671875" style="124" customWidth="1"/>
    <col min="9" max="9" width="6.5546875" style="55" customWidth="1"/>
    <col min="10" max="16384" width="9.109375" style="55"/>
  </cols>
  <sheetData>
    <row r="2" spans="2:16" ht="15.6">
      <c r="B2" s="106" t="s">
        <v>158</v>
      </c>
      <c r="C2" s="106"/>
      <c r="D2" s="131"/>
      <c r="E2" s="131"/>
      <c r="F2" s="132"/>
      <c r="G2" s="108"/>
    </row>
    <row r="3" spans="2:16" ht="15.6">
      <c r="B3" s="106" t="s">
        <v>147</v>
      </c>
      <c r="C3" s="106"/>
      <c r="D3" s="166"/>
      <c r="E3" s="166"/>
      <c r="F3" s="167"/>
      <c r="G3" s="108"/>
      <c r="H3" s="124" t="s">
        <v>132</v>
      </c>
    </row>
    <row r="4" spans="2:16">
      <c r="B4" s="109"/>
      <c r="C4" s="109"/>
      <c r="D4" s="133"/>
      <c r="E4" s="134"/>
      <c r="F4" s="134"/>
    </row>
    <row r="5" spans="2:16" s="87" customFormat="1" ht="14.25" customHeight="1">
      <c r="B5" s="950" t="s">
        <v>73</v>
      </c>
      <c r="C5" s="948" t="s">
        <v>115</v>
      </c>
      <c r="D5" s="954" t="s">
        <v>159</v>
      </c>
      <c r="E5" s="954"/>
      <c r="F5" s="954"/>
      <c r="G5" s="169"/>
      <c r="H5" s="961" t="s">
        <v>74</v>
      </c>
      <c r="I5" s="946" t="s">
        <v>116</v>
      </c>
    </row>
    <row r="6" spans="2:16" s="87" customFormat="1" ht="14.25" customHeight="1">
      <c r="B6" s="957"/>
      <c r="C6" s="959"/>
      <c r="D6" s="164" t="s">
        <v>145</v>
      </c>
      <c r="E6" s="165" t="s">
        <v>146</v>
      </c>
      <c r="F6" s="165" t="s">
        <v>155</v>
      </c>
      <c r="G6" s="170" t="s">
        <v>161</v>
      </c>
      <c r="H6" s="962"/>
      <c r="I6" s="964"/>
    </row>
    <row r="7" spans="2:16" s="87" customFormat="1" ht="14.25" customHeight="1">
      <c r="B7" s="958"/>
      <c r="C7" s="960"/>
      <c r="D7" s="162"/>
      <c r="E7" s="163"/>
      <c r="F7" s="205"/>
      <c r="G7" s="168"/>
      <c r="H7" s="963"/>
      <c r="I7" s="960"/>
    </row>
    <row r="8" spans="2:16" s="171" customFormat="1" ht="13.2" hidden="1">
      <c r="B8" s="172">
        <v>2009</v>
      </c>
      <c r="C8" s="173" t="s">
        <v>33</v>
      </c>
      <c r="D8" s="174">
        <v>0</v>
      </c>
      <c r="E8" s="175">
        <v>0</v>
      </c>
      <c r="F8" s="175">
        <f t="shared" ref="F8:F13" si="0">(D8+E8)/2</f>
        <v>0</v>
      </c>
      <c r="G8" s="178"/>
      <c r="H8" s="176">
        <v>2009</v>
      </c>
      <c r="I8" s="173" t="s">
        <v>33</v>
      </c>
      <c r="M8" s="177"/>
      <c r="P8" s="177"/>
    </row>
    <row r="9" spans="2:16" s="171" customFormat="1" ht="13.2" hidden="1">
      <c r="B9" s="172"/>
      <c r="C9" s="173" t="s">
        <v>34</v>
      </c>
      <c r="D9" s="174">
        <v>0</v>
      </c>
      <c r="E9" s="175">
        <v>0</v>
      </c>
      <c r="F9" s="175">
        <f t="shared" si="0"/>
        <v>0</v>
      </c>
      <c r="G9" s="178"/>
      <c r="H9" s="180"/>
      <c r="I9" s="173" t="s">
        <v>75</v>
      </c>
      <c r="M9" s="177"/>
      <c r="P9" s="177"/>
    </row>
    <row r="10" spans="2:16" s="171" customFormat="1" ht="13.2" hidden="1">
      <c r="B10" s="172"/>
      <c r="C10" s="173" t="s">
        <v>29</v>
      </c>
      <c r="D10" s="174">
        <v>0</v>
      </c>
      <c r="E10" s="175">
        <v>0</v>
      </c>
      <c r="F10" s="175">
        <f t="shared" si="0"/>
        <v>0</v>
      </c>
      <c r="G10" s="178"/>
      <c r="H10" s="180"/>
      <c r="I10" s="173" t="s">
        <v>29</v>
      </c>
      <c r="M10" s="177"/>
      <c r="P10" s="177"/>
    </row>
    <row r="11" spans="2:16" s="171" customFormat="1" ht="13.2" hidden="1">
      <c r="B11" s="172"/>
      <c r="C11" s="173" t="s">
        <v>35</v>
      </c>
      <c r="D11" s="174">
        <v>0</v>
      </c>
      <c r="E11" s="175">
        <v>0</v>
      </c>
      <c r="F11" s="175">
        <f t="shared" si="0"/>
        <v>0</v>
      </c>
      <c r="G11" s="178"/>
      <c r="H11" s="180"/>
      <c r="I11" s="173" t="s">
        <v>76</v>
      </c>
      <c r="M11" s="177"/>
      <c r="P11" s="177"/>
    </row>
    <row r="12" spans="2:16" s="171" customFormat="1" ht="13.2" hidden="1">
      <c r="B12" s="172"/>
      <c r="C12" s="173" t="s">
        <v>4</v>
      </c>
      <c r="D12" s="174">
        <v>0</v>
      </c>
      <c r="E12" s="175">
        <v>0</v>
      </c>
      <c r="F12" s="175">
        <f t="shared" si="0"/>
        <v>0</v>
      </c>
      <c r="G12" s="178"/>
      <c r="H12" s="180"/>
      <c r="I12" s="173" t="s">
        <v>77</v>
      </c>
      <c r="M12" s="177"/>
      <c r="P12" s="177"/>
    </row>
    <row r="13" spans="2:16" s="171" customFormat="1" ht="13.2" hidden="1">
      <c r="B13" s="172"/>
      <c r="C13" s="173" t="s">
        <v>30</v>
      </c>
      <c r="D13" s="174" t="e">
        <f>#REF!</f>
        <v>#REF!</v>
      </c>
      <c r="E13" s="175">
        <v>0</v>
      </c>
      <c r="F13" s="175" t="e">
        <f t="shared" si="0"/>
        <v>#REF!</v>
      </c>
      <c r="G13" s="181" t="e">
        <f>REPT("|",F13)</f>
        <v>#REF!</v>
      </c>
      <c r="H13" s="180">
        <v>2009</v>
      </c>
      <c r="I13" s="173" t="s">
        <v>78</v>
      </c>
      <c r="M13" s="177"/>
      <c r="P13" s="177"/>
    </row>
    <row r="14" spans="2:16" s="171" customFormat="1" ht="13.2" hidden="1">
      <c r="B14" s="172"/>
      <c r="C14" s="173" t="s">
        <v>36</v>
      </c>
      <c r="D14" s="174" t="e">
        <f>#REF!</f>
        <v>#REF!</v>
      </c>
      <c r="E14" s="174" t="e">
        <f>#REF!</f>
        <v>#REF!</v>
      </c>
      <c r="F14" s="175" t="e">
        <f t="shared" ref="F14:F53" si="1">(D14+E14)/2</f>
        <v>#REF!</v>
      </c>
      <c r="G14" s="181" t="e">
        <f t="shared" ref="G14:G53" si="2">REPT("|",F14)</f>
        <v>#REF!</v>
      </c>
      <c r="H14" s="180"/>
      <c r="I14" s="173" t="s">
        <v>79</v>
      </c>
      <c r="M14" s="177"/>
      <c r="P14" s="177"/>
    </row>
    <row r="15" spans="2:16" s="171" customFormat="1" ht="13.2" hidden="1">
      <c r="B15" s="172"/>
      <c r="C15" s="173" t="s">
        <v>37</v>
      </c>
      <c r="D15" s="174" t="e">
        <f>#REF!</f>
        <v>#REF!</v>
      </c>
      <c r="E15" s="174" t="e">
        <f>#REF!</f>
        <v>#REF!</v>
      </c>
      <c r="F15" s="175" t="e">
        <f t="shared" si="1"/>
        <v>#REF!</v>
      </c>
      <c r="G15" s="181" t="e">
        <f t="shared" si="2"/>
        <v>#REF!</v>
      </c>
      <c r="H15" s="180"/>
      <c r="I15" s="173" t="s">
        <v>80</v>
      </c>
      <c r="M15" s="177"/>
      <c r="P15" s="177"/>
    </row>
    <row r="16" spans="2:16" s="171" customFormat="1" ht="13.2" hidden="1">
      <c r="B16" s="172"/>
      <c r="C16" s="173" t="s">
        <v>31</v>
      </c>
      <c r="D16" s="174" t="e">
        <f>#REF!</f>
        <v>#REF!</v>
      </c>
      <c r="E16" s="174" t="e">
        <f>#REF!</f>
        <v>#REF!</v>
      </c>
      <c r="F16" s="175" t="e">
        <f t="shared" si="1"/>
        <v>#REF!</v>
      </c>
      <c r="G16" s="181" t="e">
        <f t="shared" si="2"/>
        <v>#REF!</v>
      </c>
      <c r="H16" s="180"/>
      <c r="I16" s="173" t="s">
        <v>31</v>
      </c>
      <c r="M16" s="177"/>
      <c r="P16" s="177"/>
    </row>
    <row r="17" spans="2:16" s="187" customFormat="1" ht="13.8">
      <c r="B17" s="182">
        <v>2009</v>
      </c>
      <c r="C17" s="183" t="s">
        <v>38</v>
      </c>
      <c r="D17" s="184" t="e">
        <f>#REF!</f>
        <v>#REF!</v>
      </c>
      <c r="E17" s="184" t="e">
        <f>#REF!</f>
        <v>#REF!</v>
      </c>
      <c r="F17" s="185" t="e">
        <f t="shared" si="1"/>
        <v>#REF!</v>
      </c>
      <c r="G17" s="208" t="e">
        <f t="shared" si="2"/>
        <v>#REF!</v>
      </c>
      <c r="H17" s="186">
        <v>2009</v>
      </c>
      <c r="I17" s="183" t="s">
        <v>49</v>
      </c>
      <c r="M17" s="188"/>
      <c r="P17" s="188"/>
    </row>
    <row r="18" spans="2:16" s="187" customFormat="1" ht="13.8" hidden="1">
      <c r="B18" s="182"/>
      <c r="C18" s="183" t="s">
        <v>39</v>
      </c>
      <c r="D18" s="184" t="e">
        <f>#REF!</f>
        <v>#REF!</v>
      </c>
      <c r="E18" s="184" t="e">
        <f>#REF!</f>
        <v>#REF!</v>
      </c>
      <c r="F18" s="185" t="e">
        <f t="shared" si="1"/>
        <v>#REF!</v>
      </c>
      <c r="G18" s="207" t="e">
        <f t="shared" si="2"/>
        <v>#REF!</v>
      </c>
      <c r="H18" s="186"/>
      <c r="I18" s="183" t="s">
        <v>39</v>
      </c>
      <c r="M18" s="188"/>
      <c r="P18" s="188"/>
    </row>
    <row r="19" spans="2:16" s="187" customFormat="1" ht="13.8" hidden="1">
      <c r="B19" s="182"/>
      <c r="C19" s="183" t="s">
        <v>32</v>
      </c>
      <c r="D19" s="184" t="e">
        <f>#REF!</f>
        <v>#REF!</v>
      </c>
      <c r="E19" s="184" t="e">
        <f>#REF!</f>
        <v>#REF!</v>
      </c>
      <c r="F19" s="185" t="e">
        <f t="shared" si="1"/>
        <v>#REF!</v>
      </c>
      <c r="G19" s="207" t="e">
        <f t="shared" si="2"/>
        <v>#REF!</v>
      </c>
      <c r="H19" s="186"/>
      <c r="I19" s="183" t="s">
        <v>32</v>
      </c>
      <c r="M19" s="188"/>
      <c r="P19" s="188"/>
    </row>
    <row r="20" spans="2:16" s="187" customFormat="1" ht="13.8" hidden="1">
      <c r="B20" s="182">
        <v>2010</v>
      </c>
      <c r="C20" s="183" t="s">
        <v>33</v>
      </c>
      <c r="D20" s="184" t="e">
        <f>#REF!</f>
        <v>#REF!</v>
      </c>
      <c r="E20" s="184" t="e">
        <f>#REF!</f>
        <v>#REF!</v>
      </c>
      <c r="F20" s="185" t="e">
        <f t="shared" si="1"/>
        <v>#REF!</v>
      </c>
      <c r="G20" s="207" t="e">
        <f t="shared" si="2"/>
        <v>#REF!</v>
      </c>
      <c r="H20" s="186">
        <v>2010</v>
      </c>
      <c r="I20" s="183" t="s">
        <v>33</v>
      </c>
      <c r="M20" s="188"/>
      <c r="P20" s="188"/>
    </row>
    <row r="21" spans="2:16" s="187" customFormat="1" ht="13.8" hidden="1">
      <c r="B21" s="182"/>
      <c r="C21" s="183" t="s">
        <v>34</v>
      </c>
      <c r="D21" s="184" t="e">
        <f>#REF!</f>
        <v>#REF!</v>
      </c>
      <c r="E21" s="184" t="e">
        <f>#REF!</f>
        <v>#REF!</v>
      </c>
      <c r="F21" s="185" t="e">
        <f t="shared" si="1"/>
        <v>#REF!</v>
      </c>
      <c r="G21" s="207" t="e">
        <f t="shared" si="2"/>
        <v>#REF!</v>
      </c>
      <c r="H21" s="186"/>
      <c r="I21" s="183" t="s">
        <v>75</v>
      </c>
      <c r="M21" s="188"/>
      <c r="P21" s="188"/>
    </row>
    <row r="22" spans="2:16" s="187" customFormat="1" ht="13.8" hidden="1">
      <c r="B22" s="182"/>
      <c r="C22" s="183" t="s">
        <v>29</v>
      </c>
      <c r="D22" s="184" t="e">
        <f>#REF!</f>
        <v>#REF!</v>
      </c>
      <c r="E22" s="184" t="e">
        <f>#REF!</f>
        <v>#REF!</v>
      </c>
      <c r="F22" s="185" t="e">
        <f t="shared" si="1"/>
        <v>#REF!</v>
      </c>
      <c r="G22" s="207" t="e">
        <f t="shared" si="2"/>
        <v>#REF!</v>
      </c>
      <c r="H22" s="186"/>
      <c r="I22" s="183" t="s">
        <v>29</v>
      </c>
      <c r="M22" s="188"/>
      <c r="P22" s="188"/>
    </row>
    <row r="23" spans="2:16" s="187" customFormat="1" ht="13.8" hidden="1">
      <c r="B23" s="182"/>
      <c r="C23" s="183" t="s">
        <v>35</v>
      </c>
      <c r="D23" s="184" t="e">
        <f>#REF!</f>
        <v>#REF!</v>
      </c>
      <c r="E23" s="184" t="e">
        <f>#REF!</f>
        <v>#REF!</v>
      </c>
      <c r="F23" s="185" t="e">
        <f t="shared" si="1"/>
        <v>#REF!</v>
      </c>
      <c r="G23" s="207" t="e">
        <f t="shared" si="2"/>
        <v>#REF!</v>
      </c>
      <c r="H23" s="186"/>
      <c r="I23" s="183" t="s">
        <v>76</v>
      </c>
      <c r="M23" s="188"/>
      <c r="P23" s="188"/>
    </row>
    <row r="24" spans="2:16" s="187" customFormat="1" ht="13.8" hidden="1">
      <c r="B24" s="182"/>
      <c r="C24" s="183" t="s">
        <v>4</v>
      </c>
      <c r="D24" s="184" t="e">
        <f>#REF!</f>
        <v>#REF!</v>
      </c>
      <c r="E24" s="184" t="e">
        <f>#REF!</f>
        <v>#REF!</v>
      </c>
      <c r="F24" s="185" t="e">
        <f t="shared" si="1"/>
        <v>#REF!</v>
      </c>
      <c r="G24" s="207" t="e">
        <f t="shared" si="2"/>
        <v>#REF!</v>
      </c>
      <c r="H24" s="186"/>
      <c r="I24" s="183" t="s">
        <v>77</v>
      </c>
      <c r="M24" s="188"/>
      <c r="P24" s="188"/>
    </row>
    <row r="25" spans="2:16" s="187" customFormat="1" ht="13.8" hidden="1">
      <c r="B25" s="182"/>
      <c r="C25" s="183" t="s">
        <v>30</v>
      </c>
      <c r="D25" s="184" t="e">
        <f>#REF!</f>
        <v>#REF!</v>
      </c>
      <c r="E25" s="184" t="e">
        <f>#REF!</f>
        <v>#REF!</v>
      </c>
      <c r="F25" s="185" t="e">
        <f t="shared" si="1"/>
        <v>#REF!</v>
      </c>
      <c r="G25" s="207" t="e">
        <f t="shared" si="2"/>
        <v>#REF!</v>
      </c>
      <c r="H25" s="186">
        <v>2010</v>
      </c>
      <c r="I25" s="183" t="s">
        <v>78</v>
      </c>
      <c r="M25" s="188"/>
      <c r="P25" s="188"/>
    </row>
    <row r="26" spans="2:16" s="187" customFormat="1" ht="13.8" hidden="1">
      <c r="B26" s="182"/>
      <c r="C26" s="183" t="s">
        <v>36</v>
      </c>
      <c r="D26" s="184" t="e">
        <f>#REF!</f>
        <v>#REF!</v>
      </c>
      <c r="E26" s="184" t="e">
        <f>#REF!</f>
        <v>#REF!</v>
      </c>
      <c r="F26" s="185" t="e">
        <f t="shared" si="1"/>
        <v>#REF!</v>
      </c>
      <c r="G26" s="207" t="e">
        <f t="shared" si="2"/>
        <v>#REF!</v>
      </c>
      <c r="H26" s="186"/>
      <c r="I26" s="183" t="s">
        <v>79</v>
      </c>
      <c r="M26" s="188"/>
      <c r="P26" s="188"/>
    </row>
    <row r="27" spans="2:16" s="187" customFormat="1" ht="13.8" hidden="1">
      <c r="B27" s="182"/>
      <c r="C27" s="183" t="s">
        <v>37</v>
      </c>
      <c r="D27" s="184" t="e">
        <f>#REF!</f>
        <v>#REF!</v>
      </c>
      <c r="E27" s="184" t="e">
        <f>#REF!</f>
        <v>#REF!</v>
      </c>
      <c r="F27" s="185" t="e">
        <f t="shared" si="1"/>
        <v>#REF!</v>
      </c>
      <c r="G27" s="207" t="e">
        <f t="shared" si="2"/>
        <v>#REF!</v>
      </c>
      <c r="H27" s="186"/>
      <c r="I27" s="183" t="s">
        <v>80</v>
      </c>
      <c r="K27" s="189"/>
      <c r="L27" s="190"/>
      <c r="M27" s="188"/>
      <c r="P27" s="188"/>
    </row>
    <row r="28" spans="2:16" s="187" customFormat="1" ht="13.8" hidden="1">
      <c r="B28" s="182"/>
      <c r="C28" s="183" t="s">
        <v>31</v>
      </c>
      <c r="D28" s="184" t="e">
        <f>#REF!</f>
        <v>#REF!</v>
      </c>
      <c r="E28" s="184" t="e">
        <f>#REF!</f>
        <v>#REF!</v>
      </c>
      <c r="F28" s="185" t="e">
        <f t="shared" si="1"/>
        <v>#REF!</v>
      </c>
      <c r="G28" s="207" t="e">
        <f t="shared" si="2"/>
        <v>#REF!</v>
      </c>
      <c r="H28" s="186"/>
      <c r="I28" s="183" t="s">
        <v>31</v>
      </c>
      <c r="K28" s="191"/>
      <c r="M28" s="188"/>
      <c r="P28" s="188"/>
    </row>
    <row r="29" spans="2:16" s="187" customFormat="1" ht="13.8">
      <c r="B29" s="182">
        <v>2010</v>
      </c>
      <c r="C29" s="183" t="s">
        <v>38</v>
      </c>
      <c r="D29" s="184" t="e">
        <f>#REF!</f>
        <v>#REF!</v>
      </c>
      <c r="E29" s="184" t="e">
        <f>#REF!</f>
        <v>#REF!</v>
      </c>
      <c r="F29" s="185" t="e">
        <f t="shared" si="1"/>
        <v>#REF!</v>
      </c>
      <c r="G29" s="208" t="e">
        <f t="shared" si="2"/>
        <v>#REF!</v>
      </c>
      <c r="H29" s="186">
        <v>2010</v>
      </c>
      <c r="I29" s="183" t="s">
        <v>49</v>
      </c>
      <c r="K29" s="189"/>
      <c r="M29" s="188"/>
      <c r="P29" s="188"/>
    </row>
    <row r="30" spans="2:16" s="187" customFormat="1" ht="13.8" hidden="1">
      <c r="B30" s="192"/>
      <c r="C30" s="183" t="s">
        <v>39</v>
      </c>
      <c r="D30" s="184" t="e">
        <f>#REF!</f>
        <v>#REF!</v>
      </c>
      <c r="E30" s="184" t="e">
        <f>#REF!</f>
        <v>#REF!</v>
      </c>
      <c r="F30" s="185" t="e">
        <f t="shared" si="1"/>
        <v>#REF!</v>
      </c>
      <c r="G30" s="208" t="e">
        <f t="shared" si="2"/>
        <v>#REF!</v>
      </c>
      <c r="H30" s="186"/>
      <c r="I30" s="183" t="s">
        <v>39</v>
      </c>
      <c r="K30" s="189"/>
      <c r="M30" s="188"/>
      <c r="P30" s="188"/>
    </row>
    <row r="31" spans="2:16" s="187" customFormat="1" ht="13.8" hidden="1">
      <c r="B31" s="182"/>
      <c r="C31" s="183" t="s">
        <v>32</v>
      </c>
      <c r="D31" s="184" t="e">
        <f>#REF!</f>
        <v>#REF!</v>
      </c>
      <c r="E31" s="184" t="e">
        <f>#REF!</f>
        <v>#REF!</v>
      </c>
      <c r="F31" s="185" t="e">
        <f t="shared" si="1"/>
        <v>#REF!</v>
      </c>
      <c r="G31" s="208" t="e">
        <f t="shared" si="2"/>
        <v>#REF!</v>
      </c>
      <c r="H31" s="186"/>
      <c r="I31" s="183" t="s">
        <v>32</v>
      </c>
      <c r="K31" s="189"/>
      <c r="M31" s="188"/>
      <c r="P31" s="188"/>
    </row>
    <row r="32" spans="2:16" s="187" customFormat="1" ht="13.8">
      <c r="B32" s="182">
        <v>2011</v>
      </c>
      <c r="C32" s="183" t="s">
        <v>33</v>
      </c>
      <c r="D32" s="184">
        <f>[1]Jan!$B$47</f>
        <v>8.638004896</v>
      </c>
      <c r="E32" s="184">
        <f>[1]Jan!$D$47</f>
        <v>9.3602941176470598</v>
      </c>
      <c r="F32" s="185">
        <f t="shared" si="1"/>
        <v>8.9991495068235299</v>
      </c>
      <c r="G32" s="208" t="str">
        <f t="shared" si="2"/>
        <v>||||||||</v>
      </c>
      <c r="H32" s="186">
        <v>2011</v>
      </c>
      <c r="I32" s="183" t="s">
        <v>33</v>
      </c>
      <c r="K32" s="189"/>
      <c r="L32" s="193"/>
      <c r="M32" s="188"/>
      <c r="P32" s="188"/>
    </row>
    <row r="33" spans="2:16" s="187" customFormat="1" ht="13.8">
      <c r="B33" s="182"/>
      <c r="C33" s="183" t="s">
        <v>34</v>
      </c>
      <c r="D33" s="184">
        <f>[1]Feb!$B$47</f>
        <v>8.3964082347788001</v>
      </c>
      <c r="E33" s="184">
        <f>[1]Feb!$D$47</f>
        <v>11.448275862068966</v>
      </c>
      <c r="F33" s="185">
        <f t="shared" si="1"/>
        <v>9.9223420484238822</v>
      </c>
      <c r="G33" s="208" t="str">
        <f t="shared" si="2"/>
        <v>|||||||||</v>
      </c>
      <c r="H33" s="186"/>
      <c r="I33" s="194" t="s">
        <v>75</v>
      </c>
      <c r="K33" s="189"/>
      <c r="M33" s="188"/>
      <c r="P33" s="188"/>
    </row>
    <row r="34" spans="2:16" s="187" customFormat="1" ht="13.8">
      <c r="B34" s="182"/>
      <c r="C34" s="183" t="s">
        <v>29</v>
      </c>
      <c r="D34" s="184">
        <f>[1]Mar!$B$47</f>
        <v>8.797364834166288</v>
      </c>
      <c r="E34" s="184">
        <f>[1]Mar!$D$47</f>
        <v>8.3440860220000008</v>
      </c>
      <c r="F34" s="185">
        <f t="shared" si="1"/>
        <v>8.5707254280831435</v>
      </c>
      <c r="G34" s="208" t="str">
        <f t="shared" si="2"/>
        <v>||||||||</v>
      </c>
      <c r="H34" s="186"/>
      <c r="I34" s="183" t="s">
        <v>29</v>
      </c>
      <c r="M34" s="188"/>
      <c r="P34" s="188"/>
    </row>
    <row r="35" spans="2:16" s="187" customFormat="1" ht="13.8">
      <c r="B35" s="182"/>
      <c r="C35" s="183" t="s">
        <v>35</v>
      </c>
      <c r="D35" s="184">
        <f>[1]April!$B$47</f>
        <v>8.2138628158844771</v>
      </c>
      <c r="E35" s="184">
        <f>[1]April!$D$47</f>
        <v>13.838983050847499</v>
      </c>
      <c r="F35" s="185">
        <f t="shared" si="1"/>
        <v>11.026422933365989</v>
      </c>
      <c r="G35" s="208" t="str">
        <f t="shared" si="2"/>
        <v>|||||||||||</v>
      </c>
      <c r="H35" s="186"/>
      <c r="I35" s="183" t="s">
        <v>35</v>
      </c>
    </row>
    <row r="36" spans="2:16" s="187" customFormat="1" ht="13.8">
      <c r="B36" s="182"/>
      <c r="C36" s="183" t="s">
        <v>4</v>
      </c>
      <c r="D36" s="184">
        <f>[1]May!$B$47</f>
        <v>9.1427655824387113</v>
      </c>
      <c r="E36" s="184">
        <f>[1]May!$D$47</f>
        <v>10.446700507614214</v>
      </c>
      <c r="F36" s="185">
        <f t="shared" si="1"/>
        <v>9.7947330450264616</v>
      </c>
      <c r="G36" s="208" t="str">
        <f t="shared" si="2"/>
        <v>|||||||||</v>
      </c>
      <c r="H36" s="186"/>
      <c r="I36" s="183" t="s">
        <v>77</v>
      </c>
    </row>
    <row r="37" spans="2:16" s="187" customFormat="1" ht="13.8">
      <c r="B37" s="192"/>
      <c r="C37" s="183" t="s">
        <v>30</v>
      </c>
      <c r="D37" s="184">
        <f>[1]June!$B$47</f>
        <v>8.589365037888685</v>
      </c>
      <c r="E37" s="184">
        <f>[1]June!$D$47</f>
        <v>12.584905660377359</v>
      </c>
      <c r="F37" s="185">
        <f t="shared" si="1"/>
        <v>10.587135349133021</v>
      </c>
      <c r="G37" s="208" t="str">
        <f t="shared" si="2"/>
        <v>||||||||||</v>
      </c>
      <c r="H37" s="186"/>
      <c r="I37" s="183" t="s">
        <v>78</v>
      </c>
    </row>
    <row r="38" spans="2:16" s="187" customFormat="1" ht="13.8">
      <c r="B38" s="192"/>
      <c r="C38" s="183" t="s">
        <v>36</v>
      </c>
      <c r="D38" s="184">
        <f>[1]July!$B$47</f>
        <v>8.9597811480130538</v>
      </c>
      <c r="E38" s="184">
        <f>[1]July!$D$47</f>
        <v>10.425806451612903</v>
      </c>
      <c r="F38" s="185">
        <f t="shared" si="1"/>
        <v>9.6927937998129785</v>
      </c>
      <c r="G38" s="208" t="str">
        <f t="shared" si="2"/>
        <v>|||||||||</v>
      </c>
      <c r="H38" s="186"/>
      <c r="I38" s="183" t="s">
        <v>79</v>
      </c>
    </row>
    <row r="39" spans="2:16" s="187" customFormat="1" ht="13.8">
      <c r="B39" s="192"/>
      <c r="C39" s="183" t="s">
        <v>37</v>
      </c>
      <c r="D39" s="184">
        <f>[1]August!$B$47</f>
        <v>8.9640038914711919</v>
      </c>
      <c r="E39" s="184">
        <f>[1]August!$D$47</f>
        <v>10.8283378746594</v>
      </c>
      <c r="F39" s="185">
        <f t="shared" si="1"/>
        <v>9.8961708830652952</v>
      </c>
      <c r="G39" s="208" t="str">
        <f t="shared" si="2"/>
        <v>|||||||||</v>
      </c>
      <c r="H39" s="186"/>
      <c r="I39" s="183" t="s">
        <v>80</v>
      </c>
    </row>
    <row r="40" spans="2:16" s="187" customFormat="1" ht="13.8">
      <c r="B40" s="192"/>
      <c r="C40" s="183" t="s">
        <v>31</v>
      </c>
      <c r="D40" s="184">
        <f>[1]September!$B$47</f>
        <v>8.7441051830924703</v>
      </c>
      <c r="E40" s="184">
        <f>[1]September!$D$47</f>
        <v>9.5801749271137027</v>
      </c>
      <c r="F40" s="185">
        <f t="shared" si="1"/>
        <v>9.1621400551030874</v>
      </c>
      <c r="G40" s="208" t="str">
        <f t="shared" si="2"/>
        <v>|||||||||</v>
      </c>
      <c r="H40" s="186"/>
      <c r="I40" s="183" t="s">
        <v>31</v>
      </c>
    </row>
    <row r="41" spans="2:16" s="187" customFormat="1" ht="13.8">
      <c r="B41" s="192"/>
      <c r="C41" s="183" t="s">
        <v>38</v>
      </c>
      <c r="D41" s="184">
        <f>[1]October!$B$48</f>
        <v>8.0182057731464802</v>
      </c>
      <c r="E41" s="184">
        <f>[1]October!$D$48</f>
        <v>9.039007092198581</v>
      </c>
      <c r="F41" s="185">
        <f t="shared" si="1"/>
        <v>8.5286064326725306</v>
      </c>
      <c r="G41" s="208" t="str">
        <f t="shared" si="2"/>
        <v>||||||||</v>
      </c>
      <c r="H41" s="186"/>
      <c r="I41" s="183" t="s">
        <v>49</v>
      </c>
    </row>
    <row r="42" spans="2:16" s="187" customFormat="1" ht="13.8">
      <c r="B42" s="192"/>
      <c r="C42" s="183" t="s">
        <v>39</v>
      </c>
      <c r="D42" s="184">
        <f>[1]November!$B$47</f>
        <v>8.1449945593035906</v>
      </c>
      <c r="E42" s="184">
        <f>[1]November!$D$47</f>
        <v>10.963576160000001</v>
      </c>
      <c r="F42" s="185">
        <f t="shared" si="1"/>
        <v>9.5542853596517965</v>
      </c>
      <c r="G42" s="208" t="str">
        <f t="shared" si="2"/>
        <v>|||||||||</v>
      </c>
      <c r="H42" s="186"/>
      <c r="I42" s="183" t="s">
        <v>39</v>
      </c>
      <c r="N42" s="195"/>
    </row>
    <row r="43" spans="2:16" s="187" customFormat="1" ht="13.8">
      <c r="B43" s="192"/>
      <c r="C43" s="183" t="s">
        <v>32</v>
      </c>
      <c r="D43" s="184">
        <f>[1]December!$B$47</f>
        <v>11.985294120000001</v>
      </c>
      <c r="E43" s="184">
        <f>[1]December!$D$47</f>
        <v>13.53231939</v>
      </c>
      <c r="F43" s="185">
        <f t="shared" si="1"/>
        <v>12.758806755</v>
      </c>
      <c r="G43" s="208" t="str">
        <f t="shared" si="2"/>
        <v>||||||||||||</v>
      </c>
      <c r="H43" s="186"/>
      <c r="I43" s="183" t="s">
        <v>81</v>
      </c>
    </row>
    <row r="44" spans="2:16" s="187" customFormat="1" ht="13.8">
      <c r="B44" s="182">
        <v>2012</v>
      </c>
      <c r="C44" s="16" t="s">
        <v>33</v>
      </c>
      <c r="D44" s="184">
        <f>[2]Summary_Jan_12!$B$47</f>
        <v>10.287258792938278</v>
      </c>
      <c r="E44" s="184">
        <f>[2]Summary_Jan_12!$D$47</f>
        <v>11.109756097560975</v>
      </c>
      <c r="F44" s="185">
        <f t="shared" si="1"/>
        <v>10.698507445249627</v>
      </c>
      <c r="G44" s="208" t="str">
        <f t="shared" si="2"/>
        <v>||||||||||</v>
      </c>
      <c r="H44" s="186">
        <v>2012</v>
      </c>
      <c r="I44" s="183" t="s">
        <v>33</v>
      </c>
    </row>
    <row r="45" spans="2:16" s="187" customFormat="1" ht="13.8">
      <c r="B45" s="182"/>
      <c r="C45" s="16" t="s">
        <v>34</v>
      </c>
      <c r="D45" s="184">
        <f>'[2]Summary_Feb_12 '!$B$47</f>
        <v>9.2880630630630634</v>
      </c>
      <c r="E45" s="184">
        <f>'[2]Summary_Feb_12 '!$D$47</f>
        <v>10.655172413793103</v>
      </c>
      <c r="F45" s="185">
        <f t="shared" si="1"/>
        <v>9.9716177384280833</v>
      </c>
      <c r="G45" s="208" t="str">
        <f t="shared" si="2"/>
        <v>|||||||||</v>
      </c>
      <c r="H45" s="186"/>
      <c r="I45" s="194" t="s">
        <v>75</v>
      </c>
    </row>
    <row r="46" spans="2:16" s="187" customFormat="1" ht="13.8">
      <c r="B46" s="182"/>
      <c r="C46" s="16" t="s">
        <v>29</v>
      </c>
      <c r="D46" s="184">
        <f>[2]Summary_Mar_12!$B$47</f>
        <v>9.7463827019996749</v>
      </c>
      <c r="E46" s="184">
        <f>[2]Summary_Mar_12!$D$47</f>
        <v>11.178010471204189</v>
      </c>
      <c r="F46" s="185">
        <f t="shared" si="1"/>
        <v>10.462196586601932</v>
      </c>
      <c r="G46" s="208" t="str">
        <f t="shared" si="2"/>
        <v>||||||||||</v>
      </c>
      <c r="H46" s="186"/>
      <c r="I46" s="183" t="s">
        <v>29</v>
      </c>
    </row>
    <row r="47" spans="2:16" s="187" customFormat="1" ht="13.8">
      <c r="B47" s="182"/>
      <c r="C47" s="16" t="s">
        <v>35</v>
      </c>
      <c r="D47" s="184">
        <f>'[2]Summary_Apr_12 '!$B$47</f>
        <v>9.6733892090099527</v>
      </c>
      <c r="E47" s="184">
        <f>'[2]Summary_Apr_12 '!$D$47</f>
        <v>10.79372197309417</v>
      </c>
      <c r="F47" s="185">
        <f t="shared" si="1"/>
        <v>10.233555591052061</v>
      </c>
      <c r="G47" s="208" t="str">
        <f t="shared" si="2"/>
        <v>||||||||||</v>
      </c>
      <c r="H47" s="186"/>
      <c r="I47" s="183" t="s">
        <v>35</v>
      </c>
      <c r="M47" s="195"/>
    </row>
    <row r="48" spans="2:16" s="187" customFormat="1" ht="13.8">
      <c r="B48" s="182"/>
      <c r="C48" s="16" t="s">
        <v>4</v>
      </c>
      <c r="D48" s="184">
        <f>[2]Summary_May_12!$B$47</f>
        <v>9.8192021636240696</v>
      </c>
      <c r="E48" s="184">
        <f>[2]Summary_May_12!$D$47</f>
        <v>12.575342465753424</v>
      </c>
      <c r="F48" s="185">
        <f t="shared" si="1"/>
        <v>11.197272314688746</v>
      </c>
      <c r="G48" s="208" t="str">
        <f t="shared" si="2"/>
        <v>|||||||||||</v>
      </c>
      <c r="H48" s="186"/>
      <c r="I48" s="183" t="s">
        <v>77</v>
      </c>
      <c r="M48" s="193"/>
    </row>
    <row r="49" spans="2:13" s="187" customFormat="1" ht="13.8">
      <c r="B49" s="182"/>
      <c r="C49" s="16" t="s">
        <v>30</v>
      </c>
      <c r="D49" s="196">
        <f>[2]Summary_June_12!$B$47</f>
        <v>9.5336464821811493</v>
      </c>
      <c r="E49" s="184">
        <f>[2]Summary_June_12!$D$47</f>
        <v>11.744047619047619</v>
      </c>
      <c r="F49" s="185">
        <f t="shared" si="1"/>
        <v>10.638847050614384</v>
      </c>
      <c r="G49" s="208" t="str">
        <f t="shared" si="2"/>
        <v>||||||||||</v>
      </c>
      <c r="H49" s="186"/>
      <c r="I49" s="183" t="s">
        <v>78</v>
      </c>
    </row>
    <row r="50" spans="2:13" s="187" customFormat="1" ht="13.8">
      <c r="B50" s="182"/>
      <c r="C50" s="16" t="s">
        <v>36</v>
      </c>
      <c r="D50" s="196">
        <f>[2]Summary_July_12!$B$47</f>
        <v>11.368008363826451</v>
      </c>
      <c r="E50" s="184">
        <f>[2]Summary_July_12!$D$47</f>
        <v>11.535031847133759</v>
      </c>
      <c r="F50" s="185">
        <f t="shared" si="1"/>
        <v>11.451520105480105</v>
      </c>
      <c r="G50" s="208" t="str">
        <f t="shared" si="2"/>
        <v>|||||||||||</v>
      </c>
      <c r="H50" s="186"/>
      <c r="I50" s="183" t="s">
        <v>79</v>
      </c>
    </row>
    <row r="51" spans="2:13" s="187" customFormat="1" ht="13.8">
      <c r="B51" s="182"/>
      <c r="C51" s="14" t="s">
        <v>37</v>
      </c>
      <c r="D51" s="196">
        <f>'[2]Summary_August_12 '!$B$47</f>
        <v>10.445090121146459</v>
      </c>
      <c r="E51" s="184">
        <f>'[2]Summary_August_12 '!$D$47</f>
        <v>10.50199203187251</v>
      </c>
      <c r="F51" s="185">
        <f t="shared" si="1"/>
        <v>10.473541076509484</v>
      </c>
      <c r="G51" s="208" t="str">
        <f t="shared" si="2"/>
        <v>||||||||||</v>
      </c>
      <c r="H51" s="186"/>
      <c r="I51" s="183" t="s">
        <v>80</v>
      </c>
      <c r="L51" s="188"/>
    </row>
    <row r="52" spans="2:13" s="187" customFormat="1" ht="13.8">
      <c r="B52" s="182"/>
      <c r="C52" s="14" t="s">
        <v>31</v>
      </c>
      <c r="D52" s="196">
        <f>[2]Summary_September_12!$B$47</f>
        <v>9.5212454842594187</v>
      </c>
      <c r="E52" s="184">
        <f>[2]Summary_September_12!$D$47</f>
        <v>11.020338983050847</v>
      </c>
      <c r="F52" s="185">
        <f t="shared" si="1"/>
        <v>10.270792233655133</v>
      </c>
      <c r="G52" s="208" t="str">
        <f t="shared" si="2"/>
        <v>||||||||||</v>
      </c>
      <c r="H52" s="186"/>
      <c r="I52" s="183" t="s">
        <v>31</v>
      </c>
      <c r="L52" s="188"/>
    </row>
    <row r="53" spans="2:13" s="187" customFormat="1" ht="13.8">
      <c r="B53" s="182"/>
      <c r="C53" s="14" t="s">
        <v>38</v>
      </c>
      <c r="D53" s="196">
        <f>'[2]Summary_October_12 '!$B$47</f>
        <v>10.445090121146459</v>
      </c>
      <c r="E53" s="184">
        <f>'[2]Summary_October_12 '!$D$47</f>
        <v>10.50199203187251</v>
      </c>
      <c r="F53" s="185">
        <f t="shared" si="1"/>
        <v>10.473541076509484</v>
      </c>
      <c r="G53" s="208" t="str">
        <f t="shared" si="2"/>
        <v>||||||||||</v>
      </c>
      <c r="H53" s="186"/>
      <c r="I53" s="183" t="s">
        <v>49</v>
      </c>
      <c r="L53" s="188"/>
    </row>
    <row r="54" spans="2:13" s="187" customFormat="1" ht="13.8">
      <c r="B54" s="182"/>
      <c r="C54" s="14" t="s">
        <v>39</v>
      </c>
      <c r="D54" s="196">
        <f>'[2]Summary November12'!$B$47</f>
        <v>8.9084421704591357</v>
      </c>
      <c r="E54" s="184">
        <f>'[2]Summary November12'!$D$47</f>
        <v>9.0222222222222221</v>
      </c>
      <c r="F54" s="185">
        <f>(D54+E54)/2</f>
        <v>8.9653321963406789</v>
      </c>
      <c r="G54" s="208" t="str">
        <f>REPT("|",F54)</f>
        <v>||||||||</v>
      </c>
      <c r="H54" s="186"/>
      <c r="I54" s="183"/>
      <c r="L54" s="188"/>
    </row>
    <row r="55" spans="2:13" s="187" customFormat="1" ht="15.6">
      <c r="B55" s="197"/>
      <c r="C55" s="198"/>
      <c r="D55" s="199"/>
      <c r="E55" s="200"/>
      <c r="F55" s="200"/>
      <c r="G55" s="201"/>
      <c r="H55" s="202"/>
      <c r="I55" s="203"/>
    </row>
    <row r="56" spans="2:13" ht="10.8">
      <c r="B56" s="112" t="s">
        <v>82</v>
      </c>
      <c r="C56" s="113" t="s">
        <v>125</v>
      </c>
      <c r="D56" s="135"/>
      <c r="E56" s="135"/>
      <c r="L56" s="128"/>
      <c r="M56" s="129"/>
    </row>
    <row r="57" spans="2:13" ht="10.8">
      <c r="B57" s="138" t="s">
        <v>154</v>
      </c>
      <c r="C57" s="135"/>
      <c r="E57" s="112" t="s">
        <v>140</v>
      </c>
      <c r="H57" s="55"/>
      <c r="I57" s="127"/>
    </row>
    <row r="58" spans="2:13" s="117" customFormat="1" ht="10.8">
      <c r="B58" s="139" t="s">
        <v>149</v>
      </c>
      <c r="C58" s="141"/>
      <c r="E58" s="115" t="s">
        <v>141</v>
      </c>
      <c r="F58" s="142"/>
      <c r="I58" s="126"/>
    </row>
    <row r="59" spans="2:13" ht="10.8">
      <c r="B59" s="140" t="s">
        <v>153</v>
      </c>
      <c r="C59" s="135"/>
      <c r="E59" s="115" t="s">
        <v>142</v>
      </c>
      <c r="H59" s="55"/>
      <c r="I59" s="127"/>
    </row>
    <row r="60" spans="2:13" ht="10.8">
      <c r="B60" s="139" t="s">
        <v>150</v>
      </c>
      <c r="C60" s="135"/>
      <c r="E60" s="115" t="s">
        <v>143</v>
      </c>
      <c r="H60" s="55"/>
      <c r="I60" s="127"/>
    </row>
    <row r="61" spans="2:13" ht="10.8">
      <c r="B61" s="139" t="s">
        <v>152</v>
      </c>
      <c r="C61" s="135"/>
      <c r="E61" s="115" t="s">
        <v>144</v>
      </c>
      <c r="H61" s="55"/>
      <c r="I61" s="127"/>
    </row>
    <row r="62" spans="2:13" ht="10.8">
      <c r="B62" s="116"/>
      <c r="C62" s="115"/>
      <c r="D62" s="135"/>
      <c r="E62" s="135"/>
    </row>
    <row r="77" spans="5:8">
      <c r="E77" s="136"/>
      <c r="H77" s="55"/>
    </row>
    <row r="79" spans="5:8">
      <c r="H79" s="55"/>
    </row>
    <row r="81" spans="4:8" ht="13.2">
      <c r="D81" s="137"/>
      <c r="H81" s="55"/>
    </row>
    <row r="82" spans="4:8" ht="13.2">
      <c r="D82" s="137"/>
      <c r="H82" s="55"/>
    </row>
    <row r="83" spans="4:8" ht="13.2">
      <c r="D83" s="137"/>
      <c r="H83" s="55"/>
    </row>
    <row r="84" spans="4:8" ht="13.2">
      <c r="D84" s="137"/>
      <c r="H84" s="55"/>
    </row>
    <row r="85" spans="4:8" ht="13.2">
      <c r="D85" s="137"/>
      <c r="H85" s="55"/>
    </row>
    <row r="86" spans="4:8" ht="13.2">
      <c r="D86" s="137"/>
      <c r="H86" s="55"/>
    </row>
    <row r="87" spans="4:8" ht="13.2">
      <c r="D87" s="137"/>
      <c r="H87" s="55"/>
    </row>
    <row r="88" spans="4:8" ht="13.2">
      <c r="D88" s="137"/>
      <c r="H88" s="55"/>
    </row>
    <row r="89" spans="4:8" ht="13.2">
      <c r="D89" s="137"/>
      <c r="H89" s="55"/>
    </row>
    <row r="92" spans="4:8" ht="13.2">
      <c r="D92" s="137"/>
      <c r="H92" s="55"/>
    </row>
    <row r="93" spans="4:8" ht="13.2">
      <c r="D93" s="137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4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0" customWidth="1"/>
    <col min="7" max="7" width="21.5546875" style="55" customWidth="1"/>
    <col min="8" max="8" width="6.88671875" style="124" customWidth="1"/>
    <col min="9" max="9" width="6.5546875" style="55" customWidth="1"/>
    <col min="10" max="16384" width="9.109375" style="55"/>
  </cols>
  <sheetData>
    <row r="4" spans="2:16" ht="15.6">
      <c r="B4" s="106" t="s">
        <v>156</v>
      </c>
      <c r="C4" s="106"/>
      <c r="D4" s="131"/>
      <c r="E4" s="131"/>
      <c r="F4" s="132"/>
      <c r="G4" s="108"/>
    </row>
    <row r="5" spans="2:16" ht="15.6">
      <c r="B5" s="106" t="s">
        <v>151</v>
      </c>
      <c r="C5" s="106"/>
      <c r="D5" s="166"/>
      <c r="E5" s="166"/>
      <c r="F5" s="167"/>
      <c r="G5" s="108"/>
      <c r="H5" s="124" t="s">
        <v>132</v>
      </c>
    </row>
    <row r="6" spans="2:16">
      <c r="B6" s="109"/>
      <c r="C6" s="109"/>
      <c r="D6" s="133"/>
      <c r="E6" s="134"/>
      <c r="F6" s="134"/>
    </row>
    <row r="7" spans="2:16" s="87" customFormat="1" ht="13.2">
      <c r="B7" s="950" t="s">
        <v>73</v>
      </c>
      <c r="C7" s="948" t="s">
        <v>115</v>
      </c>
      <c r="D7" s="954" t="s">
        <v>157</v>
      </c>
      <c r="E7" s="954"/>
      <c r="F7" s="954"/>
      <c r="G7" s="169"/>
      <c r="H7" s="955" t="s">
        <v>74</v>
      </c>
      <c r="I7" s="946" t="s">
        <v>116</v>
      </c>
    </row>
    <row r="8" spans="2:16" s="87" customFormat="1" ht="13.2">
      <c r="B8" s="957"/>
      <c r="C8" s="959"/>
      <c r="D8" s="164" t="s">
        <v>145</v>
      </c>
      <c r="E8" s="165" t="s">
        <v>146</v>
      </c>
      <c r="F8" s="165" t="s">
        <v>160</v>
      </c>
      <c r="G8" s="170" t="s">
        <v>148</v>
      </c>
      <c r="H8" s="965"/>
      <c r="I8" s="964"/>
    </row>
    <row r="9" spans="2:16" s="87" customFormat="1" ht="13.2">
      <c r="B9" s="958"/>
      <c r="C9" s="960"/>
      <c r="D9" s="162"/>
      <c r="E9" s="163"/>
      <c r="F9" s="205"/>
      <c r="G9" s="168"/>
      <c r="H9" s="966"/>
      <c r="I9" s="960"/>
    </row>
    <row r="10" spans="2:16" s="87" customFormat="1" ht="13.2" hidden="1">
      <c r="B10" s="110">
        <v>2009</v>
      </c>
      <c r="C10" s="85" t="s">
        <v>33</v>
      </c>
      <c r="D10" s="144">
        <v>0</v>
      </c>
      <c r="E10" s="145">
        <v>0</v>
      </c>
      <c r="F10" s="145">
        <f t="shared" ref="F10:F15" si="0">(D10+E10)/2</f>
        <v>0</v>
      </c>
      <c r="G10" s="146"/>
      <c r="H10" s="143">
        <v>2009</v>
      </c>
      <c r="I10" s="85" t="s">
        <v>33</v>
      </c>
      <c r="M10" s="150"/>
      <c r="P10" s="150"/>
    </row>
    <row r="11" spans="2:16" s="87" customFormat="1" ht="13.2" hidden="1">
      <c r="B11" s="110"/>
      <c r="C11" s="85" t="s">
        <v>34</v>
      </c>
      <c r="D11" s="144">
        <v>0</v>
      </c>
      <c r="E11" s="145">
        <v>0</v>
      </c>
      <c r="F11" s="145">
        <f t="shared" si="0"/>
        <v>0</v>
      </c>
      <c r="G11" s="146"/>
      <c r="H11" s="68"/>
      <c r="I11" s="85" t="s">
        <v>75</v>
      </c>
      <c r="M11" s="150"/>
      <c r="P11" s="150"/>
    </row>
    <row r="12" spans="2:16" s="87" customFormat="1" ht="13.2" hidden="1">
      <c r="B12" s="110"/>
      <c r="C12" s="85" t="s">
        <v>29</v>
      </c>
      <c r="D12" s="144">
        <v>0</v>
      </c>
      <c r="E12" s="145">
        <v>0</v>
      </c>
      <c r="F12" s="145">
        <f t="shared" si="0"/>
        <v>0</v>
      </c>
      <c r="G12" s="146"/>
      <c r="H12" s="68"/>
      <c r="I12" s="85" t="s">
        <v>29</v>
      </c>
      <c r="M12" s="150"/>
      <c r="P12" s="150"/>
    </row>
    <row r="13" spans="2:16" s="87" customFormat="1" ht="13.2" hidden="1">
      <c r="B13" s="110"/>
      <c r="C13" s="85" t="s">
        <v>35</v>
      </c>
      <c r="D13" s="144">
        <v>0</v>
      </c>
      <c r="E13" s="145">
        <v>0</v>
      </c>
      <c r="F13" s="145">
        <f t="shared" si="0"/>
        <v>0</v>
      </c>
      <c r="G13" s="146"/>
      <c r="H13" s="68"/>
      <c r="I13" s="85" t="s">
        <v>76</v>
      </c>
      <c r="M13" s="150"/>
      <c r="P13" s="150"/>
    </row>
    <row r="14" spans="2:16" s="87" customFormat="1" ht="13.2" hidden="1">
      <c r="B14" s="110"/>
      <c r="C14" s="85" t="s">
        <v>4</v>
      </c>
      <c r="D14" s="144">
        <v>0</v>
      </c>
      <c r="E14" s="145">
        <v>0</v>
      </c>
      <c r="F14" s="145">
        <f t="shared" si="0"/>
        <v>0</v>
      </c>
      <c r="G14" s="146"/>
      <c r="H14" s="68"/>
      <c r="I14" s="85" t="s">
        <v>77</v>
      </c>
      <c r="M14" s="150"/>
      <c r="P14" s="150"/>
    </row>
    <row r="15" spans="2:16" s="87" customFormat="1" ht="13.2" hidden="1">
      <c r="B15" s="110"/>
      <c r="C15" s="85" t="s">
        <v>30</v>
      </c>
      <c r="D15" s="144" t="e">
        <f>#REF!</f>
        <v>#REF!</v>
      </c>
      <c r="E15" s="144" t="e">
        <f>#REF!</f>
        <v>#REF!</v>
      </c>
      <c r="F15" s="145" t="e">
        <f t="shared" si="0"/>
        <v>#REF!</v>
      </c>
      <c r="G15" s="151" t="e">
        <f>REPT("|",F15)</f>
        <v>#REF!</v>
      </c>
      <c r="H15" s="68">
        <v>2009</v>
      </c>
      <c r="I15" s="85" t="s">
        <v>78</v>
      </c>
      <c r="M15" s="150"/>
      <c r="P15" s="150"/>
    </row>
    <row r="16" spans="2:16" s="87" customFormat="1" ht="13.2" hidden="1">
      <c r="B16" s="110"/>
      <c r="C16" s="85" t="s">
        <v>36</v>
      </c>
      <c r="D16" s="144" t="e">
        <f>#REF!</f>
        <v>#REF!</v>
      </c>
      <c r="E16" s="144" t="e">
        <f>#REF!</f>
        <v>#REF!</v>
      </c>
      <c r="F16" s="145" t="e">
        <f t="shared" ref="F16:F56" si="1">(D16+E16)/2</f>
        <v>#REF!</v>
      </c>
      <c r="G16" s="151" t="e">
        <f t="shared" ref="G16:G54" si="2">REPT("|",F16)</f>
        <v>#REF!</v>
      </c>
      <c r="H16" s="68"/>
      <c r="I16" s="85" t="s">
        <v>79</v>
      </c>
      <c r="M16" s="150"/>
      <c r="P16" s="150"/>
    </row>
    <row r="17" spans="2:16" s="87" customFormat="1" ht="13.2" hidden="1">
      <c r="B17" s="110"/>
      <c r="C17" s="85" t="s">
        <v>37</v>
      </c>
      <c r="D17" s="144" t="e">
        <f>#REF!</f>
        <v>#REF!</v>
      </c>
      <c r="E17" s="144" t="e">
        <f>#REF!</f>
        <v>#REF!</v>
      </c>
      <c r="F17" s="145" t="e">
        <f t="shared" si="1"/>
        <v>#REF!</v>
      </c>
      <c r="G17" s="151" t="e">
        <f t="shared" si="2"/>
        <v>#REF!</v>
      </c>
      <c r="H17" s="68"/>
      <c r="I17" s="85" t="s">
        <v>80</v>
      </c>
      <c r="M17" s="150"/>
      <c r="P17" s="150"/>
    </row>
    <row r="18" spans="2:16" s="87" customFormat="1" ht="13.2" hidden="1">
      <c r="B18" s="110"/>
      <c r="C18" s="85" t="s">
        <v>31</v>
      </c>
      <c r="D18" s="144" t="e">
        <f>#REF!</f>
        <v>#REF!</v>
      </c>
      <c r="E18" s="144" t="e">
        <f>#REF!</f>
        <v>#REF!</v>
      </c>
      <c r="F18" s="145" t="e">
        <f t="shared" si="1"/>
        <v>#REF!</v>
      </c>
      <c r="G18" s="151" t="e">
        <f t="shared" si="2"/>
        <v>#REF!</v>
      </c>
      <c r="H18" s="68"/>
      <c r="I18" s="85" t="s">
        <v>31</v>
      </c>
      <c r="M18" s="150"/>
      <c r="P18" s="150"/>
    </row>
    <row r="19" spans="2:16" s="87" customFormat="1" ht="13.2">
      <c r="B19" s="110">
        <v>2009</v>
      </c>
      <c r="C19" s="85" t="s">
        <v>38</v>
      </c>
      <c r="D19" s="144">
        <v>10</v>
      </c>
      <c r="E19" s="144">
        <v>8.5</v>
      </c>
      <c r="F19" s="145">
        <f t="shared" si="1"/>
        <v>9.25</v>
      </c>
      <c r="G19" s="151" t="str">
        <f t="shared" si="2"/>
        <v>|||||||||</v>
      </c>
      <c r="H19" s="68">
        <v>2009</v>
      </c>
      <c r="I19" s="85" t="s">
        <v>49</v>
      </c>
      <c r="M19" s="150"/>
      <c r="P19" s="150"/>
    </row>
    <row r="20" spans="2:16" s="87" customFormat="1" ht="13.2" hidden="1">
      <c r="B20" s="110"/>
      <c r="C20" s="85" t="s">
        <v>39</v>
      </c>
      <c r="D20" s="144" t="e">
        <f>#REF!</f>
        <v>#REF!</v>
      </c>
      <c r="E20" s="144" t="e">
        <f>#REF!</f>
        <v>#REF!</v>
      </c>
      <c r="F20" s="145" t="e">
        <f t="shared" si="1"/>
        <v>#REF!</v>
      </c>
      <c r="G20" s="151" t="e">
        <f t="shared" si="2"/>
        <v>#REF!</v>
      </c>
      <c r="H20" s="68"/>
      <c r="I20" s="85" t="s">
        <v>39</v>
      </c>
      <c r="M20" s="150"/>
      <c r="P20" s="150"/>
    </row>
    <row r="21" spans="2:16" s="87" customFormat="1" ht="13.2" hidden="1">
      <c r="B21" s="110"/>
      <c r="C21" s="85" t="s">
        <v>32</v>
      </c>
      <c r="D21" s="144" t="e">
        <f>#REF!</f>
        <v>#REF!</v>
      </c>
      <c r="E21" s="144" t="e">
        <f>#REF!</f>
        <v>#REF!</v>
      </c>
      <c r="F21" s="145" t="e">
        <f t="shared" si="1"/>
        <v>#REF!</v>
      </c>
      <c r="G21" s="151" t="e">
        <f t="shared" si="2"/>
        <v>#REF!</v>
      </c>
      <c r="H21" s="68"/>
      <c r="I21" s="85" t="s">
        <v>32</v>
      </c>
      <c r="M21" s="150"/>
      <c r="P21" s="150"/>
    </row>
    <row r="22" spans="2:16" s="87" customFormat="1" ht="13.2" hidden="1">
      <c r="B22" s="110">
        <v>2010</v>
      </c>
      <c r="C22" s="85" t="s">
        <v>33</v>
      </c>
      <c r="D22" s="144" t="e">
        <f>#REF!</f>
        <v>#REF!</v>
      </c>
      <c r="E22" s="144" t="e">
        <f>#REF!</f>
        <v>#REF!</v>
      </c>
      <c r="F22" s="145" t="e">
        <f t="shared" si="1"/>
        <v>#REF!</v>
      </c>
      <c r="G22" s="151" t="e">
        <f t="shared" si="2"/>
        <v>#REF!</v>
      </c>
      <c r="H22" s="68">
        <v>2010</v>
      </c>
      <c r="I22" s="85" t="s">
        <v>33</v>
      </c>
      <c r="M22" s="150"/>
      <c r="P22" s="150"/>
    </row>
    <row r="23" spans="2:16" s="87" customFormat="1" ht="13.2" hidden="1">
      <c r="B23" s="110"/>
      <c r="C23" s="85" t="s">
        <v>34</v>
      </c>
      <c r="D23" s="144" t="e">
        <f>#REF!</f>
        <v>#REF!</v>
      </c>
      <c r="E23" s="144" t="e">
        <f>#REF!</f>
        <v>#REF!</v>
      </c>
      <c r="F23" s="145" t="e">
        <f t="shared" si="1"/>
        <v>#REF!</v>
      </c>
      <c r="G23" s="151" t="e">
        <f t="shared" si="2"/>
        <v>#REF!</v>
      </c>
      <c r="H23" s="68"/>
      <c r="I23" s="85" t="s">
        <v>75</v>
      </c>
      <c r="M23" s="150"/>
      <c r="P23" s="150"/>
    </row>
    <row r="24" spans="2:16" s="87" customFormat="1" ht="13.2" hidden="1">
      <c r="B24" s="110"/>
      <c r="C24" s="85" t="s">
        <v>29</v>
      </c>
      <c r="D24" s="144" t="e">
        <f>#REF!</f>
        <v>#REF!</v>
      </c>
      <c r="E24" s="144" t="e">
        <f>#REF!</f>
        <v>#REF!</v>
      </c>
      <c r="F24" s="145" t="e">
        <f t="shared" si="1"/>
        <v>#REF!</v>
      </c>
      <c r="G24" s="151" t="e">
        <f t="shared" si="2"/>
        <v>#REF!</v>
      </c>
      <c r="H24" s="68"/>
      <c r="I24" s="85" t="s">
        <v>29</v>
      </c>
      <c r="M24" s="150"/>
      <c r="P24" s="150"/>
    </row>
    <row r="25" spans="2:16" s="87" customFormat="1" ht="13.2" hidden="1">
      <c r="B25" s="110"/>
      <c r="C25" s="85" t="s">
        <v>35</v>
      </c>
      <c r="D25" s="144" t="e">
        <f>#REF!</f>
        <v>#REF!</v>
      </c>
      <c r="E25" s="144" t="e">
        <f>#REF!</f>
        <v>#REF!</v>
      </c>
      <c r="F25" s="145" t="e">
        <f t="shared" si="1"/>
        <v>#REF!</v>
      </c>
      <c r="G25" s="151" t="e">
        <f t="shared" si="2"/>
        <v>#REF!</v>
      </c>
      <c r="H25" s="68"/>
      <c r="I25" s="85" t="s">
        <v>76</v>
      </c>
      <c r="M25" s="150"/>
      <c r="P25" s="150"/>
    </row>
    <row r="26" spans="2:16" s="87" customFormat="1" ht="13.2" hidden="1">
      <c r="B26" s="110"/>
      <c r="C26" s="85" t="s">
        <v>4</v>
      </c>
      <c r="D26" s="144" t="e">
        <f>#REF!</f>
        <v>#REF!</v>
      </c>
      <c r="E26" s="144" t="e">
        <f>#REF!</f>
        <v>#REF!</v>
      </c>
      <c r="F26" s="145" t="e">
        <f t="shared" si="1"/>
        <v>#REF!</v>
      </c>
      <c r="G26" s="151" t="e">
        <f t="shared" si="2"/>
        <v>#REF!</v>
      </c>
      <c r="H26" s="68"/>
      <c r="I26" s="85" t="s">
        <v>77</v>
      </c>
      <c r="M26" s="150"/>
      <c r="P26" s="150"/>
    </row>
    <row r="27" spans="2:16" s="87" customFormat="1" ht="13.2" hidden="1">
      <c r="B27" s="110"/>
      <c r="C27" s="85" t="s">
        <v>30</v>
      </c>
      <c r="D27" s="144" t="e">
        <f>#REF!</f>
        <v>#REF!</v>
      </c>
      <c r="E27" s="144" t="e">
        <f>#REF!</f>
        <v>#REF!</v>
      </c>
      <c r="F27" s="145" t="e">
        <f t="shared" si="1"/>
        <v>#REF!</v>
      </c>
      <c r="G27" s="151" t="e">
        <f t="shared" si="2"/>
        <v>#REF!</v>
      </c>
      <c r="H27" s="68">
        <v>2010</v>
      </c>
      <c r="I27" s="85" t="s">
        <v>78</v>
      </c>
      <c r="M27" s="150"/>
      <c r="P27" s="150"/>
    </row>
    <row r="28" spans="2:16" s="87" customFormat="1" ht="13.2" hidden="1">
      <c r="B28" s="110"/>
      <c r="C28" s="85" t="s">
        <v>36</v>
      </c>
      <c r="D28" s="144" t="e">
        <f>#REF!</f>
        <v>#REF!</v>
      </c>
      <c r="E28" s="144" t="e">
        <f>#REF!</f>
        <v>#REF!</v>
      </c>
      <c r="F28" s="145" t="e">
        <f t="shared" si="1"/>
        <v>#REF!</v>
      </c>
      <c r="G28" s="151" t="e">
        <f t="shared" si="2"/>
        <v>#REF!</v>
      </c>
      <c r="H28" s="68"/>
      <c r="I28" s="85" t="s">
        <v>79</v>
      </c>
      <c r="M28" s="150"/>
      <c r="P28" s="150"/>
    </row>
    <row r="29" spans="2:16" s="87" customFormat="1" ht="13.2" hidden="1">
      <c r="B29" s="110"/>
      <c r="C29" s="85" t="s">
        <v>37</v>
      </c>
      <c r="D29" s="144" t="e">
        <f>#REF!</f>
        <v>#REF!</v>
      </c>
      <c r="E29" s="144" t="e">
        <f>#REF!</f>
        <v>#REF!</v>
      </c>
      <c r="F29" s="145" t="e">
        <f t="shared" si="1"/>
        <v>#REF!</v>
      </c>
      <c r="G29" s="151" t="e">
        <f t="shared" si="2"/>
        <v>#REF!</v>
      </c>
      <c r="H29" s="68"/>
      <c r="I29" s="85" t="s">
        <v>80</v>
      </c>
      <c r="K29" s="152"/>
      <c r="L29" s="153"/>
      <c r="M29" s="150"/>
      <c r="P29" s="150"/>
    </row>
    <row r="30" spans="2:16" s="87" customFormat="1" ht="13.2" hidden="1">
      <c r="B30" s="110"/>
      <c r="C30" s="85" t="s">
        <v>31</v>
      </c>
      <c r="D30" s="144" t="e">
        <f>#REF!</f>
        <v>#REF!</v>
      </c>
      <c r="E30" s="144" t="e">
        <f>#REF!</f>
        <v>#REF!</v>
      </c>
      <c r="F30" s="145" t="e">
        <f t="shared" si="1"/>
        <v>#REF!</v>
      </c>
      <c r="G30" s="151" t="e">
        <f t="shared" si="2"/>
        <v>#REF!</v>
      </c>
      <c r="H30" s="68"/>
      <c r="I30" s="85" t="s">
        <v>31</v>
      </c>
      <c r="K30" s="154"/>
      <c r="M30" s="150"/>
      <c r="P30" s="150"/>
    </row>
    <row r="31" spans="2:16" s="87" customFormat="1" ht="13.2">
      <c r="B31" s="110">
        <v>2010</v>
      </c>
      <c r="C31" s="85" t="s">
        <v>38</v>
      </c>
      <c r="D31" s="144">
        <v>11</v>
      </c>
      <c r="E31" s="144">
        <v>10</v>
      </c>
      <c r="F31" s="145">
        <f t="shared" si="1"/>
        <v>10.5</v>
      </c>
      <c r="G31" s="151" t="str">
        <f t="shared" si="2"/>
        <v>||||||||||</v>
      </c>
      <c r="H31" s="68">
        <v>2010</v>
      </c>
      <c r="I31" s="85" t="s">
        <v>49</v>
      </c>
      <c r="K31" s="152"/>
      <c r="M31" s="150"/>
      <c r="P31" s="150"/>
    </row>
    <row r="32" spans="2:16" s="87" customFormat="1" ht="13.2" hidden="1">
      <c r="B32" s="155"/>
      <c r="C32" s="85" t="s">
        <v>39</v>
      </c>
      <c r="D32" s="144" t="e">
        <f>#REF!</f>
        <v>#REF!</v>
      </c>
      <c r="E32" s="144" t="e">
        <f>#REF!</f>
        <v>#REF!</v>
      </c>
      <c r="F32" s="145" t="e">
        <f t="shared" si="1"/>
        <v>#REF!</v>
      </c>
      <c r="G32" s="151" t="e">
        <f t="shared" si="2"/>
        <v>#REF!</v>
      </c>
      <c r="H32" s="68"/>
      <c r="I32" s="85" t="s">
        <v>39</v>
      </c>
      <c r="K32" s="152"/>
      <c r="M32" s="150"/>
      <c r="P32" s="150"/>
    </row>
    <row r="33" spans="2:16" s="87" customFormat="1" ht="13.2" hidden="1">
      <c r="B33" s="110"/>
      <c r="C33" s="85" t="s">
        <v>32</v>
      </c>
      <c r="D33" s="144" t="e">
        <f>#REF!</f>
        <v>#REF!</v>
      </c>
      <c r="E33" s="144" t="e">
        <f>#REF!</f>
        <v>#REF!</v>
      </c>
      <c r="F33" s="145" t="e">
        <f t="shared" si="1"/>
        <v>#REF!</v>
      </c>
      <c r="G33" s="151" t="e">
        <f t="shared" si="2"/>
        <v>#REF!</v>
      </c>
      <c r="H33" s="68"/>
      <c r="I33" s="85" t="s">
        <v>32</v>
      </c>
      <c r="K33" s="152"/>
      <c r="M33" s="150"/>
      <c r="P33" s="150"/>
    </row>
    <row r="34" spans="2:16" s="87" customFormat="1" ht="13.2">
      <c r="B34" s="110">
        <v>2011</v>
      </c>
      <c r="C34" s="85" t="s">
        <v>33</v>
      </c>
      <c r="D34" s="144">
        <v>8.6</v>
      </c>
      <c r="E34" s="144">
        <v>9.4</v>
      </c>
      <c r="F34" s="145">
        <f t="shared" si="1"/>
        <v>9</v>
      </c>
      <c r="G34" s="151" t="str">
        <f t="shared" si="2"/>
        <v>|||||||||</v>
      </c>
      <c r="H34" s="68">
        <v>2011</v>
      </c>
      <c r="I34" s="85" t="s">
        <v>33</v>
      </c>
      <c r="K34" s="152"/>
      <c r="L34" s="156"/>
      <c r="M34" s="150"/>
      <c r="P34" s="150"/>
    </row>
    <row r="35" spans="2:16" s="87" customFormat="1" ht="13.2">
      <c r="B35" s="110"/>
      <c r="C35" s="85" t="s">
        <v>34</v>
      </c>
      <c r="D35" s="144">
        <f>[1]Feb!$B$48</f>
        <v>35.361950649729771</v>
      </c>
      <c r="E35" s="144">
        <f>[1]Feb!$D$48</f>
        <v>43.471264367816097</v>
      </c>
      <c r="F35" s="145">
        <f t="shared" si="1"/>
        <v>39.416607508772934</v>
      </c>
      <c r="G35" s="151" t="str">
        <f t="shared" si="2"/>
        <v>|||||||||||||||||||||||||||||||||||||||</v>
      </c>
      <c r="H35" s="68"/>
      <c r="I35" s="118" t="s">
        <v>75</v>
      </c>
      <c r="K35" s="152"/>
      <c r="M35" s="150"/>
      <c r="P35" s="150"/>
    </row>
    <row r="36" spans="2:16" s="87" customFormat="1" ht="13.2">
      <c r="B36" s="110"/>
      <c r="C36" s="85" t="s">
        <v>29</v>
      </c>
      <c r="D36" s="144">
        <f>[1]Mar!$B$48</f>
        <v>41.044335907920683</v>
      </c>
      <c r="E36" s="144">
        <f>[1]Mar!$D$48</f>
        <v>45.301971330000001</v>
      </c>
      <c r="F36" s="145">
        <f t="shared" si="1"/>
        <v>43.173153618960342</v>
      </c>
      <c r="G36" s="151" t="str">
        <f t="shared" si="2"/>
        <v>|||||||||||||||||||||||||||||||||||||||||||</v>
      </c>
      <c r="H36" s="68"/>
      <c r="I36" s="85" t="s">
        <v>29</v>
      </c>
      <c r="M36" s="150"/>
      <c r="P36" s="150"/>
    </row>
    <row r="37" spans="2:16" s="87" customFormat="1" ht="13.2">
      <c r="B37" s="110"/>
      <c r="C37" s="85" t="s">
        <v>35</v>
      </c>
      <c r="D37" s="144">
        <f>[1]April!$B$48</f>
        <v>37.029868535105358</v>
      </c>
      <c r="E37" s="144">
        <f>[1]April!$D$48</f>
        <v>21.873234462999999</v>
      </c>
      <c r="F37" s="145">
        <f t="shared" si="1"/>
        <v>29.451551499052677</v>
      </c>
      <c r="G37" s="151" t="str">
        <f t="shared" si="2"/>
        <v>|||||||||||||||||||||||||||||</v>
      </c>
      <c r="H37" s="68"/>
      <c r="I37" s="85" t="s">
        <v>35</v>
      </c>
    </row>
    <row r="38" spans="2:16" s="87" customFormat="1" ht="13.2">
      <c r="B38" s="110"/>
      <c r="C38" s="85" t="s">
        <v>4</v>
      </c>
      <c r="D38" s="144">
        <f>[1]May!$B$48</f>
        <v>40.932354196681018</v>
      </c>
      <c r="E38" s="144">
        <f>[1]May!$D$48</f>
        <v>47.169627749577025</v>
      </c>
      <c r="F38" s="145">
        <f t="shared" si="1"/>
        <v>44.050990973129018</v>
      </c>
      <c r="G38" s="151" t="str">
        <f t="shared" si="2"/>
        <v>||||||||||||||||||||||||||||||||||||||||||||</v>
      </c>
      <c r="H38" s="68"/>
      <c r="I38" s="85" t="s">
        <v>77</v>
      </c>
    </row>
    <row r="39" spans="2:16" s="87" customFormat="1" ht="13.2">
      <c r="B39" s="155"/>
      <c r="C39" s="85" t="s">
        <v>30</v>
      </c>
      <c r="D39" s="144">
        <f>[1]June!$B$48</f>
        <v>39.819292058516268</v>
      </c>
      <c r="E39" s="144">
        <f>[1]June!$D$48</f>
        <v>39.38805031446541</v>
      </c>
      <c r="F39" s="145">
        <f t="shared" si="1"/>
        <v>39.603671186490843</v>
      </c>
      <c r="G39" s="151" t="str">
        <f t="shared" si="2"/>
        <v>|||||||||||||||||||||||||||||||||||||||</v>
      </c>
      <c r="H39" s="68"/>
      <c r="I39" s="85" t="s">
        <v>78</v>
      </c>
    </row>
    <row r="40" spans="2:16" s="87" customFormat="1" ht="13.2">
      <c r="B40" s="155"/>
      <c r="C40" s="85" t="s">
        <v>36</v>
      </c>
      <c r="D40" s="144">
        <f>[1]July!$B$48</f>
        <v>38.320328246472741</v>
      </c>
      <c r="E40" s="144">
        <f>[1]July!$D$48</f>
        <v>41.545967741935499</v>
      </c>
      <c r="F40" s="145">
        <f t="shared" si="1"/>
        <v>39.93314799420412</v>
      </c>
      <c r="G40" s="151" t="str">
        <f t="shared" si="2"/>
        <v>|||||||||||||||||||||||||||||||||||||||</v>
      </c>
      <c r="H40" s="68"/>
      <c r="I40" s="85" t="s">
        <v>79</v>
      </c>
    </row>
    <row r="41" spans="2:16" s="87" customFormat="1" ht="13.2">
      <c r="B41" s="155"/>
      <c r="C41" s="85" t="s">
        <v>37</v>
      </c>
      <c r="D41" s="144">
        <f>[1]August!$B$48</f>
        <v>41.350063028993262</v>
      </c>
      <c r="E41" s="144">
        <f>[1]August!$D$48</f>
        <v>36.702316076294302</v>
      </c>
      <c r="F41" s="145">
        <f t="shared" si="1"/>
        <v>39.026189552643785</v>
      </c>
      <c r="G41" s="151" t="str">
        <f t="shared" si="2"/>
        <v>|||||||||||||||||||||||||||||||||||||||</v>
      </c>
      <c r="H41" s="68"/>
      <c r="I41" s="85" t="s">
        <v>80</v>
      </c>
    </row>
    <row r="42" spans="2:16" s="87" customFormat="1" ht="13.2">
      <c r="B42" s="155"/>
      <c r="C42" s="85" t="s">
        <v>31</v>
      </c>
      <c r="D42" s="144">
        <f>[1]September!$B$48</f>
        <v>38.641747256329452</v>
      </c>
      <c r="E42" s="144">
        <f>[1]September!$D$48</f>
        <v>43.148445092322625</v>
      </c>
      <c r="F42" s="145">
        <f t="shared" si="1"/>
        <v>40.895096174326042</v>
      </c>
      <c r="G42" s="151" t="str">
        <f t="shared" si="2"/>
        <v>||||||||||||||||||||||||||||||||||||||||</v>
      </c>
      <c r="H42" s="68"/>
      <c r="I42" s="85" t="s">
        <v>31</v>
      </c>
    </row>
    <row r="43" spans="2:16" s="87" customFormat="1" ht="13.2">
      <c r="B43" s="155"/>
      <c r="C43" s="85" t="s">
        <v>38</v>
      </c>
      <c r="D43" s="144">
        <f>[1]October!$B$49</f>
        <v>39.162786290000753</v>
      </c>
      <c r="E43" s="144">
        <f>[1]October!$D$49</f>
        <v>40.704946996466418</v>
      </c>
      <c r="F43" s="145">
        <f t="shared" si="1"/>
        <v>39.933866643233586</v>
      </c>
      <c r="G43" s="151" t="str">
        <f t="shared" si="2"/>
        <v>|||||||||||||||||||||||||||||||||||||||</v>
      </c>
      <c r="H43" s="68"/>
      <c r="I43" s="85" t="s">
        <v>49</v>
      </c>
    </row>
    <row r="44" spans="2:16" s="87" customFormat="1" ht="13.2">
      <c r="B44" s="155"/>
      <c r="C44" s="85" t="s">
        <v>39</v>
      </c>
      <c r="D44" s="144">
        <f>[1]November!$B$48</f>
        <v>38.705675687927716</v>
      </c>
      <c r="E44" s="144">
        <f>[1]November!$D$48</f>
        <v>36.783499450000001</v>
      </c>
      <c r="F44" s="145">
        <f t="shared" si="1"/>
        <v>37.744587568963858</v>
      </c>
      <c r="G44" s="151" t="str">
        <f t="shared" si="2"/>
        <v>|||||||||||||||||||||||||||||||||||||</v>
      </c>
      <c r="H44" s="68"/>
      <c r="I44" s="85" t="s">
        <v>39</v>
      </c>
      <c r="N44" s="157"/>
    </row>
    <row r="45" spans="2:16" s="87" customFormat="1" ht="13.2">
      <c r="B45" s="155"/>
      <c r="C45" s="85" t="s">
        <v>32</v>
      </c>
      <c r="D45" s="144">
        <f>[1]December!$B$48</f>
        <v>44.759191180000002</v>
      </c>
      <c r="E45" s="144">
        <f>[1]December!$D$48</f>
        <v>36.954372620000001</v>
      </c>
      <c r="F45" s="145">
        <f t="shared" si="1"/>
        <v>40.856781900000001</v>
      </c>
      <c r="G45" s="151" t="str">
        <f t="shared" si="2"/>
        <v>||||||||||||||||||||||||||||||||||||||||</v>
      </c>
      <c r="H45" s="68"/>
      <c r="I45" s="85" t="s">
        <v>81</v>
      </c>
    </row>
    <row r="46" spans="2:16" s="87" customFormat="1" ht="13.2">
      <c r="B46" s="110">
        <v>2012</v>
      </c>
      <c r="C46" s="71" t="s">
        <v>33</v>
      </c>
      <c r="D46" s="144">
        <f>[2]Summary_Jan_12!$B$48</f>
        <v>33.99899543379005</v>
      </c>
      <c r="E46" s="144">
        <f>[2]Summary_Jan_12!$D$48</f>
        <v>36.500508130081307</v>
      </c>
      <c r="F46" s="145">
        <f t="shared" si="1"/>
        <v>35.249751781935679</v>
      </c>
      <c r="G46" s="151" t="str">
        <f t="shared" si="2"/>
        <v>|||||||||||||||||||||||||||||||||||</v>
      </c>
      <c r="H46" s="68">
        <v>2012</v>
      </c>
      <c r="I46" s="85" t="s">
        <v>33</v>
      </c>
    </row>
    <row r="47" spans="2:16" s="87" customFormat="1" ht="13.2">
      <c r="B47" s="110"/>
      <c r="C47" s="71" t="s">
        <v>34</v>
      </c>
      <c r="D47" s="144">
        <f>'[2]Summary_Feb_12 '!$B$48</f>
        <v>38.742467149977415</v>
      </c>
      <c r="E47" s="144">
        <f>'[2]Summary_Feb_12 '!$D$48</f>
        <v>45.933908045977006</v>
      </c>
      <c r="F47" s="145">
        <f t="shared" si="1"/>
        <v>42.33818759797721</v>
      </c>
      <c r="G47" s="151" t="str">
        <f t="shared" si="2"/>
        <v>||||||||||||||||||||||||||||||||||||||||||</v>
      </c>
      <c r="H47" s="68"/>
      <c r="I47" s="118" t="s">
        <v>75</v>
      </c>
    </row>
    <row r="48" spans="2:16" s="87" customFormat="1" ht="13.2">
      <c r="B48" s="110"/>
      <c r="C48" s="71" t="s">
        <v>29</v>
      </c>
      <c r="D48" s="144">
        <f>[2]Summary_Mar_12!$B$48</f>
        <v>38.041463414634229</v>
      </c>
      <c r="E48" s="144">
        <f>[2]Summary_Mar_12!$D$48</f>
        <v>42.915794066317595</v>
      </c>
      <c r="F48" s="145">
        <f t="shared" si="1"/>
        <v>40.478628740475912</v>
      </c>
      <c r="G48" s="151" t="str">
        <f t="shared" si="2"/>
        <v>||||||||||||||||||||||||||||||||||||||||</v>
      </c>
      <c r="H48" s="68"/>
      <c r="I48" s="118" t="s">
        <v>29</v>
      </c>
    </row>
    <row r="49" spans="2:13" s="87" customFormat="1" ht="13.2">
      <c r="B49" s="110"/>
      <c r="C49" s="71" t="s">
        <v>35</v>
      </c>
      <c r="D49" s="144">
        <f>'[2]Summary_Apr_12 '!$B$48</f>
        <v>38.041463414634229</v>
      </c>
      <c r="E49" s="144">
        <f>'[2]Summary_Apr_12 '!$D$48</f>
        <v>42.915794066317595</v>
      </c>
      <c r="F49" s="145">
        <f t="shared" si="1"/>
        <v>40.478628740475912</v>
      </c>
      <c r="G49" s="151" t="str">
        <f t="shared" si="2"/>
        <v>||||||||||||||||||||||||||||||||||||||||</v>
      </c>
      <c r="H49" s="68"/>
      <c r="I49" s="118" t="s">
        <v>76</v>
      </c>
      <c r="M49" s="157"/>
    </row>
    <row r="50" spans="2:13" s="87" customFormat="1" ht="13.2">
      <c r="B50" s="110"/>
      <c r="C50" s="71" t="s">
        <v>4</v>
      </c>
      <c r="D50" s="144">
        <f>[2]Summary_May_12!$B$48</f>
        <v>39.728626126126258</v>
      </c>
      <c r="E50" s="144">
        <f>[2]Summary_May_12!$D$48</f>
        <v>53.269406392694059</v>
      </c>
      <c r="F50" s="145">
        <f t="shared" si="1"/>
        <v>46.499016259410155</v>
      </c>
      <c r="G50" s="151" t="str">
        <f t="shared" si="2"/>
        <v>||||||||||||||||||||||||||||||||||||||||||||||</v>
      </c>
      <c r="H50" s="68"/>
      <c r="I50" s="85" t="s">
        <v>77</v>
      </c>
      <c r="M50" s="156"/>
    </row>
    <row r="51" spans="2:13" s="87" customFormat="1" ht="13.2">
      <c r="B51" s="110"/>
      <c r="C51" s="71" t="s">
        <v>30</v>
      </c>
      <c r="D51" s="147">
        <f>[2]Summary_June_12!$B$48</f>
        <v>37.873919185729989</v>
      </c>
      <c r="E51" s="144">
        <f>[2]Summary_June_12!$D$48</f>
        <v>29.739583333333339</v>
      </c>
      <c r="F51" s="145">
        <f t="shared" si="1"/>
        <v>33.806751259531666</v>
      </c>
      <c r="G51" s="151" t="str">
        <f t="shared" si="2"/>
        <v>|||||||||||||||||||||||||||||||||</v>
      </c>
      <c r="H51" s="68"/>
      <c r="I51" s="85" t="s">
        <v>78</v>
      </c>
    </row>
    <row r="52" spans="2:13" s="87" customFormat="1" ht="13.2">
      <c r="B52" s="110"/>
      <c r="C52" s="71" t="s">
        <v>36</v>
      </c>
      <c r="D52" s="147">
        <f>[2]Summary_July_12!$B$48</f>
        <v>38.410779103870915</v>
      </c>
      <c r="E52" s="144">
        <f>[2]Summary_July_12!$D$48</f>
        <v>40.977176220806776</v>
      </c>
      <c r="F52" s="145">
        <f t="shared" si="1"/>
        <v>39.693977662338845</v>
      </c>
      <c r="G52" s="151" t="str">
        <f t="shared" si="2"/>
        <v>|||||||||||||||||||||||||||||||||||||||</v>
      </c>
      <c r="H52" s="68"/>
      <c r="I52" s="85" t="s">
        <v>79</v>
      </c>
    </row>
    <row r="53" spans="2:13" s="87" customFormat="1" ht="13.2">
      <c r="B53" s="110"/>
      <c r="C53" s="12" t="s">
        <v>37</v>
      </c>
      <c r="D53" s="147">
        <f>'[2]Summary_August_12 '!$B$48</f>
        <v>41.545426188600025</v>
      </c>
      <c r="E53" s="144">
        <f>'[2]Summary_August_12 '!$D$48</f>
        <v>46.486719787516584</v>
      </c>
      <c r="F53" s="145">
        <f t="shared" si="1"/>
        <v>44.016072988058305</v>
      </c>
      <c r="G53" s="151" t="str">
        <f t="shared" si="2"/>
        <v>||||||||||||||||||||||||||||||||||||||||||||</v>
      </c>
      <c r="H53" s="68"/>
      <c r="I53" s="85" t="s">
        <v>37</v>
      </c>
      <c r="L53" s="150"/>
    </row>
    <row r="54" spans="2:13" s="87" customFormat="1" ht="13.2">
      <c r="B54" s="110"/>
      <c r="C54" s="12" t="s">
        <v>31</v>
      </c>
      <c r="D54" s="147">
        <f>[2]Summary_September_12!$B$48</f>
        <v>36.486604709864245</v>
      </c>
      <c r="E54" s="144">
        <f>[2]Summary_September_12!$D$48</f>
        <v>38.279096045197754</v>
      </c>
      <c r="F54" s="145">
        <f t="shared" si="1"/>
        <v>37.382850377531</v>
      </c>
      <c r="G54" s="151" t="str">
        <f t="shared" si="2"/>
        <v>|||||||||||||||||||||||||||||||||||||</v>
      </c>
      <c r="H54" s="68"/>
      <c r="I54" s="85" t="s">
        <v>31</v>
      </c>
      <c r="L54" s="150"/>
    </row>
    <row r="55" spans="2:13" s="87" customFormat="1" ht="13.2">
      <c r="B55" s="110"/>
      <c r="C55" s="12" t="s">
        <v>38</v>
      </c>
      <c r="D55" s="147">
        <f>'[2]Summary_October_12 '!$B$48</f>
        <v>41.545426188600025</v>
      </c>
      <c r="E55" s="144">
        <f>'[2]Summary_October_12 '!$D$48</f>
        <v>46.486719787516584</v>
      </c>
      <c r="F55" s="145">
        <f t="shared" si="1"/>
        <v>44.016072988058305</v>
      </c>
      <c r="G55" s="151" t="str">
        <f>REPT("|",F55)</f>
        <v>||||||||||||||||||||||||||||||||||||||||||||</v>
      </c>
      <c r="H55" s="68"/>
      <c r="I55" s="85" t="s">
        <v>38</v>
      </c>
      <c r="L55" s="150"/>
    </row>
    <row r="56" spans="2:13" s="87" customFormat="1" ht="13.2">
      <c r="B56" s="110"/>
      <c r="C56" s="12" t="s">
        <v>39</v>
      </c>
      <c r="D56" s="147">
        <f>'[2]Summary November12'!$B$48</f>
        <v>36.646867134124321</v>
      </c>
      <c r="E56" s="144">
        <f>'[2]Summary November12'!$D$48</f>
        <v>41.564197530864206</v>
      </c>
      <c r="F56" s="145">
        <f t="shared" si="1"/>
        <v>39.105532332494263</v>
      </c>
      <c r="G56" s="151" t="str">
        <f>REPT("|",F56)</f>
        <v>|||||||||||||||||||||||||||||||||||||||</v>
      </c>
      <c r="H56" s="68"/>
      <c r="I56" s="85" t="s">
        <v>39</v>
      </c>
      <c r="L56" s="150"/>
    </row>
    <row r="57" spans="2:13" s="87" customFormat="1" ht="15">
      <c r="B57" s="158"/>
      <c r="C57" s="159"/>
      <c r="D57" s="148"/>
      <c r="E57" s="149"/>
      <c r="F57" s="149"/>
      <c r="G57" s="160"/>
      <c r="H57" s="95"/>
      <c r="I57" s="161"/>
    </row>
    <row r="58" spans="2:13" ht="10.8">
      <c r="B58" s="112" t="s">
        <v>82</v>
      </c>
      <c r="C58" s="113" t="s">
        <v>125</v>
      </c>
      <c r="D58" s="135"/>
      <c r="E58" s="135"/>
      <c r="L58" s="128"/>
      <c r="M58" s="129"/>
    </row>
    <row r="73" spans="4:8">
      <c r="E73" s="136"/>
      <c r="H73" s="55"/>
    </row>
    <row r="75" spans="4:8">
      <c r="H75" s="55"/>
    </row>
    <row r="77" spans="4:8" ht="13.2">
      <c r="D77" s="137"/>
      <c r="H77" s="55"/>
    </row>
    <row r="78" spans="4:8" ht="13.2">
      <c r="D78" s="137"/>
      <c r="H78" s="55"/>
    </row>
    <row r="79" spans="4:8" ht="13.2">
      <c r="D79" s="137"/>
      <c r="H79" s="55"/>
    </row>
    <row r="80" spans="4:8" ht="13.2">
      <c r="D80" s="137"/>
      <c r="H80" s="55"/>
    </row>
    <row r="81" spans="4:8" ht="13.2">
      <c r="D81" s="137"/>
      <c r="H81" s="55"/>
    </row>
    <row r="82" spans="4:8" ht="13.2">
      <c r="D82" s="137"/>
      <c r="H82" s="55"/>
    </row>
    <row r="83" spans="4:8" ht="13.2">
      <c r="D83" s="137"/>
      <c r="H83" s="55"/>
    </row>
    <row r="84" spans="4:8" ht="13.2">
      <c r="D84" s="137"/>
      <c r="H84" s="55"/>
    </row>
    <row r="85" spans="4:8" ht="13.2">
      <c r="D85" s="137"/>
      <c r="H85" s="55"/>
    </row>
    <row r="88" spans="4:8" ht="13.2">
      <c r="D88" s="137"/>
      <c r="H88" s="55"/>
    </row>
    <row r="89" spans="4:8" ht="13.2">
      <c r="D89" s="137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3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09375" defaultRowHeight="10.199999999999999"/>
  <cols>
    <col min="1" max="1" width="4.109375" style="55" customWidth="1"/>
    <col min="2" max="2" width="11.88671875" style="55" customWidth="1"/>
    <col min="3" max="3" width="7.44140625" style="55" customWidth="1"/>
    <col min="4" max="4" width="20.109375" style="80" customWidth="1"/>
    <col min="5" max="5" width="2.6640625" style="80" bestFit="1" customWidth="1"/>
    <col min="6" max="6" width="20.109375" style="80" customWidth="1"/>
    <col min="7" max="7" width="2.6640625" style="80" bestFit="1" customWidth="1"/>
    <col min="8" max="8" width="20.109375" style="80" customWidth="1"/>
    <col min="9" max="9" width="5.33203125" style="80" customWidth="1"/>
    <col min="10" max="10" width="1.44140625" style="55" customWidth="1"/>
    <col min="11" max="11" width="8.109375" style="124" customWidth="1"/>
    <col min="12" max="12" width="0.109375" style="124" hidden="1" customWidth="1"/>
    <col min="13" max="13" width="9.109375" style="55" bestFit="1" customWidth="1"/>
    <col min="14" max="16384" width="9.109375" style="55"/>
  </cols>
  <sheetData>
    <row r="2" spans="2:13" ht="15.6">
      <c r="B2" s="106" t="s">
        <v>193</v>
      </c>
      <c r="C2" s="106"/>
      <c r="D2" s="131"/>
      <c r="E2" s="131"/>
      <c r="F2" s="131"/>
      <c r="G2" s="131"/>
      <c r="H2" s="132"/>
      <c r="I2" s="132"/>
      <c r="J2" s="108"/>
    </row>
    <row r="3" spans="2:13" ht="15.6">
      <c r="B3" s="106" t="s">
        <v>171</v>
      </c>
      <c r="C3" s="106"/>
      <c r="D3" s="131"/>
      <c r="E3" s="131"/>
      <c r="F3" s="131"/>
      <c r="G3" s="131"/>
      <c r="H3" s="132"/>
      <c r="I3" s="132"/>
      <c r="J3" s="108"/>
      <c r="K3" s="124" t="s">
        <v>132</v>
      </c>
    </row>
    <row r="4" spans="2:13">
      <c r="B4" s="109"/>
      <c r="C4" s="109"/>
      <c r="D4" s="134"/>
      <c r="E4" s="134"/>
      <c r="F4" s="134"/>
      <c r="G4" s="134"/>
      <c r="H4" s="134"/>
      <c r="I4" s="134"/>
    </row>
    <row r="5" spans="2:13" s="87" customFormat="1" ht="37.5" customHeight="1">
      <c r="B5" s="950" t="s">
        <v>73</v>
      </c>
      <c r="C5" s="969" t="s">
        <v>115</v>
      </c>
      <c r="D5" s="971" t="s">
        <v>178</v>
      </c>
      <c r="E5" s="967"/>
      <c r="F5" s="967"/>
      <c r="G5" s="967"/>
      <c r="H5" s="967"/>
      <c r="I5" s="507"/>
      <c r="J5" s="967"/>
      <c r="K5" s="969" t="s">
        <v>74</v>
      </c>
      <c r="L5" s="625"/>
      <c r="M5" s="946" t="s">
        <v>116</v>
      </c>
    </row>
    <row r="6" spans="2:13" s="87" customFormat="1" ht="19.5" customHeight="1">
      <c r="B6" s="951"/>
      <c r="C6" s="970"/>
      <c r="D6" s="228" t="s">
        <v>145</v>
      </c>
      <c r="E6" s="229"/>
      <c r="F6" s="229" t="s">
        <v>146</v>
      </c>
      <c r="G6" s="229"/>
      <c r="H6" s="229" t="s">
        <v>160</v>
      </c>
      <c r="I6" s="254"/>
      <c r="J6" s="968"/>
      <c r="K6" s="972"/>
      <c r="L6" s="627"/>
      <c r="M6" s="947"/>
    </row>
    <row r="7" spans="2:13" s="87" customFormat="1" ht="13.2" hidden="1">
      <c r="B7" s="110">
        <v>2009</v>
      </c>
      <c r="C7" s="625"/>
      <c r="D7" s="519">
        <f>AVERAGE(D19:D30)</f>
        <v>5.5305877117875957</v>
      </c>
      <c r="E7" s="258"/>
      <c r="F7" s="261">
        <f>AVERAGE(F19:F30)</f>
        <v>5.4667440801457197</v>
      </c>
      <c r="G7" s="258"/>
      <c r="H7" s="261">
        <f t="shared" ref="H7:H14" si="0">AVERAGE(D7:F7)</f>
        <v>5.4986658959666581</v>
      </c>
      <c r="I7" s="259"/>
      <c r="J7" s="260"/>
      <c r="K7" s="110">
        <v>2009</v>
      </c>
      <c r="L7" s="463"/>
      <c r="M7" s="624"/>
    </row>
    <row r="8" spans="2:13" s="87" customFormat="1" ht="13.2" hidden="1">
      <c r="B8" s="110">
        <v>2010</v>
      </c>
      <c r="C8" s="623"/>
      <c r="D8" s="519">
        <f>AVERAGE(D31:D42)</f>
        <v>9.5168338804688926</v>
      </c>
      <c r="E8" s="258"/>
      <c r="F8" s="261">
        <f>AVERAGE(F31:F42)</f>
        <v>10.869158639472607</v>
      </c>
      <c r="G8" s="258"/>
      <c r="H8" s="261">
        <f t="shared" si="0"/>
        <v>10.19299625997075</v>
      </c>
      <c r="I8" s="259"/>
      <c r="J8" s="260"/>
      <c r="K8" s="110">
        <v>2010</v>
      </c>
      <c r="L8" s="463"/>
      <c r="M8" s="624"/>
    </row>
    <row r="9" spans="2:13" s="87" customFormat="1" ht="13.2" hidden="1">
      <c r="B9" s="110">
        <v>2011</v>
      </c>
      <c r="C9" s="623"/>
      <c r="D9" s="519">
        <f>AVERAGE(D43:D54)</f>
        <v>8.8828463396819792</v>
      </c>
      <c r="E9" s="258"/>
      <c r="F9" s="261">
        <f>AVERAGE(F43:F54)</f>
        <v>10.866038926344972</v>
      </c>
      <c r="G9" s="258"/>
      <c r="H9" s="261">
        <f t="shared" si="0"/>
        <v>9.8744426330134765</v>
      </c>
      <c r="I9" s="259"/>
      <c r="J9" s="260"/>
      <c r="K9" s="110">
        <v>2011</v>
      </c>
      <c r="L9" s="463"/>
      <c r="M9" s="624"/>
    </row>
    <row r="10" spans="2:13" s="87" customFormat="1" ht="13.2" hidden="1">
      <c r="B10" s="110">
        <v>2012</v>
      </c>
      <c r="C10" s="623"/>
      <c r="D10" s="519">
        <f>AVERAGE(D55:D66)</f>
        <v>9.8286884036761055</v>
      </c>
      <c r="E10" s="258"/>
      <c r="F10" s="261">
        <f>AVERAGE(F55:F66)</f>
        <v>11.107752796834228</v>
      </c>
      <c r="G10" s="258"/>
      <c r="H10" s="261">
        <f t="shared" si="0"/>
        <v>10.468220600255167</v>
      </c>
      <c r="I10" s="259"/>
      <c r="J10" s="260"/>
      <c r="K10" s="110">
        <v>2012</v>
      </c>
      <c r="L10" s="463"/>
      <c r="M10" s="624"/>
    </row>
    <row r="11" spans="2:13" s="87" customFormat="1" ht="13.2" hidden="1">
      <c r="B11" s="110">
        <v>2013</v>
      </c>
      <c r="C11" s="623"/>
      <c r="D11" s="519">
        <f>AVERAGE(D67:D78)</f>
        <v>10.831738601175141</v>
      </c>
      <c r="E11" s="258"/>
      <c r="F11" s="261">
        <f>AVERAGE(F67:F103)</f>
        <v>11.600488626507167</v>
      </c>
      <c r="G11" s="258"/>
      <c r="H11" s="261">
        <f t="shared" si="0"/>
        <v>11.216113613841154</v>
      </c>
      <c r="I11" s="259"/>
      <c r="J11" s="260"/>
      <c r="K11" s="110">
        <v>2013</v>
      </c>
      <c r="L11" s="463"/>
      <c r="M11" s="624"/>
    </row>
    <row r="12" spans="2:13" s="87" customFormat="1" ht="13.2" hidden="1">
      <c r="B12" s="110">
        <v>2014</v>
      </c>
      <c r="C12" s="623"/>
      <c r="D12" s="519">
        <f>AVERAGE(D79:D90)</f>
        <v>9.5099705421195893</v>
      </c>
      <c r="E12" s="261"/>
      <c r="F12" s="261">
        <f>AVERAGE(F79:F90)</f>
        <v>11.542342607571925</v>
      </c>
      <c r="G12" s="261"/>
      <c r="H12" s="261">
        <f t="shared" si="0"/>
        <v>10.526156574845757</v>
      </c>
      <c r="I12" s="259"/>
      <c r="J12" s="260"/>
      <c r="K12" s="110">
        <v>2014</v>
      </c>
      <c r="L12" s="463"/>
      <c r="M12" s="624"/>
    </row>
    <row r="13" spans="2:13" s="87" customFormat="1" ht="13.2" hidden="1">
      <c r="B13" s="110">
        <v>2015</v>
      </c>
      <c r="C13" s="623"/>
      <c r="D13" s="519">
        <f>AVERAGE(D91:D102)</f>
        <v>10.514445261333849</v>
      </c>
      <c r="E13" s="261"/>
      <c r="F13" s="261">
        <f>AVERAGE(F91:F102)</f>
        <v>11.678483874160143</v>
      </c>
      <c r="G13" s="261"/>
      <c r="H13" s="261">
        <f t="shared" si="0"/>
        <v>11.096464567746995</v>
      </c>
      <c r="I13" s="259"/>
      <c r="J13" s="260"/>
      <c r="K13" s="111">
        <v>2015</v>
      </c>
      <c r="L13" s="463"/>
      <c r="M13" s="624"/>
    </row>
    <row r="14" spans="2:13" s="87" customFormat="1" ht="13.2">
      <c r="B14" s="110">
        <v>2016</v>
      </c>
      <c r="C14" s="623"/>
      <c r="D14" s="519">
        <f>AVERAGE(D103:D114)</f>
        <v>10.243508251805192</v>
      </c>
      <c r="E14" s="261"/>
      <c r="F14" s="261">
        <f>AVERAGE(F103:F114)</f>
        <v>11.613256356113117</v>
      </c>
      <c r="G14" s="261"/>
      <c r="H14" s="261">
        <f t="shared" si="0"/>
        <v>10.928382303959154</v>
      </c>
      <c r="I14" s="259"/>
      <c r="J14" s="260"/>
      <c r="K14" s="111">
        <v>2016</v>
      </c>
      <c r="L14" s="463"/>
      <c r="M14" s="624"/>
    </row>
    <row r="15" spans="2:13" s="87" customFormat="1" ht="13.2">
      <c r="B15" s="110">
        <v>2017</v>
      </c>
      <c r="C15" s="623"/>
      <c r="D15" s="519">
        <f>AVERAGE(D115:D126)</f>
        <v>10.432829689460046</v>
      </c>
      <c r="E15" s="261"/>
      <c r="F15" s="261">
        <f>AVERAGE(F115:F126)</f>
        <v>12.26803025503669</v>
      </c>
      <c r="G15" s="261"/>
      <c r="H15" s="261">
        <f>AVERAGE(H115:H126)</f>
        <v>11.448797966572782</v>
      </c>
      <c r="I15" s="259"/>
      <c r="J15" s="260"/>
      <c r="K15" s="111">
        <v>2017</v>
      </c>
      <c r="L15" s="463"/>
      <c r="M15" s="624"/>
    </row>
    <row r="16" spans="2:13" s="87" customFormat="1" ht="13.2">
      <c r="B16" s="110">
        <v>2018</v>
      </c>
      <c r="C16" s="623"/>
      <c r="D16" s="519">
        <f>AVERAGE(D127:D138)</f>
        <v>9.9000474818717503</v>
      </c>
      <c r="E16" s="261"/>
      <c r="F16" s="261">
        <f>AVERAGE(F127:F138)</f>
        <v>11.945375566402388</v>
      </c>
      <c r="G16" s="261"/>
      <c r="H16" s="261">
        <f>AVERAGE(H127:H138)</f>
        <v>10.922711524137069</v>
      </c>
      <c r="I16" s="259"/>
      <c r="J16" s="260"/>
      <c r="K16" s="111">
        <v>2018</v>
      </c>
      <c r="L16" s="463"/>
      <c r="M16" s="624"/>
    </row>
    <row r="17" spans="2:13" s="87" customFormat="1" ht="13.2">
      <c r="B17" s="110">
        <v>2019</v>
      </c>
      <c r="C17" s="541" t="s">
        <v>302</v>
      </c>
      <c r="D17" s="519">
        <f>AVERAGE(D139:D150)</f>
        <v>10.350410776915165</v>
      </c>
      <c r="E17" s="261"/>
      <c r="F17" s="261">
        <f>AVERAGE(F139:F150)</f>
        <v>13.441752661205086</v>
      </c>
      <c r="G17" s="261"/>
      <c r="H17" s="261">
        <f>AVERAGE(H139:H150)</f>
        <v>11.896081719060122</v>
      </c>
      <c r="I17" s="259"/>
      <c r="J17" s="260"/>
      <c r="K17" s="111">
        <v>2019</v>
      </c>
      <c r="L17" s="463"/>
      <c r="M17" s="624" t="s">
        <v>302</v>
      </c>
    </row>
    <row r="18" spans="2:13" s="87" customFormat="1" ht="13.2">
      <c r="B18" s="110">
        <v>2020</v>
      </c>
      <c r="C18" s="541" t="s">
        <v>302</v>
      </c>
      <c r="D18" s="519">
        <f>AVERAGE(D151:D162)</f>
        <v>2.8441596106008475</v>
      </c>
      <c r="E18" s="261"/>
      <c r="F18" s="261">
        <f>AVERAGE(F151:F162)</f>
        <v>1.4568221070811747</v>
      </c>
      <c r="G18" s="261"/>
      <c r="H18" s="261">
        <f>AVERAGE(H151:H162)</f>
        <v>3.0806151085858793</v>
      </c>
      <c r="I18" s="259"/>
      <c r="J18" s="260"/>
      <c r="K18" s="111">
        <v>2020</v>
      </c>
      <c r="L18" s="463"/>
      <c r="M18" s="624" t="s">
        <v>302</v>
      </c>
    </row>
    <row r="19" spans="2:13" s="171" customFormat="1" ht="13.8" hidden="1">
      <c r="B19" s="182">
        <v>2009</v>
      </c>
      <c r="C19" s="87" t="s">
        <v>33</v>
      </c>
      <c r="D19" s="520">
        <v>0</v>
      </c>
      <c r="E19" s="174"/>
      <c r="F19" s="175">
        <v>0</v>
      </c>
      <c r="G19" s="175"/>
      <c r="H19" s="175">
        <f t="shared" ref="H19:H28" si="1">(D19+F19)/2</f>
        <v>0</v>
      </c>
      <c r="I19" s="251"/>
      <c r="J19" s="179"/>
      <c r="K19" s="182">
        <v>2009</v>
      </c>
      <c r="L19" s="241"/>
      <c r="M19" s="85" t="s">
        <v>33</v>
      </c>
    </row>
    <row r="20" spans="2:13" s="171" customFormat="1" ht="13.8" hidden="1">
      <c r="B20" s="182"/>
      <c r="C20" s="87" t="s">
        <v>34</v>
      </c>
      <c r="D20" s="520">
        <v>0</v>
      </c>
      <c r="E20" s="174"/>
      <c r="F20" s="175">
        <v>0</v>
      </c>
      <c r="G20" s="175"/>
      <c r="H20" s="175">
        <f t="shared" si="1"/>
        <v>0</v>
      </c>
      <c r="I20" s="251"/>
      <c r="J20" s="179"/>
      <c r="K20" s="180"/>
      <c r="L20" s="241"/>
      <c r="M20" s="85" t="s">
        <v>75</v>
      </c>
    </row>
    <row r="21" spans="2:13" s="171" customFormat="1" ht="13.8" hidden="1">
      <c r="B21" s="182"/>
      <c r="C21" s="87" t="s">
        <v>29</v>
      </c>
      <c r="D21" s="520">
        <v>0</v>
      </c>
      <c r="E21" s="174"/>
      <c r="F21" s="175">
        <v>0</v>
      </c>
      <c r="G21" s="175"/>
      <c r="H21" s="175">
        <f t="shared" si="1"/>
        <v>0</v>
      </c>
      <c r="I21" s="251"/>
      <c r="J21" s="179"/>
      <c r="K21" s="180"/>
      <c r="L21" s="241"/>
      <c r="M21" s="85" t="s">
        <v>29</v>
      </c>
    </row>
    <row r="22" spans="2:13" s="171" customFormat="1" ht="13.8" hidden="1">
      <c r="B22" s="182"/>
      <c r="C22" s="87" t="s">
        <v>35</v>
      </c>
      <c r="D22" s="520">
        <v>0</v>
      </c>
      <c r="E22" s="174"/>
      <c r="F22" s="175">
        <v>0</v>
      </c>
      <c r="G22" s="175"/>
      <c r="H22" s="175">
        <f t="shared" si="1"/>
        <v>0</v>
      </c>
      <c r="I22" s="251"/>
      <c r="J22" s="179"/>
      <c r="K22" s="180"/>
      <c r="L22" s="241"/>
      <c r="M22" s="85" t="s">
        <v>76</v>
      </c>
    </row>
    <row r="23" spans="2:13" s="171" customFormat="1" ht="13.8" hidden="1">
      <c r="B23" s="182"/>
      <c r="C23" s="87" t="s">
        <v>4</v>
      </c>
      <c r="D23" s="520">
        <v>0</v>
      </c>
      <c r="E23" s="174"/>
      <c r="F23" s="175">
        <v>0</v>
      </c>
      <c r="G23" s="175"/>
      <c r="H23" s="175">
        <f t="shared" si="1"/>
        <v>0</v>
      </c>
      <c r="I23" s="251"/>
      <c r="J23" s="179"/>
      <c r="K23" s="180"/>
      <c r="L23" s="241"/>
      <c r="M23" s="85" t="s">
        <v>77</v>
      </c>
    </row>
    <row r="24" spans="2:13" s="171" customFormat="1" ht="13.8" hidden="1">
      <c r="B24" s="182"/>
      <c r="C24" s="87" t="s">
        <v>30</v>
      </c>
      <c r="D24" s="196">
        <f>[3]Jun!$B$43</f>
        <v>9.4</v>
      </c>
      <c r="E24" s="184"/>
      <c r="F24" s="184">
        <v>0</v>
      </c>
      <c r="G24" s="184"/>
      <c r="H24" s="184">
        <f t="shared" si="1"/>
        <v>4.7</v>
      </c>
      <c r="I24" s="251"/>
      <c r="J24" s="249" t="str">
        <f t="shared" ref="J24:J29" si="2">REPT("|",H24)</f>
        <v>||||</v>
      </c>
      <c r="K24" s="180"/>
      <c r="L24" s="241"/>
      <c r="M24" s="85" t="s">
        <v>78</v>
      </c>
    </row>
    <row r="25" spans="2:13" s="171" customFormat="1" ht="13.8" hidden="1">
      <c r="B25" s="182"/>
      <c r="C25" s="87" t="s">
        <v>36</v>
      </c>
      <c r="D25" s="196">
        <f>[3]Jul!$B$44</f>
        <v>10.5</v>
      </c>
      <c r="E25" s="184"/>
      <c r="F25" s="184">
        <f>[3]Jul!$D$44</f>
        <v>11.83</v>
      </c>
      <c r="G25" s="184"/>
      <c r="H25" s="184">
        <f t="shared" si="1"/>
        <v>11.164999999999999</v>
      </c>
      <c r="I25" s="251"/>
      <c r="J25" s="249" t="str">
        <f t="shared" si="2"/>
        <v>|||||||||||</v>
      </c>
      <c r="K25" s="180"/>
      <c r="L25" s="241"/>
      <c r="M25" s="85" t="s">
        <v>79</v>
      </c>
    </row>
    <row r="26" spans="2:13" s="171" customFormat="1" ht="13.8" hidden="1">
      <c r="B26" s="182"/>
      <c r="C26" s="87" t="s">
        <v>37</v>
      </c>
      <c r="D26" s="196">
        <f>[3]Aug!$B$44</f>
        <v>10.3</v>
      </c>
      <c r="E26" s="184"/>
      <c r="F26" s="184">
        <f>[3]Aug!$D$44</f>
        <v>11.44</v>
      </c>
      <c r="G26" s="184"/>
      <c r="H26" s="184">
        <f t="shared" si="1"/>
        <v>10.870000000000001</v>
      </c>
      <c r="I26" s="251"/>
      <c r="J26" s="249" t="str">
        <f t="shared" si="2"/>
        <v>||||||||||</v>
      </c>
      <c r="K26" s="68">
        <v>2009</v>
      </c>
      <c r="L26" s="241"/>
      <c r="M26" s="85" t="s">
        <v>80</v>
      </c>
    </row>
    <row r="27" spans="2:13" s="171" customFormat="1" ht="13.8" hidden="1">
      <c r="B27" s="182"/>
      <c r="C27" s="87" t="s">
        <v>31</v>
      </c>
      <c r="D27" s="196">
        <f>[3]Sep!$B$44</f>
        <v>8.7268670038678966</v>
      </c>
      <c r="E27" s="184"/>
      <c r="F27" s="184">
        <f>[3]Sep!$D$44</f>
        <v>11.010928961748634</v>
      </c>
      <c r="G27" s="184"/>
      <c r="H27" s="184">
        <f t="shared" si="1"/>
        <v>9.8688979828082655</v>
      </c>
      <c r="I27" s="251"/>
      <c r="J27" s="249" t="str">
        <f t="shared" si="2"/>
        <v>|||||||||</v>
      </c>
      <c r="K27" s="68">
        <v>2009</v>
      </c>
      <c r="L27" s="241"/>
      <c r="M27" s="85" t="s">
        <v>31</v>
      </c>
    </row>
    <row r="28" spans="2:13" s="187" customFormat="1" ht="13.8" hidden="1">
      <c r="B28" s="182"/>
      <c r="C28" s="87" t="s">
        <v>38</v>
      </c>
      <c r="D28" s="196">
        <f>[3]Oct!$B$43</f>
        <v>8.51</v>
      </c>
      <c r="E28" s="184"/>
      <c r="F28" s="184">
        <f>[3]Oct!$D$43</f>
        <v>10</v>
      </c>
      <c r="G28" s="184"/>
      <c r="H28" s="185">
        <f t="shared" si="1"/>
        <v>9.254999999999999</v>
      </c>
      <c r="I28" s="252"/>
      <c r="J28" s="250" t="str">
        <f t="shared" si="2"/>
        <v>|||||||||</v>
      </c>
      <c r="K28" s="186">
        <v>2009</v>
      </c>
      <c r="L28" s="204"/>
      <c r="M28" s="85" t="s">
        <v>49</v>
      </c>
    </row>
    <row r="29" spans="2:13" s="187" customFormat="1" ht="13.8" hidden="1">
      <c r="B29" s="182"/>
      <c r="C29" s="87" t="s">
        <v>39</v>
      </c>
      <c r="D29" s="196">
        <f>[3]Nov!$B$43</f>
        <v>8.5</v>
      </c>
      <c r="E29" s="184"/>
      <c r="F29" s="184">
        <f>[3]Nov!$D$43</f>
        <v>9.42</v>
      </c>
      <c r="G29" s="184"/>
      <c r="H29" s="185">
        <f t="shared" ref="H29:H63" si="3">(D29+F29)/2</f>
        <v>8.9600000000000009</v>
      </c>
      <c r="I29" s="252"/>
      <c r="J29" s="244" t="str">
        <f t="shared" si="2"/>
        <v>||||||||</v>
      </c>
      <c r="K29" s="186">
        <v>2009</v>
      </c>
      <c r="L29" s="204"/>
      <c r="M29" s="85" t="s">
        <v>39</v>
      </c>
    </row>
    <row r="30" spans="2:13" s="187" customFormat="1" ht="13.8" hidden="1">
      <c r="B30" s="182"/>
      <c r="C30" s="87" t="s">
        <v>32</v>
      </c>
      <c r="D30" s="196">
        <f>[3]Dec!$B$43</f>
        <v>10.430185537583254</v>
      </c>
      <c r="E30" s="184"/>
      <c r="F30" s="184">
        <f>[3]Dec!$D$43</f>
        <v>11.9</v>
      </c>
      <c r="G30" s="184"/>
      <c r="H30" s="185">
        <f t="shared" si="3"/>
        <v>11.165092768791627</v>
      </c>
      <c r="I30" s="252"/>
      <c r="J30" s="244" t="str">
        <f t="shared" ref="J30:J64" si="4">REPT("|",H30)</f>
        <v>|||||||||||</v>
      </c>
      <c r="K30" s="182">
        <v>2009</v>
      </c>
      <c r="L30" s="204"/>
      <c r="M30" s="85" t="s">
        <v>32</v>
      </c>
    </row>
    <row r="31" spans="2:13" s="187" customFormat="1" ht="13.8" hidden="1">
      <c r="B31" s="110">
        <v>2010</v>
      </c>
      <c r="C31" s="87" t="s">
        <v>33</v>
      </c>
      <c r="D31" s="147">
        <f>[4]Jan!$B$43</f>
        <v>9.31</v>
      </c>
      <c r="E31" s="144"/>
      <c r="F31" s="144">
        <f>[4]Jan!$D$43:$D$43</f>
        <v>11.4</v>
      </c>
      <c r="G31" s="144"/>
      <c r="H31" s="145">
        <f t="shared" si="3"/>
        <v>10.355</v>
      </c>
      <c r="I31" s="253"/>
      <c r="J31" s="244" t="str">
        <f t="shared" si="4"/>
        <v>||||||||||</v>
      </c>
      <c r="K31" s="110">
        <v>2010</v>
      </c>
      <c r="L31" s="75"/>
      <c r="M31" s="85" t="s">
        <v>33</v>
      </c>
    </row>
    <row r="32" spans="2:13" s="187" customFormat="1" ht="13.8" hidden="1">
      <c r="B32" s="110"/>
      <c r="C32" s="87" t="s">
        <v>34</v>
      </c>
      <c r="D32" s="147">
        <f>[4]Feb!$B$44</f>
        <v>11.951534733441035</v>
      </c>
      <c r="E32" s="144"/>
      <c r="F32" s="144">
        <f>[4]Feb!$D$44</f>
        <v>11.447674418604651</v>
      </c>
      <c r="G32" s="144"/>
      <c r="H32" s="145">
        <f t="shared" si="3"/>
        <v>11.699604576022843</v>
      </c>
      <c r="I32" s="253"/>
      <c r="J32" s="244" t="str">
        <f t="shared" si="4"/>
        <v>|||||||||||</v>
      </c>
      <c r="K32" s="110"/>
      <c r="L32" s="75"/>
      <c r="M32" s="85" t="s">
        <v>75</v>
      </c>
    </row>
    <row r="33" spans="2:13" s="187" customFormat="1" ht="13.8" hidden="1">
      <c r="B33" s="110"/>
      <c r="C33" s="87" t="s">
        <v>29</v>
      </c>
      <c r="D33" s="147">
        <f>[4]Mar!$B$44</f>
        <v>9.6127982650000003</v>
      </c>
      <c r="E33" s="144"/>
      <c r="F33" s="144">
        <f>[4]Mar!$D$44</f>
        <v>8.8333329999999997</v>
      </c>
      <c r="G33" s="144"/>
      <c r="H33" s="145">
        <f t="shared" si="3"/>
        <v>9.2230656324999991</v>
      </c>
      <c r="I33" s="253"/>
      <c r="J33" s="244" t="str">
        <f t="shared" si="4"/>
        <v>|||||||||</v>
      </c>
      <c r="K33" s="110">
        <v>2010</v>
      </c>
      <c r="L33" s="75"/>
      <c r="M33" s="85" t="s">
        <v>29</v>
      </c>
    </row>
    <row r="34" spans="2:13" s="187" customFormat="1" ht="13.8" hidden="1">
      <c r="B34" s="110"/>
      <c r="C34" s="87" t="s">
        <v>35</v>
      </c>
      <c r="D34" s="147">
        <f>[4]Apr!$B$44</f>
        <v>9.882734145965129</v>
      </c>
      <c r="E34" s="144"/>
      <c r="F34" s="144">
        <f>[4]Apr!$D$44:$D$44</f>
        <v>8.8333329999999997</v>
      </c>
      <c r="G34" s="144"/>
      <c r="H34" s="145">
        <f t="shared" si="3"/>
        <v>9.3580335729825634</v>
      </c>
      <c r="I34" s="253"/>
      <c r="J34" s="244" t="str">
        <f t="shared" si="4"/>
        <v>|||||||||</v>
      </c>
      <c r="K34" s="110">
        <v>2010</v>
      </c>
      <c r="L34" s="75"/>
      <c r="M34" s="85" t="s">
        <v>76</v>
      </c>
    </row>
    <row r="35" spans="2:13" s="187" customFormat="1" ht="13.8" hidden="1">
      <c r="B35" s="110"/>
      <c r="C35" s="87" t="s">
        <v>4</v>
      </c>
      <c r="D35" s="147">
        <f>[4]May!$B$44</f>
        <v>9.0723498888065226</v>
      </c>
      <c r="E35" s="144"/>
      <c r="F35" s="144">
        <f>[4]May!$D$44</f>
        <v>12.55</v>
      </c>
      <c r="G35" s="144"/>
      <c r="H35" s="145">
        <f t="shared" si="3"/>
        <v>10.811174944403263</v>
      </c>
      <c r="I35" s="253"/>
      <c r="J35" s="244" t="str">
        <f t="shared" si="4"/>
        <v>||||||||||</v>
      </c>
      <c r="K35" s="110">
        <v>2010</v>
      </c>
      <c r="L35" s="75"/>
      <c r="M35" s="85" t="s">
        <v>77</v>
      </c>
    </row>
    <row r="36" spans="2:13" s="187" customFormat="1" ht="13.8" hidden="1">
      <c r="B36" s="110"/>
      <c r="C36" s="87" t="s">
        <v>30</v>
      </c>
      <c r="D36" s="147">
        <f>[4]Jun!$B$43</f>
        <v>9.249548387096775</v>
      </c>
      <c r="E36" s="144"/>
      <c r="F36" s="144">
        <f>[4]Jun!$D$43</f>
        <v>15.15789</v>
      </c>
      <c r="G36" s="144"/>
      <c r="H36" s="145">
        <f t="shared" si="3"/>
        <v>12.203719193548388</v>
      </c>
      <c r="I36" s="253"/>
      <c r="J36" s="244" t="str">
        <f t="shared" si="4"/>
        <v>||||||||||||</v>
      </c>
      <c r="K36" s="110">
        <v>2010</v>
      </c>
      <c r="L36" s="75"/>
      <c r="M36" s="85" t="s">
        <v>78</v>
      </c>
    </row>
    <row r="37" spans="2:13" s="187" customFormat="1" ht="13.8" hidden="1">
      <c r="B37" s="110"/>
      <c r="C37" s="87" t="s">
        <v>36</v>
      </c>
      <c r="D37" s="147">
        <f>[4]Jul!$B$43</f>
        <v>9.1481030859418198</v>
      </c>
      <c r="E37" s="144"/>
      <c r="F37" s="144">
        <f>[4]Jul!$D$43</f>
        <v>11.44772</v>
      </c>
      <c r="G37" s="144"/>
      <c r="H37" s="145">
        <f t="shared" si="3"/>
        <v>10.29791154297091</v>
      </c>
      <c r="I37" s="253"/>
      <c r="J37" s="244" t="str">
        <f t="shared" si="4"/>
        <v>||||||||||</v>
      </c>
      <c r="K37" s="110">
        <v>2010</v>
      </c>
      <c r="L37" s="75"/>
      <c r="M37" s="85" t="s">
        <v>79</v>
      </c>
    </row>
    <row r="38" spans="2:13" s="187" customFormat="1" ht="13.8" hidden="1">
      <c r="B38" s="110"/>
      <c r="C38" s="87" t="s">
        <v>37</v>
      </c>
      <c r="D38" s="147">
        <f>[4]Aug!$B$44</f>
        <v>8.4186246110932306</v>
      </c>
      <c r="E38" s="144"/>
      <c r="F38" s="144">
        <f>[4]Aug!$D$44</f>
        <v>8.9558167202572303</v>
      </c>
      <c r="G38" s="144"/>
      <c r="H38" s="145">
        <f t="shared" si="3"/>
        <v>8.6872206656752304</v>
      </c>
      <c r="I38" s="253"/>
      <c r="J38" s="244" t="str">
        <f t="shared" si="4"/>
        <v>||||||||</v>
      </c>
      <c r="K38" s="110">
        <v>2010</v>
      </c>
      <c r="L38" s="75"/>
      <c r="M38" s="85" t="s">
        <v>80</v>
      </c>
    </row>
    <row r="39" spans="2:13" s="187" customFormat="1" ht="13.8" hidden="1">
      <c r="B39" s="110"/>
      <c r="C39" s="87" t="s">
        <v>31</v>
      </c>
      <c r="D39" s="147">
        <f>[4]Sep!$B$44</f>
        <v>8.2608357412758391</v>
      </c>
      <c r="E39" s="144"/>
      <c r="F39" s="144">
        <f>[4]Sep!$D$44</f>
        <v>11.6920415224913</v>
      </c>
      <c r="G39" s="144"/>
      <c r="H39" s="145">
        <f t="shared" si="3"/>
        <v>9.9764386318835694</v>
      </c>
      <c r="I39" s="253"/>
      <c r="J39" s="244" t="str">
        <f t="shared" si="4"/>
        <v>|||||||||</v>
      </c>
      <c r="K39" s="110">
        <v>2010</v>
      </c>
      <c r="L39" s="75"/>
      <c r="M39" s="85" t="s">
        <v>31</v>
      </c>
    </row>
    <row r="40" spans="2:13" s="187" customFormat="1" ht="13.8" hidden="1">
      <c r="B40" s="110"/>
      <c r="C40" s="87" t="s">
        <v>38</v>
      </c>
      <c r="D40" s="147">
        <f>[4]Oct!$D$44</f>
        <v>10</v>
      </c>
      <c r="E40" s="144"/>
      <c r="F40" s="144">
        <f>[4]Oct!$B$44</f>
        <v>11</v>
      </c>
      <c r="G40" s="144"/>
      <c r="H40" s="145">
        <f t="shared" si="3"/>
        <v>10.5</v>
      </c>
      <c r="I40" s="253"/>
      <c r="J40" s="244" t="str">
        <f t="shared" si="4"/>
        <v>||||||||||</v>
      </c>
      <c r="K40" s="110">
        <v>2010</v>
      </c>
      <c r="L40" s="75"/>
      <c r="M40" s="85" t="s">
        <v>49</v>
      </c>
    </row>
    <row r="41" spans="2:13" s="187" customFormat="1" ht="13.8" hidden="1">
      <c r="B41" s="110"/>
      <c r="C41" s="87" t="s">
        <v>39</v>
      </c>
      <c r="D41" s="147">
        <f>[4]Nov!$D$44</f>
        <v>9.42</v>
      </c>
      <c r="E41" s="144"/>
      <c r="F41" s="144">
        <f>[4]Nov!$B$44</f>
        <v>7.8069306930693072</v>
      </c>
      <c r="G41" s="144"/>
      <c r="H41" s="145">
        <f t="shared" si="3"/>
        <v>8.6134653465346531</v>
      </c>
      <c r="I41" s="253"/>
      <c r="J41" s="244" t="str">
        <f t="shared" si="4"/>
        <v>||||||||</v>
      </c>
      <c r="K41" s="110">
        <v>2010</v>
      </c>
      <c r="L41" s="75"/>
      <c r="M41" s="85" t="s">
        <v>39</v>
      </c>
    </row>
    <row r="42" spans="2:13" s="187" customFormat="1" ht="13.8" hidden="1">
      <c r="B42" s="110"/>
      <c r="C42" s="87" t="s">
        <v>32</v>
      </c>
      <c r="D42" s="147">
        <f>[4]Dec!$D$44</f>
        <v>9.87547770700637</v>
      </c>
      <c r="E42" s="144"/>
      <c r="F42" s="144">
        <f>[4]Dec!$B$44</f>
        <v>11.305164319248799</v>
      </c>
      <c r="G42" s="144"/>
      <c r="H42" s="145">
        <f t="shared" si="3"/>
        <v>10.590321013127586</v>
      </c>
      <c r="I42" s="253"/>
      <c r="J42" s="244" t="str">
        <f t="shared" si="4"/>
        <v>||||||||||</v>
      </c>
      <c r="K42" s="110">
        <v>2010</v>
      </c>
      <c r="L42" s="75"/>
      <c r="M42" s="85" t="s">
        <v>32</v>
      </c>
    </row>
    <row r="43" spans="2:13" s="187" customFormat="1" ht="13.8" hidden="1">
      <c r="B43" s="110">
        <v>2011</v>
      </c>
      <c r="C43" s="87" t="s">
        <v>33</v>
      </c>
      <c r="D43" s="147">
        <f>[1]Jan!$B$47</f>
        <v>8.638004896</v>
      </c>
      <c r="E43" s="144"/>
      <c r="F43" s="144">
        <f>[1]Jan!$D$47</f>
        <v>9.3602941176470598</v>
      </c>
      <c r="G43" s="144"/>
      <c r="H43" s="145">
        <f t="shared" si="3"/>
        <v>8.9991495068235299</v>
      </c>
      <c r="I43" s="253"/>
      <c r="J43" s="244" t="str">
        <f t="shared" si="4"/>
        <v>||||||||</v>
      </c>
      <c r="K43" s="110">
        <v>2011</v>
      </c>
      <c r="L43" s="75"/>
      <c r="M43" s="85" t="s">
        <v>33</v>
      </c>
    </row>
    <row r="44" spans="2:13" s="187" customFormat="1" ht="13.8" hidden="1">
      <c r="B44" s="110"/>
      <c r="C44" s="87" t="s">
        <v>34</v>
      </c>
      <c r="D44" s="147">
        <f>[1]Feb!$B$47</f>
        <v>8.3964082347788001</v>
      </c>
      <c r="E44" s="144"/>
      <c r="F44" s="144">
        <f>[1]Feb!$D$47</f>
        <v>11.448275862068966</v>
      </c>
      <c r="G44" s="144"/>
      <c r="H44" s="145">
        <f t="shared" si="3"/>
        <v>9.9223420484238822</v>
      </c>
      <c r="I44" s="253"/>
      <c r="J44" s="244" t="str">
        <f t="shared" si="4"/>
        <v>|||||||||</v>
      </c>
      <c r="K44" s="110">
        <v>2011</v>
      </c>
      <c r="L44" s="75"/>
      <c r="M44" s="85" t="s">
        <v>75</v>
      </c>
    </row>
    <row r="45" spans="2:13" s="187" customFormat="1" ht="13.8" hidden="1">
      <c r="B45" s="110"/>
      <c r="C45" s="87" t="s">
        <v>29</v>
      </c>
      <c r="D45" s="147">
        <f>[1]Mar!$B$47</f>
        <v>8.797364834166288</v>
      </c>
      <c r="E45" s="144"/>
      <c r="F45" s="144">
        <f>[1]Mar!$D$47</f>
        <v>8.3440860220000008</v>
      </c>
      <c r="G45" s="144"/>
      <c r="H45" s="145">
        <f t="shared" si="3"/>
        <v>8.5707254280831435</v>
      </c>
      <c r="I45" s="253"/>
      <c r="J45" s="244" t="str">
        <f t="shared" si="4"/>
        <v>||||||||</v>
      </c>
      <c r="K45" s="110">
        <v>2011</v>
      </c>
      <c r="L45" s="75"/>
      <c r="M45" s="85" t="s">
        <v>29</v>
      </c>
    </row>
    <row r="46" spans="2:13" s="187" customFormat="1" ht="13.8" hidden="1">
      <c r="B46" s="110"/>
      <c r="C46" s="87" t="s">
        <v>35</v>
      </c>
      <c r="D46" s="147">
        <f>[1]April!$B$47</f>
        <v>8.2138628158844771</v>
      </c>
      <c r="E46" s="144"/>
      <c r="F46" s="144">
        <f>[1]April!$D$47</f>
        <v>13.838983050847499</v>
      </c>
      <c r="G46" s="144"/>
      <c r="H46" s="145">
        <f t="shared" si="3"/>
        <v>11.026422933365989</v>
      </c>
      <c r="I46" s="253"/>
      <c r="J46" s="244" t="str">
        <f t="shared" si="4"/>
        <v>|||||||||||</v>
      </c>
      <c r="K46" s="110">
        <v>2011</v>
      </c>
      <c r="L46" s="75"/>
      <c r="M46" s="85" t="s">
        <v>76</v>
      </c>
    </row>
    <row r="47" spans="2:13" s="187" customFormat="1" ht="13.8" hidden="1">
      <c r="B47" s="110"/>
      <c r="C47" s="87" t="s">
        <v>4</v>
      </c>
      <c r="D47" s="147">
        <f>[1]May!$B$47</f>
        <v>9.1427655824387113</v>
      </c>
      <c r="E47" s="144"/>
      <c r="F47" s="144">
        <f>[1]May!$D$47</f>
        <v>10.446700507614214</v>
      </c>
      <c r="G47" s="144"/>
      <c r="H47" s="145">
        <f t="shared" si="3"/>
        <v>9.7947330450264616</v>
      </c>
      <c r="I47" s="253"/>
      <c r="J47" s="244" t="str">
        <f t="shared" si="4"/>
        <v>|||||||||</v>
      </c>
      <c r="K47" s="110">
        <v>2011</v>
      </c>
      <c r="L47" s="75"/>
      <c r="M47" s="85" t="s">
        <v>77</v>
      </c>
    </row>
    <row r="48" spans="2:13" s="187" customFormat="1" ht="13.8" hidden="1">
      <c r="B48" s="110"/>
      <c r="C48" s="87" t="s">
        <v>30</v>
      </c>
      <c r="D48" s="147">
        <f>[1]June!$B$47</f>
        <v>8.589365037888685</v>
      </c>
      <c r="E48" s="144"/>
      <c r="F48" s="144">
        <f>[1]June!$D$47</f>
        <v>12.584905660377359</v>
      </c>
      <c r="G48" s="144"/>
      <c r="H48" s="145">
        <f t="shared" si="3"/>
        <v>10.587135349133021</v>
      </c>
      <c r="I48" s="253"/>
      <c r="J48" s="244" t="str">
        <f t="shared" si="4"/>
        <v>||||||||||</v>
      </c>
      <c r="K48" s="110">
        <v>2011</v>
      </c>
      <c r="L48" s="75"/>
      <c r="M48" s="85" t="s">
        <v>78</v>
      </c>
    </row>
    <row r="49" spans="2:13" s="187" customFormat="1" ht="13.8" hidden="1">
      <c r="B49" s="110"/>
      <c r="C49" s="87" t="s">
        <v>36</v>
      </c>
      <c r="D49" s="147">
        <f>[1]July!$B$47</f>
        <v>8.9597811480130538</v>
      </c>
      <c r="E49" s="144"/>
      <c r="F49" s="144">
        <f>[1]July!$D$47</f>
        <v>10.425806451612903</v>
      </c>
      <c r="G49" s="144"/>
      <c r="H49" s="145">
        <f t="shared" si="3"/>
        <v>9.6927937998129785</v>
      </c>
      <c r="I49" s="253"/>
      <c r="J49" s="244" t="str">
        <f t="shared" si="4"/>
        <v>|||||||||</v>
      </c>
      <c r="K49" s="68">
        <v>2011</v>
      </c>
      <c r="L49" s="75"/>
      <c r="M49" s="85" t="s">
        <v>79</v>
      </c>
    </row>
    <row r="50" spans="2:13" s="187" customFormat="1" ht="13.8" hidden="1">
      <c r="B50" s="110"/>
      <c r="C50" s="87" t="s">
        <v>37</v>
      </c>
      <c r="D50" s="147">
        <f>[1]August!$B$47</f>
        <v>8.9640038914711919</v>
      </c>
      <c r="E50" s="144"/>
      <c r="F50" s="144">
        <f>[1]August!$D$47</f>
        <v>10.8283378746594</v>
      </c>
      <c r="G50" s="144"/>
      <c r="H50" s="145">
        <f t="shared" si="3"/>
        <v>9.8961708830652952</v>
      </c>
      <c r="I50" s="253"/>
      <c r="J50" s="244" t="str">
        <f t="shared" si="4"/>
        <v>|||||||||</v>
      </c>
      <c r="K50" s="110">
        <v>2011</v>
      </c>
      <c r="L50" s="75"/>
      <c r="M50" s="85" t="s">
        <v>80</v>
      </c>
    </row>
    <row r="51" spans="2:13" s="187" customFormat="1" ht="13.8" hidden="1">
      <c r="B51" s="110"/>
      <c r="C51" s="87" t="s">
        <v>31</v>
      </c>
      <c r="D51" s="147">
        <f>[1]September!$B$47</f>
        <v>8.7441051830924703</v>
      </c>
      <c r="E51" s="144"/>
      <c r="F51" s="144">
        <f>[1]September!$D$47</f>
        <v>9.5801749271137027</v>
      </c>
      <c r="G51" s="144"/>
      <c r="H51" s="145">
        <f t="shared" si="3"/>
        <v>9.1621400551030874</v>
      </c>
      <c r="I51" s="253"/>
      <c r="J51" s="244" t="str">
        <f t="shared" si="4"/>
        <v>|||||||||</v>
      </c>
      <c r="K51" s="110">
        <v>2011</v>
      </c>
      <c r="L51" s="75"/>
      <c r="M51" s="85" t="s">
        <v>31</v>
      </c>
    </row>
    <row r="52" spans="2:13" s="187" customFormat="1" ht="13.8" hidden="1">
      <c r="B52" s="110"/>
      <c r="C52" s="87" t="s">
        <v>38</v>
      </c>
      <c r="D52" s="147">
        <f>[1]October!$B$48</f>
        <v>8.0182057731464802</v>
      </c>
      <c r="E52" s="144"/>
      <c r="F52" s="144">
        <f>[1]October!$D$48</f>
        <v>9.039007092198581</v>
      </c>
      <c r="G52" s="144"/>
      <c r="H52" s="145">
        <f t="shared" si="3"/>
        <v>8.5286064326725306</v>
      </c>
      <c r="I52" s="253"/>
      <c r="J52" s="244" t="str">
        <f t="shared" si="4"/>
        <v>||||||||</v>
      </c>
      <c r="K52" s="110">
        <v>2011</v>
      </c>
      <c r="L52" s="75"/>
      <c r="M52" s="85" t="s">
        <v>49</v>
      </c>
    </row>
    <row r="53" spans="2:13" s="187" customFormat="1" ht="13.8" hidden="1">
      <c r="B53" s="110"/>
      <c r="C53" s="87" t="s">
        <v>39</v>
      </c>
      <c r="D53" s="147">
        <f>[1]November!$B$47</f>
        <v>8.1449945593035906</v>
      </c>
      <c r="E53" s="144"/>
      <c r="F53" s="144">
        <f>[1]November!$D$47</f>
        <v>10.963576160000001</v>
      </c>
      <c r="G53" s="144"/>
      <c r="H53" s="145">
        <f t="shared" si="3"/>
        <v>9.5542853596517965</v>
      </c>
      <c r="I53" s="253"/>
      <c r="J53" s="244" t="str">
        <f t="shared" si="4"/>
        <v>|||||||||</v>
      </c>
      <c r="K53" s="110">
        <v>2011</v>
      </c>
      <c r="L53" s="75"/>
      <c r="M53" s="85" t="s">
        <v>39</v>
      </c>
    </row>
    <row r="54" spans="2:13" s="187" customFormat="1" ht="13.8" hidden="1">
      <c r="B54" s="110"/>
      <c r="C54" s="87" t="s">
        <v>32</v>
      </c>
      <c r="D54" s="147">
        <f>[1]December!$B$47</f>
        <v>11.985294120000001</v>
      </c>
      <c r="E54" s="144"/>
      <c r="F54" s="144">
        <f>[1]December!$D$47</f>
        <v>13.53231939</v>
      </c>
      <c r="G54" s="144"/>
      <c r="H54" s="145">
        <f t="shared" si="3"/>
        <v>12.758806755</v>
      </c>
      <c r="I54" s="253"/>
      <c r="J54" s="244" t="str">
        <f t="shared" si="4"/>
        <v>||||||||||||</v>
      </c>
      <c r="K54" s="110">
        <v>2011</v>
      </c>
      <c r="L54" s="75"/>
      <c r="M54" s="85" t="s">
        <v>32</v>
      </c>
    </row>
    <row r="55" spans="2:13" s="187" customFormat="1" ht="13.8" hidden="1">
      <c r="B55" s="110">
        <v>2012</v>
      </c>
      <c r="C55" s="87" t="s">
        <v>33</v>
      </c>
      <c r="D55" s="147">
        <f>[2]Summary_Jan_12!$B$47</f>
        <v>10.287258792938278</v>
      </c>
      <c r="E55" s="144"/>
      <c r="F55" s="144">
        <f>[2]Summary_Jan_12!$D$47</f>
        <v>11.109756097560975</v>
      </c>
      <c r="G55" s="144"/>
      <c r="H55" s="145">
        <f t="shared" si="3"/>
        <v>10.698507445249627</v>
      </c>
      <c r="I55" s="253"/>
      <c r="J55" s="244" t="str">
        <f t="shared" si="4"/>
        <v>||||||||||</v>
      </c>
      <c r="K55" s="68">
        <v>2012</v>
      </c>
      <c r="L55" s="75"/>
      <c r="M55" s="85" t="s">
        <v>33</v>
      </c>
    </row>
    <row r="56" spans="2:13" s="187" customFormat="1" ht="13.8" hidden="1">
      <c r="B56" s="110">
        <v>2012</v>
      </c>
      <c r="C56" s="87" t="s">
        <v>34</v>
      </c>
      <c r="D56" s="147">
        <f>'[2]Summary_Feb_12 '!$B$47</f>
        <v>9.2880630630630634</v>
      </c>
      <c r="E56" s="144"/>
      <c r="F56" s="144">
        <f>'[2]Summary_Feb_12 '!$D$47</f>
        <v>10.655172413793103</v>
      </c>
      <c r="G56" s="144"/>
      <c r="H56" s="145">
        <f t="shared" si="3"/>
        <v>9.9716177384280833</v>
      </c>
      <c r="I56" s="253"/>
      <c r="J56" s="244" t="str">
        <f t="shared" si="4"/>
        <v>|||||||||</v>
      </c>
      <c r="K56" s="68">
        <v>2012</v>
      </c>
      <c r="L56" s="75"/>
      <c r="M56" s="85" t="s">
        <v>75</v>
      </c>
    </row>
    <row r="57" spans="2:13" s="187" customFormat="1" ht="13.8" hidden="1">
      <c r="B57" s="110">
        <v>2012</v>
      </c>
      <c r="C57" s="12" t="s">
        <v>29</v>
      </c>
      <c r="D57" s="147">
        <f>[2]Summary_Mar_12!$B$47</f>
        <v>9.7463827019996749</v>
      </c>
      <c r="E57" s="144"/>
      <c r="F57" s="144">
        <f>[2]Summary_Mar_12!$D$47</f>
        <v>11.178010471204189</v>
      </c>
      <c r="G57" s="144"/>
      <c r="H57" s="261">
        <f>AVERAGE(D57:F57)</f>
        <v>10.462196586601932</v>
      </c>
      <c r="I57" s="253"/>
      <c r="J57" s="244" t="str">
        <f t="shared" si="4"/>
        <v>||||||||||</v>
      </c>
      <c r="K57" s="68">
        <v>2012</v>
      </c>
      <c r="L57" s="75"/>
      <c r="M57" s="85" t="s">
        <v>29</v>
      </c>
    </row>
    <row r="58" spans="2:13" s="187" customFormat="1" ht="13.8" hidden="1">
      <c r="B58" s="110">
        <v>2012</v>
      </c>
      <c r="C58" s="12" t="s">
        <v>35</v>
      </c>
      <c r="D58" s="147">
        <f>'[2]Summary_Apr_12 '!$B$47</f>
        <v>9.6733892090099527</v>
      </c>
      <c r="E58" s="144"/>
      <c r="F58" s="144">
        <f>'[2]Summary_Apr_12 '!$D$47</f>
        <v>10.79372197309417</v>
      </c>
      <c r="G58" s="144"/>
      <c r="H58" s="145">
        <f t="shared" si="3"/>
        <v>10.233555591052061</v>
      </c>
      <c r="I58" s="253"/>
      <c r="J58" s="244" t="str">
        <f t="shared" si="4"/>
        <v>||||||||||</v>
      </c>
      <c r="K58" s="68">
        <v>2012</v>
      </c>
      <c r="L58" s="75"/>
      <c r="M58" s="85" t="s">
        <v>76</v>
      </c>
    </row>
    <row r="59" spans="2:13" s="187" customFormat="1" ht="13.8" hidden="1">
      <c r="B59" s="110"/>
      <c r="C59" s="12" t="s">
        <v>4</v>
      </c>
      <c r="D59" s="147">
        <f>[2]Summary_May_12!$B$47</f>
        <v>9.8192021636240696</v>
      </c>
      <c r="E59" s="144"/>
      <c r="F59" s="144">
        <f>[2]Summary_May_12!$D$47</f>
        <v>12.575342465753424</v>
      </c>
      <c r="G59" s="144"/>
      <c r="H59" s="145">
        <f t="shared" si="3"/>
        <v>11.197272314688746</v>
      </c>
      <c r="I59" s="253"/>
      <c r="J59" s="244" t="str">
        <f t="shared" si="4"/>
        <v>|||||||||||</v>
      </c>
      <c r="K59" s="68">
        <v>2012</v>
      </c>
      <c r="L59" s="75"/>
      <c r="M59" s="85" t="s">
        <v>77</v>
      </c>
    </row>
    <row r="60" spans="2:13" s="187" customFormat="1" ht="13.8" hidden="1">
      <c r="B60" s="110"/>
      <c r="C60" s="12" t="s">
        <v>30</v>
      </c>
      <c r="D60" s="147">
        <f>[2]Summary_June_12!$B$47</f>
        <v>9.5336464821811493</v>
      </c>
      <c r="E60" s="144"/>
      <c r="F60" s="144">
        <f>[2]Summary_June_12!$D$47</f>
        <v>11.744047619047619</v>
      </c>
      <c r="G60" s="144"/>
      <c r="H60" s="145">
        <f t="shared" si="3"/>
        <v>10.638847050614384</v>
      </c>
      <c r="I60" s="253"/>
      <c r="J60" s="244" t="str">
        <f t="shared" si="4"/>
        <v>||||||||||</v>
      </c>
      <c r="K60" s="68">
        <v>2012</v>
      </c>
      <c r="L60" s="75"/>
      <c r="M60" s="85" t="s">
        <v>78</v>
      </c>
    </row>
    <row r="61" spans="2:13" s="187" customFormat="1" ht="13.8" hidden="1">
      <c r="B61" s="110"/>
      <c r="C61" s="12" t="s">
        <v>36</v>
      </c>
      <c r="D61" s="147">
        <f>[2]Summary_July_12!$B$47</f>
        <v>11.368008363826451</v>
      </c>
      <c r="E61" s="144"/>
      <c r="F61" s="144">
        <f>[2]Summary_July_12!$D$47</f>
        <v>11.535031847133759</v>
      </c>
      <c r="G61" s="144"/>
      <c r="H61" s="145">
        <f t="shared" si="3"/>
        <v>11.451520105480105</v>
      </c>
      <c r="I61" s="253"/>
      <c r="J61" s="244" t="str">
        <f t="shared" si="4"/>
        <v>|||||||||||</v>
      </c>
      <c r="K61" s="68">
        <v>2012</v>
      </c>
      <c r="L61" s="75"/>
      <c r="M61" s="85" t="s">
        <v>79</v>
      </c>
    </row>
    <row r="62" spans="2:13" s="187" customFormat="1" ht="13.8" hidden="1">
      <c r="B62" s="110"/>
      <c r="C62" s="12" t="s">
        <v>37</v>
      </c>
      <c r="D62" s="147">
        <f>'[2]Summary_August_12 '!$B$47</f>
        <v>10.445090121146459</v>
      </c>
      <c r="E62" s="144"/>
      <c r="F62" s="144">
        <f>'[2]Summary_August_12 '!$D$47</f>
        <v>10.50199203187251</v>
      </c>
      <c r="G62" s="144"/>
      <c r="H62" s="145">
        <f t="shared" si="3"/>
        <v>10.473541076509484</v>
      </c>
      <c r="I62" s="253"/>
      <c r="J62" s="244" t="str">
        <f t="shared" si="4"/>
        <v>||||||||||</v>
      </c>
      <c r="K62" s="68">
        <v>2012</v>
      </c>
      <c r="L62" s="75"/>
      <c r="M62" s="85" t="s">
        <v>80</v>
      </c>
    </row>
    <row r="63" spans="2:13" s="187" customFormat="1" ht="13.8" hidden="1">
      <c r="B63" s="110"/>
      <c r="C63" s="12" t="s">
        <v>31</v>
      </c>
      <c r="D63" s="147">
        <f>[2]Summary_September_12!$B$47</f>
        <v>9.5212454842594187</v>
      </c>
      <c r="E63" s="144"/>
      <c r="F63" s="144">
        <f>[2]Summary_September_12!$D$47</f>
        <v>11.020338983050847</v>
      </c>
      <c r="G63" s="144"/>
      <c r="H63" s="145">
        <f t="shared" si="3"/>
        <v>10.270792233655133</v>
      </c>
      <c r="I63" s="253"/>
      <c r="J63" s="244" t="str">
        <f t="shared" si="4"/>
        <v>||||||||||</v>
      </c>
      <c r="K63" s="68">
        <v>2012</v>
      </c>
      <c r="L63" s="75"/>
      <c r="M63" s="85" t="s">
        <v>31</v>
      </c>
    </row>
    <row r="64" spans="2:13" s="187" customFormat="1" ht="13.8" hidden="1">
      <c r="B64" s="110">
        <v>2012</v>
      </c>
      <c r="C64" s="12" t="s">
        <v>38</v>
      </c>
      <c r="D64" s="147">
        <f>'[2]Summary_October_12 '!$B$47</f>
        <v>10.445090121146459</v>
      </c>
      <c r="E64" s="144"/>
      <c r="F64" s="144">
        <f>'[2]Summary_October_12 '!$D$47</f>
        <v>10.50199203187251</v>
      </c>
      <c r="G64" s="144"/>
      <c r="H64" s="145">
        <f>(D64+F64)/2</f>
        <v>10.473541076509484</v>
      </c>
      <c r="I64" s="253"/>
      <c r="J64" s="244" t="str">
        <f t="shared" si="4"/>
        <v>||||||||||</v>
      </c>
      <c r="K64" s="68">
        <v>2012</v>
      </c>
      <c r="L64" s="75"/>
      <c r="M64" s="85" t="s">
        <v>49</v>
      </c>
    </row>
    <row r="65" spans="2:13" s="187" customFormat="1" ht="13.8" hidden="1">
      <c r="B65" s="110">
        <v>2012</v>
      </c>
      <c r="C65" s="12" t="s">
        <v>39</v>
      </c>
      <c r="D65" s="147">
        <f>'[2]Summary November12'!$B$47</f>
        <v>8.9084421704591357</v>
      </c>
      <c r="E65" s="144"/>
      <c r="F65" s="144">
        <f>'[2]Summary November12'!$D$47</f>
        <v>9.0222222222222221</v>
      </c>
      <c r="G65" s="144"/>
      <c r="H65" s="145">
        <f>(D65+F65)/2</f>
        <v>8.9653321963406789</v>
      </c>
      <c r="I65" s="253"/>
      <c r="J65" s="244" t="str">
        <f>REPT("|",H65)</f>
        <v>||||||||</v>
      </c>
      <c r="K65" s="68">
        <v>2012</v>
      </c>
      <c r="L65" s="75"/>
      <c r="M65" s="85" t="s">
        <v>39</v>
      </c>
    </row>
    <row r="66" spans="2:13" s="187" customFormat="1" ht="13.8" hidden="1">
      <c r="B66" s="110">
        <v>2012</v>
      </c>
      <c r="C66" s="12" t="s">
        <v>32</v>
      </c>
      <c r="D66" s="147">
        <f>'[2]Summary December12'!$B$47</f>
        <v>8.9084421704591357</v>
      </c>
      <c r="E66" s="144"/>
      <c r="F66" s="144">
        <f>'[2]Summary December12'!$D$47</f>
        <v>12.655405405405405</v>
      </c>
      <c r="G66" s="144"/>
      <c r="H66" s="145">
        <f>(D66+F66)/2</f>
        <v>10.781923787932271</v>
      </c>
      <c r="I66" s="253"/>
      <c r="J66" s="244"/>
      <c r="K66" s="68">
        <v>2012</v>
      </c>
      <c r="L66" s="75"/>
      <c r="M66" s="85" t="s">
        <v>32</v>
      </c>
    </row>
    <row r="67" spans="2:13" s="187" customFormat="1" ht="13.8" hidden="1">
      <c r="B67" s="110">
        <v>2013</v>
      </c>
      <c r="C67" s="12" t="s">
        <v>33</v>
      </c>
      <c r="D67" s="147">
        <f>[5]Summary_Jan_13!$B$46</f>
        <v>11.640572276960453</v>
      </c>
      <c r="E67" s="144"/>
      <c r="F67" s="144">
        <f>[5]Summary_Jan_13!$D$46</f>
        <v>11.17258883248731</v>
      </c>
      <c r="G67" s="144"/>
      <c r="H67" s="144">
        <f t="shared" ref="H67:H74" si="5">SUM(D67:F67)/2</f>
        <v>11.406580554723881</v>
      </c>
      <c r="I67" s="242"/>
      <c r="J67" s="238"/>
      <c r="K67" s="75">
        <v>2013</v>
      </c>
      <c r="L67" s="75"/>
      <c r="M67" s="85" t="s">
        <v>33</v>
      </c>
    </row>
    <row r="68" spans="2:13" s="187" customFormat="1" ht="13.8" hidden="1">
      <c r="B68" s="110">
        <v>2013</v>
      </c>
      <c r="C68" s="12" t="s">
        <v>34</v>
      </c>
      <c r="D68" s="147">
        <f>[5]Summary_Feb_13revised!$B$47</f>
        <v>15.593008739076154</v>
      </c>
      <c r="E68" s="255"/>
      <c r="F68" s="144">
        <f>[5]Summary_Feb_13revised!$D$47</f>
        <v>9.3524590163934427</v>
      </c>
      <c r="G68" s="255"/>
      <c r="H68" s="144">
        <f t="shared" si="5"/>
        <v>12.472733877734798</v>
      </c>
      <c r="I68" s="464"/>
      <c r="J68" s="238"/>
      <c r="K68" s="75">
        <v>2013</v>
      </c>
      <c r="L68" s="75"/>
      <c r="M68" s="85" t="s">
        <v>75</v>
      </c>
    </row>
    <row r="69" spans="2:13" s="187" customFormat="1" ht="13.8" hidden="1">
      <c r="B69" s="110">
        <v>2013</v>
      </c>
      <c r="C69" s="12" t="s">
        <v>29</v>
      </c>
      <c r="D69" s="147">
        <f>[5]Summary_Mar_13!$B$47</f>
        <v>10.053048065650644</v>
      </c>
      <c r="E69" s="144"/>
      <c r="F69" s="144">
        <f>[5]Summary_Mar_13!$D$47</f>
        <v>11.153333333333334</v>
      </c>
      <c r="G69" s="144"/>
      <c r="H69" s="261">
        <f>AVERAGE(D69:F69)</f>
        <v>10.603190699491989</v>
      </c>
      <c r="I69" s="242"/>
      <c r="J69" s="238"/>
      <c r="K69" s="75">
        <v>2013</v>
      </c>
      <c r="L69" s="75"/>
      <c r="M69" s="85" t="s">
        <v>29</v>
      </c>
    </row>
    <row r="70" spans="2:13" s="187" customFormat="1" ht="13.8" hidden="1">
      <c r="B70" s="110">
        <v>2013</v>
      </c>
      <c r="C70" s="12" t="s">
        <v>35</v>
      </c>
      <c r="D70" s="147">
        <f>'[5]April 2013'!$A$41</f>
        <v>10.743887530562347</v>
      </c>
      <c r="E70" s="144"/>
      <c r="F70" s="144">
        <f>'[5]April 2013'!$D$35</f>
        <v>10.818371607515658</v>
      </c>
      <c r="G70" s="144"/>
      <c r="H70" s="144">
        <f t="shared" si="5"/>
        <v>10.781129569039003</v>
      </c>
      <c r="I70" s="242"/>
      <c r="J70" s="238"/>
      <c r="K70" s="75">
        <v>2013</v>
      </c>
      <c r="L70" s="75"/>
      <c r="M70" s="85" t="s">
        <v>76</v>
      </c>
    </row>
    <row r="71" spans="2:13" s="187" customFormat="1" ht="13.8" hidden="1">
      <c r="B71" s="110">
        <v>2013</v>
      </c>
      <c r="C71" s="12" t="s">
        <v>4</v>
      </c>
      <c r="D71" s="147">
        <f>[5]Summary_May_13!$B$48</f>
        <v>9.4632914847161569</v>
      </c>
      <c r="E71" s="144"/>
      <c r="F71" s="144">
        <f>[5]Summary_May_13!$D$48</f>
        <v>12.58600583090379</v>
      </c>
      <c r="G71" s="144"/>
      <c r="H71" s="144">
        <f t="shared" si="5"/>
        <v>11.024648657809973</v>
      </c>
      <c r="I71" s="242"/>
      <c r="J71" s="238"/>
      <c r="K71" s="75">
        <v>2013</v>
      </c>
      <c r="L71" s="75"/>
      <c r="M71" s="85" t="s">
        <v>77</v>
      </c>
    </row>
    <row r="72" spans="2:13" s="187" customFormat="1" ht="13.8" hidden="1">
      <c r="B72" s="110">
        <v>2013</v>
      </c>
      <c r="C72" s="12" t="s">
        <v>30</v>
      </c>
      <c r="D72" s="147">
        <f>'[5]Summary_June_13 (2)'!$B$48</f>
        <v>9.1576268048870784</v>
      </c>
      <c r="E72" s="144"/>
      <c r="F72" s="144">
        <f>'[5]Summary_June_13 (2)'!$D$48</f>
        <v>11.6525</v>
      </c>
      <c r="G72" s="144"/>
      <c r="H72" s="144">
        <f t="shared" si="5"/>
        <v>10.405063402443538</v>
      </c>
      <c r="I72" s="242"/>
      <c r="J72" s="238"/>
      <c r="K72" s="75">
        <v>2013</v>
      </c>
      <c r="L72" s="75"/>
      <c r="M72" s="85" t="s">
        <v>78</v>
      </c>
    </row>
    <row r="73" spans="2:13" s="187" customFormat="1" ht="13.8" hidden="1">
      <c r="B73" s="110">
        <v>2013</v>
      </c>
      <c r="C73" s="12" t="s">
        <v>36</v>
      </c>
      <c r="D73" s="147">
        <f>[5]Summary_July_13!$B$48</f>
        <v>9.9892888498683057</v>
      </c>
      <c r="E73" s="144"/>
      <c r="F73" s="144">
        <f>[5]Summary_July_13!$D$48</f>
        <v>12</v>
      </c>
      <c r="G73" s="144"/>
      <c r="H73" s="144">
        <f t="shared" si="5"/>
        <v>10.994644424934153</v>
      </c>
      <c r="I73" s="242"/>
      <c r="J73" s="238"/>
      <c r="K73" s="75">
        <v>2013</v>
      </c>
      <c r="L73" s="75"/>
      <c r="M73" s="85" t="s">
        <v>79</v>
      </c>
    </row>
    <row r="74" spans="2:13" s="187" customFormat="1" ht="13.8" hidden="1">
      <c r="B74" s="110">
        <v>2013</v>
      </c>
      <c r="C74" s="12" t="s">
        <v>37</v>
      </c>
      <c r="D74" s="147">
        <f>'[5]Summary_Aug_13 '!$B$48</f>
        <v>9.5376837374777637</v>
      </c>
      <c r="E74" s="144"/>
      <c r="F74" s="144">
        <f>'[5]Summary_Aug_13 '!$D$48</f>
        <v>13.150442477876107</v>
      </c>
      <c r="G74" s="144"/>
      <c r="H74" s="144">
        <f t="shared" si="5"/>
        <v>11.344063107676934</v>
      </c>
      <c r="I74" s="242"/>
      <c r="J74" s="238"/>
      <c r="K74" s="75">
        <v>2013</v>
      </c>
      <c r="L74" s="75"/>
      <c r="M74" s="85" t="s">
        <v>80</v>
      </c>
    </row>
    <row r="75" spans="2:13" s="187" customFormat="1" ht="13.8" hidden="1">
      <c r="B75" s="110">
        <v>2013</v>
      </c>
      <c r="C75" s="12" t="s">
        <v>31</v>
      </c>
      <c r="D75" s="147">
        <f>'[5]Summary_Sep 13'!$B$48:$B$48</f>
        <v>9.0102292768959433</v>
      </c>
      <c r="E75" s="144"/>
      <c r="F75" s="144">
        <f>'[5]Summary_Sep 13'!$D$48</f>
        <v>12.83203125</v>
      </c>
      <c r="G75" s="144"/>
      <c r="H75" s="144">
        <f t="shared" ref="H75:H80" si="6">SUM(D75:F75)/2</f>
        <v>10.921130263447971</v>
      </c>
      <c r="I75" s="242"/>
      <c r="J75" s="238"/>
      <c r="K75" s="75">
        <v>2013</v>
      </c>
      <c r="L75" s="75"/>
      <c r="M75" s="85" t="s">
        <v>31</v>
      </c>
    </row>
    <row r="76" spans="2:13" s="187" customFormat="1" ht="13.8" hidden="1">
      <c r="B76" s="110">
        <v>2013</v>
      </c>
      <c r="C76" s="12" t="s">
        <v>38</v>
      </c>
      <c r="D76" s="147">
        <f>'[5]Summary_Oct 13 '!$B$48</f>
        <v>15.689827735540371</v>
      </c>
      <c r="E76" s="144"/>
      <c r="F76" s="144">
        <f>'[5]Summary_Oct 13 '!$D$48</f>
        <v>10.581986143187066</v>
      </c>
      <c r="G76" s="144"/>
      <c r="H76" s="144">
        <f t="shared" si="6"/>
        <v>13.135906939363718</v>
      </c>
      <c r="I76" s="242"/>
      <c r="J76" s="238"/>
      <c r="K76" s="75">
        <v>2013</v>
      </c>
      <c r="L76" s="75"/>
      <c r="M76" s="85" t="s">
        <v>49</v>
      </c>
    </row>
    <row r="77" spans="2:13" s="187" customFormat="1" ht="13.8" hidden="1">
      <c r="B77" s="110">
        <v>2013</v>
      </c>
      <c r="C77" s="12" t="s">
        <v>39</v>
      </c>
      <c r="D77" s="147">
        <f>'[5]Summary_Nov 13 '!$B$48</f>
        <v>8.0364217252396166</v>
      </c>
      <c r="E77" s="144"/>
      <c r="F77" s="144">
        <f>'[5]Summary_Nov 13 '!$D$48</f>
        <v>11.838926174496644</v>
      </c>
      <c r="G77" s="144"/>
      <c r="H77" s="144">
        <f t="shared" si="6"/>
        <v>9.937673949868131</v>
      </c>
      <c r="I77" s="242"/>
      <c r="J77" s="238"/>
      <c r="K77" s="75">
        <v>2013</v>
      </c>
      <c r="L77" s="75"/>
      <c r="M77" s="85" t="s">
        <v>39</v>
      </c>
    </row>
    <row r="78" spans="2:13" s="187" customFormat="1" ht="13.8" hidden="1">
      <c r="B78" s="110">
        <v>2013</v>
      </c>
      <c r="C78" s="12" t="s">
        <v>32</v>
      </c>
      <c r="D78" s="147">
        <f>'[5]Summary_Dec 13 '!$B$49</f>
        <v>11.065976987226856</v>
      </c>
      <c r="E78" s="144"/>
      <c r="F78" s="144">
        <f>'[5]Summary_Dec 13 '!$D$49</f>
        <v>12.213157894736842</v>
      </c>
      <c r="G78" s="144"/>
      <c r="H78" s="144">
        <f t="shared" si="6"/>
        <v>11.63956744098185</v>
      </c>
      <c r="I78" s="242"/>
      <c r="J78" s="238"/>
      <c r="K78" s="75">
        <v>2013</v>
      </c>
      <c r="L78" s="75"/>
      <c r="M78" s="85" t="s">
        <v>32</v>
      </c>
    </row>
    <row r="79" spans="2:13" s="187" customFormat="1" ht="15" hidden="1" customHeight="1">
      <c r="B79" s="385">
        <v>2014</v>
      </c>
      <c r="C79" s="518" t="s">
        <v>33</v>
      </c>
      <c r="D79" s="521">
        <f>'[6]Summary_Jan 14'!$C$48</f>
        <v>10.439913127413128</v>
      </c>
      <c r="E79" s="387"/>
      <c r="F79" s="387">
        <f>'[6]Summary_Jan 14'!$B$48</f>
        <v>13.622641509433961</v>
      </c>
      <c r="G79" s="387"/>
      <c r="H79" s="387">
        <f t="shared" si="6"/>
        <v>12.031277318423545</v>
      </c>
      <c r="I79" s="388"/>
      <c r="J79" s="380"/>
      <c r="K79" s="381">
        <v>2014</v>
      </c>
      <c r="L79" s="381"/>
      <c r="M79" s="386" t="s">
        <v>33</v>
      </c>
    </row>
    <row r="80" spans="2:13" s="187" customFormat="1" ht="15" hidden="1" customHeight="1">
      <c r="B80" s="110">
        <v>2014</v>
      </c>
      <c r="C80" s="12" t="s">
        <v>34</v>
      </c>
      <c r="D80" s="147">
        <f>'[6]Summary_Feb 14 '!$C$48</f>
        <v>13.092660926609266</v>
      </c>
      <c r="E80" s="144"/>
      <c r="F80" s="144">
        <f>'[6]Summary_Feb 14 '!$B$48</f>
        <v>16.717557251908396</v>
      </c>
      <c r="G80" s="144"/>
      <c r="H80" s="144">
        <f t="shared" si="6"/>
        <v>14.905109089258831</v>
      </c>
      <c r="I80" s="242"/>
      <c r="J80" s="238"/>
      <c r="K80" s="110">
        <v>2014</v>
      </c>
      <c r="L80" s="75"/>
      <c r="M80" s="85" t="s">
        <v>75</v>
      </c>
    </row>
    <row r="81" spans="2:13" s="187" customFormat="1" ht="15" hidden="1" customHeight="1">
      <c r="B81" s="110">
        <v>2014</v>
      </c>
      <c r="C81" s="12" t="s">
        <v>29</v>
      </c>
      <c r="D81" s="147">
        <f>'[6]Summary_Mar 14 '!$C$48</f>
        <v>9.8732371535094821</v>
      </c>
      <c r="E81" s="144"/>
      <c r="F81" s="144">
        <f>'[6]Summary_Mar 14 '!$B$48</f>
        <v>9.0289855072463769</v>
      </c>
      <c r="G81" s="144"/>
      <c r="H81" s="261">
        <f>AVERAGE(D81:F81)</f>
        <v>9.4511113303779304</v>
      </c>
      <c r="I81" s="242"/>
      <c r="J81" s="238"/>
      <c r="K81" s="110">
        <v>2014</v>
      </c>
      <c r="L81" s="75"/>
      <c r="M81" s="85" t="s">
        <v>29</v>
      </c>
    </row>
    <row r="82" spans="2:13" s="187" customFormat="1" ht="15" hidden="1" customHeight="1">
      <c r="B82" s="110">
        <v>2014</v>
      </c>
      <c r="C82" s="12" t="s">
        <v>35</v>
      </c>
      <c r="D82" s="147">
        <f>'[6]Summary_Apr 14'!$C$48</f>
        <v>9.0246259351620939</v>
      </c>
      <c r="E82" s="144"/>
      <c r="F82" s="144">
        <f>'[6]Summary_Apr 14'!$B$48</f>
        <v>10.845945945945946</v>
      </c>
      <c r="G82" s="144"/>
      <c r="H82" s="144">
        <f>SUM(D82:F82)/2</f>
        <v>9.9352859405540208</v>
      </c>
      <c r="I82" s="242"/>
      <c r="J82" s="238"/>
      <c r="K82" s="75">
        <v>2014</v>
      </c>
      <c r="L82" s="75"/>
      <c r="M82" s="85" t="s">
        <v>76</v>
      </c>
    </row>
    <row r="83" spans="2:13" s="187" customFormat="1" ht="15" hidden="1" customHeight="1">
      <c r="B83" s="110">
        <v>2014</v>
      </c>
      <c r="C83" s="12" t="s">
        <v>4</v>
      </c>
      <c r="D83" s="147">
        <f>'[6]Summary_May 14 '!$C$48</f>
        <v>8.7859249329758722</v>
      </c>
      <c r="E83" s="144"/>
      <c r="F83" s="144">
        <f>'[6]Summary_May 14 '!$B$48</f>
        <v>13.127450980392156</v>
      </c>
      <c r="G83" s="144"/>
      <c r="H83" s="144">
        <f>SUM(D83:F83)/2</f>
        <v>10.956687956684014</v>
      </c>
      <c r="I83" s="242"/>
      <c r="J83" s="238"/>
      <c r="K83" s="75">
        <v>2014</v>
      </c>
      <c r="L83" s="75"/>
      <c r="M83" s="85" t="s">
        <v>77</v>
      </c>
    </row>
    <row r="84" spans="2:13" s="187" customFormat="1" ht="15" hidden="1" customHeight="1">
      <c r="B84" s="110">
        <v>2014</v>
      </c>
      <c r="C84" s="12" t="s">
        <v>30</v>
      </c>
      <c r="D84" s="147">
        <f>'[6]Summary_June 14'!$C$48</f>
        <v>9.1513875598086116</v>
      </c>
      <c r="E84" s="144"/>
      <c r="F84" s="144">
        <f>'[6]Summary_June 14'!$B$48</f>
        <v>10.945945945945946</v>
      </c>
      <c r="G84" s="144"/>
      <c r="H84" s="144">
        <f>SUM(D84:F84)/2</f>
        <v>10.048666752877278</v>
      </c>
      <c r="I84" s="242"/>
      <c r="J84" s="238"/>
      <c r="K84" s="75">
        <v>2014</v>
      </c>
      <c r="L84" s="75"/>
      <c r="M84" s="85" t="s">
        <v>78</v>
      </c>
    </row>
    <row r="85" spans="2:13" s="187" customFormat="1" ht="15" hidden="1" customHeight="1">
      <c r="B85" s="110">
        <v>2014</v>
      </c>
      <c r="C85" s="12" t="s">
        <v>36</v>
      </c>
      <c r="D85" s="147">
        <f>'[6]Summary_July 14'!$C$48</f>
        <v>9.8682678983833725</v>
      </c>
      <c r="E85" s="144"/>
      <c r="F85" s="144">
        <f>'[6]Summary_July 14'!$B$48</f>
        <v>13.127572016460906</v>
      </c>
      <c r="G85" s="144"/>
      <c r="H85" s="144">
        <f>'[6]Summary_July 14'!$D$48</f>
        <v>11.497919957422139</v>
      </c>
      <c r="I85" s="242"/>
      <c r="J85" s="238"/>
      <c r="K85" s="75">
        <v>2014</v>
      </c>
      <c r="L85" s="75"/>
      <c r="M85" s="85" t="s">
        <v>79</v>
      </c>
    </row>
    <row r="86" spans="2:13" s="187" customFormat="1" ht="15" hidden="1" customHeight="1">
      <c r="B86" s="110">
        <v>2014</v>
      </c>
      <c r="C86" s="12" t="s">
        <v>37</v>
      </c>
      <c r="D86" s="147">
        <f>'[6]Summary_Aug 14'!$C$48</f>
        <v>8.78482356062616</v>
      </c>
      <c r="E86" s="144"/>
      <c r="F86" s="144">
        <f>'[6]Summary_Aug 14'!$B$48</f>
        <v>10.151419558359622</v>
      </c>
      <c r="G86" s="144"/>
      <c r="H86" s="144">
        <f>'[6]Summary_Aug 14'!$D$48</f>
        <v>9.4681215594928911</v>
      </c>
      <c r="I86" s="242"/>
      <c r="J86" s="238"/>
      <c r="K86" s="75">
        <v>2014</v>
      </c>
      <c r="L86" s="75"/>
      <c r="M86" s="85" t="s">
        <v>80</v>
      </c>
    </row>
    <row r="87" spans="2:13" s="187" customFormat="1" ht="15" hidden="1" customHeight="1">
      <c r="B87" s="110">
        <v>2014</v>
      </c>
      <c r="C87" s="12" t="s">
        <v>31</v>
      </c>
      <c r="D87" s="147">
        <f>'[6]Summary_Sep 14'!$C$48</f>
        <v>8.9768889727384202</v>
      </c>
      <c r="E87" s="144"/>
      <c r="F87" s="144">
        <f>'[6]Summary_Sep 14'!$B$48</f>
        <v>9.6666666666666661</v>
      </c>
      <c r="G87" s="144"/>
      <c r="H87" s="144">
        <f>'[6]Summary_Sep 14'!$D$48</f>
        <v>9.3217778197025432</v>
      </c>
      <c r="I87" s="242"/>
      <c r="J87" s="238"/>
      <c r="K87" s="75">
        <v>2014</v>
      </c>
      <c r="L87" s="75"/>
      <c r="M87" s="85" t="s">
        <v>31</v>
      </c>
    </row>
    <row r="88" spans="2:13" s="187" customFormat="1" ht="15" hidden="1" customHeight="1">
      <c r="B88" s="110">
        <v>2014</v>
      </c>
      <c r="C88" s="12" t="s">
        <v>38</v>
      </c>
      <c r="D88" s="147">
        <f>'[6]Summary_Oct 14'!$C$48</f>
        <v>8.0742914979757092</v>
      </c>
      <c r="E88" s="144"/>
      <c r="F88" s="144">
        <f>'[6]Summary_Oct 14'!$B$48</f>
        <v>8.5990099009900991</v>
      </c>
      <c r="G88" s="144"/>
      <c r="H88" s="144">
        <f>'[6]Summary_Sep 14'!$D$48</f>
        <v>9.3217778197025432</v>
      </c>
      <c r="I88" s="242"/>
      <c r="J88" s="238"/>
      <c r="K88" s="75">
        <v>2014</v>
      </c>
      <c r="L88" s="75"/>
      <c r="M88" s="85" t="s">
        <v>49</v>
      </c>
    </row>
    <row r="89" spans="2:13" s="187" customFormat="1" ht="3.75" hidden="1" customHeight="1">
      <c r="B89" s="110">
        <v>2014</v>
      </c>
      <c r="C89" s="12" t="s">
        <v>39</v>
      </c>
      <c r="D89" s="147">
        <f>'[6]Summary_Nov 14'!$C$48</f>
        <v>8.3169384180029642</v>
      </c>
      <c r="E89" s="144"/>
      <c r="F89" s="144">
        <f>'[6]Summary_Nov 14'!$B$48</f>
        <v>9.6067961165048548</v>
      </c>
      <c r="G89" s="144"/>
      <c r="H89" s="144">
        <f>'[6]Summary_Nov 14'!$D$48</f>
        <v>8.9618672672539095</v>
      </c>
      <c r="I89" s="242"/>
      <c r="J89" s="238"/>
      <c r="K89" s="75">
        <v>2014</v>
      </c>
      <c r="L89" s="75"/>
      <c r="M89" s="85" t="s">
        <v>39</v>
      </c>
    </row>
    <row r="90" spans="2:13" s="187" customFormat="1" ht="15" hidden="1" customHeight="1">
      <c r="B90" s="110">
        <v>2014</v>
      </c>
      <c r="C90" s="12" t="s">
        <v>32</v>
      </c>
      <c r="D90" s="147">
        <f>'[6]Summary_Dec 14'!$C$48</f>
        <v>9.7306865222299876</v>
      </c>
      <c r="E90" s="144"/>
      <c r="F90" s="144">
        <f>'[6]Summary_Dec 14'!$B$48</f>
        <v>13.068119891008175</v>
      </c>
      <c r="G90" s="144"/>
      <c r="H90" s="144">
        <f>'[6]Summary_Dec 14'!$D$48</f>
        <v>11.39940320661908</v>
      </c>
      <c r="I90" s="242"/>
      <c r="J90" s="238"/>
      <c r="K90" s="75">
        <v>2014</v>
      </c>
      <c r="L90" s="75"/>
      <c r="M90" s="85" t="s">
        <v>32</v>
      </c>
    </row>
    <row r="91" spans="2:13" s="187" customFormat="1" ht="15" hidden="1" customHeight="1">
      <c r="B91" s="110">
        <v>2015</v>
      </c>
      <c r="C91" s="12" t="s">
        <v>33</v>
      </c>
      <c r="D91" s="147">
        <f>'[7]Summary_Jan 15'!$C$48</f>
        <v>8.8859510174241496</v>
      </c>
      <c r="E91" s="144"/>
      <c r="F91" s="144">
        <f>'[7]Summary_Jan 15'!$B$48</f>
        <v>9.1672473867595823</v>
      </c>
      <c r="G91" s="144"/>
      <c r="H91" s="144">
        <f>'[7]Summary_Jan 15'!$D$48</f>
        <v>9.0265992020918659</v>
      </c>
      <c r="I91" s="242"/>
      <c r="J91" s="238"/>
      <c r="K91" s="75">
        <v>2015</v>
      </c>
      <c r="L91" s="75"/>
      <c r="M91" s="85" t="s">
        <v>33</v>
      </c>
    </row>
    <row r="92" spans="2:13" s="187" customFormat="1" ht="13.95" hidden="1" customHeight="1">
      <c r="B92" s="110">
        <v>2015</v>
      </c>
      <c r="C92" s="12" t="s">
        <v>34</v>
      </c>
      <c r="D92" s="147">
        <f>'[7]Summary_Feb 15'!$C$48</f>
        <v>12.501260422726391</v>
      </c>
      <c r="E92" s="144"/>
      <c r="F92" s="144">
        <f>'[7]Summary_Feb 15'!$B$48</f>
        <v>10.798994974874372</v>
      </c>
      <c r="G92" s="144"/>
      <c r="H92" s="144">
        <f>'[7]Summary_Feb 15'!$D$48</f>
        <v>11.650127698800382</v>
      </c>
      <c r="I92" s="242"/>
      <c r="J92" s="238"/>
      <c r="K92" s="75">
        <v>2015</v>
      </c>
      <c r="L92" s="75"/>
      <c r="M92" s="85" t="s">
        <v>75</v>
      </c>
    </row>
    <row r="93" spans="2:13" s="187" customFormat="1" ht="15" hidden="1" customHeight="1">
      <c r="B93" s="110">
        <v>2015</v>
      </c>
      <c r="C93" s="12" t="s">
        <v>29</v>
      </c>
      <c r="D93" s="147">
        <f>'[7]Summary_Mar 15'!$C$48</f>
        <v>11.488834844130002</v>
      </c>
      <c r="E93" s="144"/>
      <c r="F93" s="144">
        <f>'[7]Summary_Mar 15'!$B$48</f>
        <v>15.472527472527473</v>
      </c>
      <c r="G93" s="144"/>
      <c r="H93" s="261">
        <f>AVERAGE(D93:F93)</f>
        <v>13.480681158328737</v>
      </c>
      <c r="I93" s="242"/>
      <c r="J93" s="238"/>
      <c r="K93" s="75">
        <v>2015</v>
      </c>
      <c r="L93" s="75"/>
      <c r="M93" s="85" t="s">
        <v>29</v>
      </c>
    </row>
    <row r="94" spans="2:13" s="187" customFormat="1" ht="15" hidden="1" customHeight="1">
      <c r="B94" s="110">
        <v>2015</v>
      </c>
      <c r="C94" s="12" t="s">
        <v>35</v>
      </c>
      <c r="D94" s="147">
        <f>'[7]Summary_Apr 15 '!$C$48</f>
        <v>11.13325499412456</v>
      </c>
      <c r="E94" s="144"/>
      <c r="F94" s="144">
        <f>'[7]Summary_Apr 15 '!$B$48</f>
        <v>10.441077441077441</v>
      </c>
      <c r="G94" s="144"/>
      <c r="H94" s="144">
        <f>'[7]Summary_Apr 15 '!$D$48</f>
        <v>10.787166217601001</v>
      </c>
      <c r="I94" s="242"/>
      <c r="J94" s="238"/>
      <c r="K94" s="75">
        <v>2015</v>
      </c>
      <c r="L94" s="75"/>
      <c r="M94" s="85" t="s">
        <v>76</v>
      </c>
    </row>
    <row r="95" spans="2:13" s="187" customFormat="1" ht="15" hidden="1" customHeight="1">
      <c r="B95" s="110">
        <v>2015</v>
      </c>
      <c r="C95" s="12" t="s">
        <v>4</v>
      </c>
      <c r="D95" s="147">
        <f>'[7]Summary_May 15  '!$C$48</f>
        <v>10.35619955979457</v>
      </c>
      <c r="E95" s="144"/>
      <c r="F95" s="144">
        <f>'[7]Summary_May 15  '!$B$48</f>
        <v>14.262295081967213</v>
      </c>
      <c r="G95" s="144"/>
      <c r="H95" s="144">
        <f>'[7]Summary_May 15  '!$D$48</f>
        <v>12.309247320880893</v>
      </c>
      <c r="I95" s="242"/>
      <c r="J95" s="238"/>
      <c r="K95" s="75">
        <v>2015</v>
      </c>
      <c r="L95" s="75"/>
      <c r="M95" s="85" t="s">
        <v>77</v>
      </c>
    </row>
    <row r="96" spans="2:13" s="187" customFormat="1" ht="14.4" hidden="1" customHeight="1">
      <c r="B96" s="110">
        <v>2015</v>
      </c>
      <c r="C96" s="12" t="s">
        <v>30</v>
      </c>
      <c r="D96" s="147">
        <f>'[7]Summary_June 15 '!$C$48</f>
        <v>11.62728332685581</v>
      </c>
      <c r="E96" s="144"/>
      <c r="F96" s="144">
        <f>'[7]Summary_June 15 '!$B$48</f>
        <v>11.431818181818182</v>
      </c>
      <c r="G96" s="144"/>
      <c r="H96" s="144">
        <f>'[7]Summary_June 15 '!$D$48</f>
        <v>11.529550754336995</v>
      </c>
      <c r="I96" s="242"/>
      <c r="J96" s="238"/>
      <c r="K96" s="75">
        <v>2015</v>
      </c>
      <c r="L96" s="75"/>
      <c r="M96" s="85" t="s">
        <v>78</v>
      </c>
    </row>
    <row r="97" spans="2:13" s="187" customFormat="1" ht="15" hidden="1" customHeight="1">
      <c r="B97" s="110">
        <v>2015</v>
      </c>
      <c r="C97" s="12" t="s">
        <v>36</v>
      </c>
      <c r="D97" s="147">
        <f>'[7]Summary_July 15'!$C$48</f>
        <v>11.693738375697459</v>
      </c>
      <c r="E97" s="144"/>
      <c r="F97" s="144">
        <f>'[7]Summary_July 15'!$B$48</f>
        <v>12.496710526315789</v>
      </c>
      <c r="G97" s="144"/>
      <c r="H97" s="144">
        <f>'[7]Summary_July 15'!$D$48</f>
        <v>12.095224451006624</v>
      </c>
      <c r="I97" s="242"/>
      <c r="J97" s="238"/>
      <c r="K97" s="75">
        <v>2015</v>
      </c>
      <c r="L97" s="75"/>
      <c r="M97" s="85" t="s">
        <v>79</v>
      </c>
    </row>
    <row r="98" spans="2:13" s="187" customFormat="1" ht="15" hidden="1" customHeight="1">
      <c r="B98" s="110">
        <v>2015</v>
      </c>
      <c r="C98" s="12" t="s">
        <v>37</v>
      </c>
      <c r="D98" s="147">
        <f>'[7]Summary_August 15'!$C$48</f>
        <v>10.463753599599348</v>
      </c>
      <c r="E98" s="144"/>
      <c r="F98" s="144">
        <f>'[7]Summary_August 15'!$B$48</f>
        <v>10.911242603550296</v>
      </c>
      <c r="G98" s="144"/>
      <c r="H98" s="144">
        <f>'[7]Summary_August 15'!$D$48</f>
        <v>10.687498101574821</v>
      </c>
      <c r="I98" s="242"/>
      <c r="J98" s="238"/>
      <c r="K98" s="75">
        <v>2015</v>
      </c>
      <c r="L98" s="75"/>
      <c r="M98" s="85" t="s">
        <v>80</v>
      </c>
    </row>
    <row r="99" spans="2:13" s="187" customFormat="1" ht="15" hidden="1" customHeight="1">
      <c r="B99" s="110">
        <v>2015</v>
      </c>
      <c r="C99" s="12" t="s">
        <v>31</v>
      </c>
      <c r="D99" s="147">
        <f>'[7]Summary September 2015'!$C$48</f>
        <v>9.4832000000000001</v>
      </c>
      <c r="E99" s="144"/>
      <c r="F99" s="144">
        <f>'[7]Summary September 2015'!$B$48</f>
        <v>10.843500000000001</v>
      </c>
      <c r="G99" s="144"/>
      <c r="H99" s="144">
        <f>'[7]Summary September 2015'!$D$48</f>
        <v>10.163350000000001</v>
      </c>
      <c r="I99" s="242"/>
      <c r="J99" s="238"/>
      <c r="K99" s="75">
        <v>2015</v>
      </c>
      <c r="L99" s="75"/>
      <c r="M99" s="85" t="s">
        <v>31</v>
      </c>
    </row>
    <row r="100" spans="2:13" s="187" customFormat="1" ht="15" hidden="1" customHeight="1">
      <c r="B100" s="110">
        <v>2015</v>
      </c>
      <c r="C100" s="12" t="s">
        <v>38</v>
      </c>
      <c r="D100" s="147">
        <f>'[8]Summary Oct 2015 '!$C$49</f>
        <v>9.4672110863647614</v>
      </c>
      <c r="E100" s="144"/>
      <c r="F100" s="144">
        <f>'[8]Summary Oct 2015 '!$B$49</f>
        <v>11.573369565217391</v>
      </c>
      <c r="G100" s="144"/>
      <c r="H100" s="144">
        <f>'[8]Summary Oct 2015 '!$D$49</f>
        <v>10.520290325791077</v>
      </c>
      <c r="I100" s="242"/>
      <c r="J100" s="238"/>
      <c r="K100" s="75">
        <v>2015</v>
      </c>
      <c r="L100" s="75"/>
      <c r="M100" s="85" t="s">
        <v>49</v>
      </c>
    </row>
    <row r="101" spans="2:13" s="187" customFormat="1" ht="15" hidden="1" customHeight="1">
      <c r="B101" s="110">
        <v>2015</v>
      </c>
      <c r="C101" s="12" t="s">
        <v>39</v>
      </c>
      <c r="D101" s="147">
        <f>'[8]Summary Nov 2015'!$C$49</f>
        <v>8.8726559092891417</v>
      </c>
      <c r="E101" s="144"/>
      <c r="F101" s="144">
        <f>'[8]Summary Nov 2015'!$B$49</f>
        <v>10.343023255813954</v>
      </c>
      <c r="G101" s="144"/>
      <c r="H101" s="144">
        <f>'[8]Summary Nov 2015'!$D$49</f>
        <v>9.6078395825515486</v>
      </c>
      <c r="I101" s="242"/>
      <c r="J101" s="238"/>
      <c r="K101" s="75">
        <v>2015</v>
      </c>
      <c r="L101" s="75"/>
      <c r="M101" s="85" t="s">
        <v>39</v>
      </c>
    </row>
    <row r="102" spans="2:13" s="187" customFormat="1" ht="15" hidden="1" customHeight="1">
      <c r="B102" s="110">
        <v>2015</v>
      </c>
      <c r="C102" s="12" t="s">
        <v>32</v>
      </c>
      <c r="D102" s="147">
        <v>10.199999999999999</v>
      </c>
      <c r="E102" s="144"/>
      <c r="F102" s="144">
        <v>12.4</v>
      </c>
      <c r="G102" s="144"/>
      <c r="H102" s="144">
        <v>11.3</v>
      </c>
      <c r="I102" s="242"/>
      <c r="J102" s="238"/>
      <c r="K102" s="75">
        <v>2015</v>
      </c>
      <c r="L102" s="75"/>
      <c r="M102" s="85" t="s">
        <v>32</v>
      </c>
    </row>
    <row r="103" spans="2:13" s="187" customFormat="1" ht="15" customHeight="1">
      <c r="B103" s="110">
        <v>2016</v>
      </c>
      <c r="C103" s="12" t="s">
        <v>33</v>
      </c>
      <c r="D103" s="147">
        <f>'[9]Summary Jan 2016'!$C$49</f>
        <v>10.309381980640357</v>
      </c>
      <c r="E103" s="144"/>
      <c r="F103" s="144">
        <f>'[9]Summary Jan 2016'!$B$49</f>
        <v>11.216358839050132</v>
      </c>
      <c r="G103" s="144"/>
      <c r="H103" s="144">
        <f>'[9]Summary Jan 2016'!$D$49</f>
        <v>10.762870409845245</v>
      </c>
      <c r="I103" s="242"/>
      <c r="J103" s="238"/>
      <c r="K103" s="75">
        <v>2016</v>
      </c>
      <c r="L103" s="75"/>
      <c r="M103" s="85" t="s">
        <v>33</v>
      </c>
    </row>
    <row r="104" spans="2:13" s="187" customFormat="1" ht="13.95" hidden="1" customHeight="1">
      <c r="B104" s="110">
        <v>2016</v>
      </c>
      <c r="C104" s="12" t="s">
        <v>34</v>
      </c>
      <c r="D104" s="147">
        <f>'[9]Summary Feb 2016'!$C$49</f>
        <v>11.361083249749248</v>
      </c>
      <c r="E104" s="144"/>
      <c r="F104" s="144">
        <f>'[9]Summary Feb 2016'!$B$49</f>
        <v>10.718894009216591</v>
      </c>
      <c r="G104" s="144"/>
      <c r="H104" s="144">
        <f>'[9]Summary Feb 2016'!$D$49</f>
        <v>11.03998862948292</v>
      </c>
      <c r="I104" s="242"/>
      <c r="J104" s="238"/>
      <c r="K104" s="75">
        <v>2016</v>
      </c>
      <c r="L104" s="75"/>
      <c r="M104" s="85" t="s">
        <v>75</v>
      </c>
    </row>
    <row r="105" spans="2:13" s="187" customFormat="1" ht="12.75" hidden="1" customHeight="1">
      <c r="B105" s="110">
        <v>2016</v>
      </c>
      <c r="C105" s="12" t="s">
        <v>29</v>
      </c>
      <c r="D105" s="147">
        <f>'[9]Summary Mar 2016'!$C$49</f>
        <v>8.5134788189987169</v>
      </c>
      <c r="E105" s="144"/>
      <c r="F105" s="144">
        <f>'[9]Summary Mar 2016'!$B$49</f>
        <v>13.718253968253968</v>
      </c>
      <c r="G105" s="144"/>
      <c r="H105" s="261">
        <f t="shared" ref="H105:H117" si="7">AVERAGE(D105:F105)</f>
        <v>11.115866393626343</v>
      </c>
      <c r="I105" s="242"/>
      <c r="J105" s="238"/>
      <c r="K105" s="75">
        <v>2016</v>
      </c>
      <c r="L105" s="75"/>
      <c r="M105" s="85" t="s">
        <v>29</v>
      </c>
    </row>
    <row r="106" spans="2:13" s="187" customFormat="1" ht="14.25" hidden="1" customHeight="1">
      <c r="B106" s="110">
        <v>2016</v>
      </c>
      <c r="C106" s="12" t="s">
        <v>35</v>
      </c>
      <c r="D106" s="147">
        <f>'[9]Summary April 2016'!$C$49</f>
        <v>11.236080178173719</v>
      </c>
      <c r="E106" s="144"/>
      <c r="F106" s="144">
        <f>'[9]Summary April 2016'!$B$49</f>
        <v>11.236080178173719</v>
      </c>
      <c r="G106" s="144"/>
      <c r="H106" s="261">
        <f t="shared" si="7"/>
        <v>11.236080178173719</v>
      </c>
      <c r="I106" s="242"/>
      <c r="J106" s="238"/>
      <c r="K106" s="75">
        <v>2016</v>
      </c>
      <c r="L106" s="75"/>
      <c r="M106" s="85" t="s">
        <v>76</v>
      </c>
    </row>
    <row r="107" spans="2:13" s="187" customFormat="1" ht="14.25" hidden="1" customHeight="1">
      <c r="B107" s="110">
        <v>2016</v>
      </c>
      <c r="C107" s="12" t="s">
        <v>4</v>
      </c>
      <c r="D107" s="147">
        <f>'[9]Summary May 2016'!$C$49</f>
        <v>9.2996247654784234</v>
      </c>
      <c r="E107" s="144"/>
      <c r="F107" s="144">
        <f>'[9]Summary May 2016'!$B$49</f>
        <v>13.265753424657534</v>
      </c>
      <c r="G107" s="144"/>
      <c r="H107" s="261">
        <f t="shared" si="7"/>
        <v>11.28268909506798</v>
      </c>
      <c r="I107" s="242"/>
      <c r="J107" s="238"/>
      <c r="K107" s="75">
        <v>2016</v>
      </c>
      <c r="L107" s="75"/>
      <c r="M107" s="85" t="s">
        <v>77</v>
      </c>
    </row>
    <row r="108" spans="2:13" s="187" customFormat="1" ht="14.25" hidden="1" customHeight="1">
      <c r="B108" s="110">
        <v>2016</v>
      </c>
      <c r="C108" s="12" t="s">
        <v>30</v>
      </c>
      <c r="D108" s="147">
        <f>'[10]Summary June 2016'!$C$49</f>
        <v>9.8374476013041452</v>
      </c>
      <c r="E108" s="144"/>
      <c r="F108" s="144">
        <f>'[10]Summary June 2016'!$B$49</f>
        <v>12.55193482688391</v>
      </c>
      <c r="G108" s="144"/>
      <c r="H108" s="261">
        <f t="shared" si="7"/>
        <v>11.194691214094028</v>
      </c>
      <c r="I108" s="242"/>
      <c r="J108" s="238"/>
      <c r="K108" s="75">
        <v>2016</v>
      </c>
      <c r="L108" s="75"/>
      <c r="M108" s="85" t="s">
        <v>78</v>
      </c>
    </row>
    <row r="109" spans="2:13" s="187" customFormat="1" ht="13.5" hidden="1" customHeight="1">
      <c r="B109" s="110">
        <v>2016</v>
      </c>
      <c r="C109" s="12" t="s">
        <v>36</v>
      </c>
      <c r="D109" s="147">
        <f>'[10]Summary July 2016 '!$C$49</f>
        <v>10.544832306639288</v>
      </c>
      <c r="E109" s="144"/>
      <c r="F109" s="144">
        <f>'[10]Summary July 2016 '!$B$49</f>
        <v>10.936802973977695</v>
      </c>
      <c r="G109" s="144"/>
      <c r="H109" s="261">
        <f t="shared" si="7"/>
        <v>10.740817640308492</v>
      </c>
      <c r="I109" s="242"/>
      <c r="J109" s="238"/>
      <c r="K109" s="75">
        <v>2016</v>
      </c>
      <c r="L109" s="75"/>
      <c r="M109" s="85" t="s">
        <v>79</v>
      </c>
    </row>
    <row r="110" spans="2:13" s="187" customFormat="1" ht="13.5" hidden="1" customHeight="1">
      <c r="B110" s="110">
        <v>2016</v>
      </c>
      <c r="C110" s="12" t="s">
        <v>37</v>
      </c>
      <c r="D110" s="147">
        <f>'[10]Summary August 2016  '!$C$49</f>
        <v>10.631193693693694</v>
      </c>
      <c r="E110" s="144"/>
      <c r="F110" s="144">
        <f>'[10]Summary August 2016  '!$B$49</f>
        <v>12.633251833740831</v>
      </c>
      <c r="G110" s="144"/>
      <c r="H110" s="261">
        <f t="shared" si="7"/>
        <v>11.632222763717262</v>
      </c>
      <c r="I110" s="242"/>
      <c r="J110" s="125"/>
      <c r="K110" s="75">
        <v>2016</v>
      </c>
      <c r="L110" s="75"/>
      <c r="M110" s="85" t="str">
        <f>M98</f>
        <v>Aoû</v>
      </c>
    </row>
    <row r="111" spans="2:13" s="187" customFormat="1" ht="13.5" hidden="1" customHeight="1">
      <c r="B111" s="110">
        <v>2016</v>
      </c>
      <c r="C111" s="12" t="s">
        <v>31</v>
      </c>
      <c r="D111" s="147">
        <f>'[10]Summary September 2016  '!$C$49</f>
        <v>10.750248646259255</v>
      </c>
      <c r="E111" s="144"/>
      <c r="F111" s="144">
        <f>'[10]Summary September 2016  '!$B$49</f>
        <v>11.003558718861211</v>
      </c>
      <c r="G111" s="144"/>
      <c r="H111" s="261">
        <f t="shared" si="7"/>
        <v>10.876903682560233</v>
      </c>
      <c r="I111" s="242"/>
      <c r="J111" s="516"/>
      <c r="K111" s="75">
        <v>2016</v>
      </c>
      <c r="L111" s="75"/>
      <c r="M111" s="85" t="str">
        <f>M99</f>
        <v>Sep</v>
      </c>
    </row>
    <row r="112" spans="2:13" s="187" customFormat="1" ht="15" hidden="1" customHeight="1">
      <c r="B112" s="110">
        <v>2016</v>
      </c>
      <c r="C112" s="12" t="s">
        <v>38</v>
      </c>
      <c r="D112" s="147">
        <f>'[10]Summary October 2016'!$C$49</f>
        <v>10.8745571302037</v>
      </c>
      <c r="E112" s="144"/>
      <c r="F112" s="144">
        <f>'[10]Summary October 2016'!$B$49</f>
        <v>11.015384615384599</v>
      </c>
      <c r="G112" s="144"/>
      <c r="H112" s="261">
        <f t="shared" si="7"/>
        <v>10.944970872794149</v>
      </c>
      <c r="I112" s="242"/>
      <c r="J112" s="238"/>
      <c r="K112" s="75">
        <v>2016</v>
      </c>
      <c r="L112" s="75"/>
      <c r="M112" s="85" t="s">
        <v>49</v>
      </c>
    </row>
    <row r="113" spans="2:13" s="187" customFormat="1" ht="13.5" hidden="1" customHeight="1">
      <c r="B113" s="110">
        <v>2016</v>
      </c>
      <c r="C113" s="12" t="s">
        <v>39</v>
      </c>
      <c r="D113" s="147">
        <f>'[10]Summary November 2016 '!$C$49</f>
        <v>9.8129383140117366</v>
      </c>
      <c r="E113" s="144"/>
      <c r="F113" s="144">
        <f>'[10]Summary November 2016 '!$B$49</f>
        <v>11.76017130620985</v>
      </c>
      <c r="G113" s="144"/>
      <c r="H113" s="261">
        <f t="shared" si="7"/>
        <v>10.786554810110793</v>
      </c>
      <c r="I113" s="242"/>
      <c r="J113" s="238"/>
      <c r="K113" s="75">
        <v>2016</v>
      </c>
      <c r="L113" s="75"/>
      <c r="M113" s="85" t="s">
        <v>39</v>
      </c>
    </row>
    <row r="114" spans="2:13" s="187" customFormat="1" ht="13.5" hidden="1" customHeight="1">
      <c r="B114" s="110">
        <v>2016</v>
      </c>
      <c r="C114" s="12" t="s">
        <v>32</v>
      </c>
      <c r="D114" s="147">
        <f>'[10]Summary December 2016'!$C$49</f>
        <v>9.7512323365100233</v>
      </c>
      <c r="E114" s="144"/>
      <c r="F114" s="144">
        <f>'[10]Summary December 2016'!$B$49</f>
        <v>9.3026315789473681</v>
      </c>
      <c r="G114" s="144"/>
      <c r="H114" s="261">
        <f t="shared" si="7"/>
        <v>9.5269319577286957</v>
      </c>
      <c r="I114" s="242"/>
      <c r="J114" s="238"/>
      <c r="K114" s="75">
        <v>2016</v>
      </c>
      <c r="L114" s="75"/>
      <c r="M114" s="85" t="s">
        <v>32</v>
      </c>
    </row>
    <row r="115" spans="2:13" s="187" customFormat="1" ht="13.5" customHeight="1">
      <c r="B115" s="110">
        <v>2017</v>
      </c>
      <c r="C115" s="12" t="s">
        <v>33</v>
      </c>
      <c r="D115" s="147">
        <f>'[11]Summary Jan 2017'!$C$49</f>
        <v>11.504861275788475</v>
      </c>
      <c r="E115" s="144"/>
      <c r="F115" s="144">
        <f>'[11]Summary Jan 2017'!$B$49</f>
        <v>12.058411214953271</v>
      </c>
      <c r="G115" s="144"/>
      <c r="H115" s="261">
        <f t="shared" si="7"/>
        <v>11.781636245370873</v>
      </c>
      <c r="I115" s="242"/>
      <c r="J115" s="238"/>
      <c r="K115" s="75">
        <v>2017</v>
      </c>
      <c r="L115" s="75"/>
      <c r="M115" s="85" t="s">
        <v>33</v>
      </c>
    </row>
    <row r="116" spans="2:13" s="187" customFormat="1" ht="13.95" hidden="1" customHeight="1">
      <c r="B116" s="110">
        <v>2017</v>
      </c>
      <c r="C116" s="12" t="s">
        <v>34</v>
      </c>
      <c r="D116" s="147">
        <f>'[11]Summary Feb 2017 '!$C$49</f>
        <v>14.537076068212301</v>
      </c>
      <c r="E116" s="144"/>
      <c r="F116" s="144">
        <f>'[11]Summary Feb 2017 '!$B$49</f>
        <v>12.68041237113402</v>
      </c>
      <c r="G116" s="144"/>
      <c r="H116" s="261">
        <f t="shared" si="7"/>
        <v>13.608744219673159</v>
      </c>
      <c r="I116" s="242"/>
      <c r="J116" s="238"/>
      <c r="K116" s="75">
        <v>2017</v>
      </c>
      <c r="L116" s="75"/>
      <c r="M116" s="85" t="s">
        <v>75</v>
      </c>
    </row>
    <row r="117" spans="2:13" s="187" customFormat="1" ht="13.5" hidden="1" customHeight="1">
      <c r="B117" s="110">
        <v>2017</v>
      </c>
      <c r="C117" s="12" t="s">
        <v>29</v>
      </c>
      <c r="D117" s="147">
        <f>'[11]Summary Mar 2017 '!$C$49</f>
        <v>10.131470150487845</v>
      </c>
      <c r="E117" s="144"/>
      <c r="F117" s="144">
        <f>'[11]Summary Mar 2017 '!$B$49</f>
        <v>13.275720164609053</v>
      </c>
      <c r="G117" s="144"/>
      <c r="H117" s="261">
        <f t="shared" si="7"/>
        <v>11.703595157548449</v>
      </c>
      <c r="I117" s="242"/>
      <c r="J117" s="238"/>
      <c r="K117" s="75">
        <v>2017</v>
      </c>
      <c r="L117" s="75"/>
      <c r="M117" s="85" t="s">
        <v>65</v>
      </c>
    </row>
    <row r="118" spans="2:13" s="187" customFormat="1" ht="13.5" hidden="1" customHeight="1">
      <c r="B118" s="110">
        <v>2017</v>
      </c>
      <c r="C118" s="12" t="s">
        <v>35</v>
      </c>
      <c r="D118" s="147">
        <f>'[11]Summary APR 2017 '!$C$49</f>
        <v>10.093757417517208</v>
      </c>
      <c r="E118" s="144"/>
      <c r="F118" s="144">
        <f>'[11]Summary APR 2017 '!$B$49</f>
        <v>11.253012048192771</v>
      </c>
      <c r="G118" s="144"/>
      <c r="H118" s="261">
        <f>AVERAGE(D118:F118)</f>
        <v>10.67338473285499</v>
      </c>
      <c r="I118" s="242"/>
      <c r="J118" s="238"/>
      <c r="K118" s="75">
        <v>2017</v>
      </c>
      <c r="L118" s="75"/>
      <c r="M118" s="85" t="s">
        <v>76</v>
      </c>
    </row>
    <row r="119" spans="2:13" s="187" customFormat="1" ht="13.5" hidden="1" customHeight="1">
      <c r="B119" s="110">
        <v>2017</v>
      </c>
      <c r="C119" s="12" t="s">
        <v>4</v>
      </c>
      <c r="D119" s="147">
        <f>'[11]Summary MAY 2017 '!$C$49</f>
        <v>10.362197670946552</v>
      </c>
      <c r="E119" s="144"/>
      <c r="F119" s="144">
        <f>'[11]Summary MAY 2017 '!$B$49</f>
        <v>17.1796875</v>
      </c>
      <c r="G119" s="144"/>
      <c r="H119" s="261">
        <f>AVERAGE(D119:F119)</f>
        <v>13.770942585473275</v>
      </c>
      <c r="I119" s="242"/>
      <c r="J119" s="238"/>
      <c r="K119" s="75">
        <v>2017</v>
      </c>
      <c r="L119" s="75"/>
      <c r="M119" s="85" t="s">
        <v>77</v>
      </c>
    </row>
    <row r="120" spans="2:13" s="187" customFormat="1" ht="13.8" hidden="1">
      <c r="B120" s="110">
        <v>2017</v>
      </c>
      <c r="C120" s="12" t="s">
        <v>30</v>
      </c>
      <c r="D120" s="147">
        <f>'[11]Summary Jun 2017 '!$C$49</f>
        <v>11.221164613661815</v>
      </c>
      <c r="E120" s="144"/>
      <c r="F120" s="144">
        <f>'[11]Summary Jun 2017 '!$B$49</f>
        <v>12.210633946830265</v>
      </c>
      <c r="G120" s="144"/>
      <c r="H120" s="261">
        <f>AVERAGE(D120:F120)</f>
        <v>11.71589928024604</v>
      </c>
      <c r="I120" s="242"/>
      <c r="J120" s="238"/>
      <c r="K120" s="75">
        <v>2017</v>
      </c>
      <c r="L120" s="75"/>
      <c r="M120" s="85" t="s">
        <v>78</v>
      </c>
    </row>
    <row r="121" spans="2:13" s="187" customFormat="1" ht="13.8" hidden="1">
      <c r="B121" s="110">
        <v>2017</v>
      </c>
      <c r="C121" s="12" t="s">
        <v>36</v>
      </c>
      <c r="D121" s="147">
        <f>'[11]Summary JuL 2017  '!$C$49</f>
        <v>10.818503080826387</v>
      </c>
      <c r="E121" s="144"/>
      <c r="F121" s="144">
        <f>'[11]Summary JuL 2017  '!$B$49</f>
        <v>11.763358778625955</v>
      </c>
      <c r="G121" s="144"/>
      <c r="H121" s="261">
        <f>AVERAGE(D121:F121)</f>
        <v>11.290930929726171</v>
      </c>
      <c r="I121" s="242"/>
      <c r="J121" s="238"/>
      <c r="K121" s="75">
        <v>2017</v>
      </c>
      <c r="L121" s="75"/>
      <c r="M121" s="85" t="s">
        <v>79</v>
      </c>
    </row>
    <row r="122" spans="2:13" s="187" customFormat="1" ht="13.8" hidden="1">
      <c r="B122" s="110">
        <v>2017</v>
      </c>
      <c r="C122" s="12" t="s">
        <v>37</v>
      </c>
      <c r="D122" s="147">
        <f>'[11]Summary_Aug 2017'!$C$49</f>
        <v>9.6095372388155358</v>
      </c>
      <c r="E122" s="144"/>
      <c r="F122" s="144">
        <f>'[11]Summary_Aug 2017'!$B$49</f>
        <v>11.77995642701525</v>
      </c>
      <c r="G122" s="144"/>
      <c r="H122" s="261">
        <f>'[11]Summary_Aug 2017'!$D$49</f>
        <v>10.694746832915392</v>
      </c>
      <c r="I122" s="242"/>
      <c r="J122" s="238"/>
      <c r="K122" s="75">
        <v>2017</v>
      </c>
      <c r="L122" s="75"/>
      <c r="M122" s="85" t="s">
        <v>80</v>
      </c>
    </row>
    <row r="123" spans="2:13" s="187" customFormat="1" ht="13.8" hidden="1">
      <c r="B123" s="110">
        <v>2017</v>
      </c>
      <c r="C123" s="12" t="s">
        <v>31</v>
      </c>
      <c r="D123" s="147">
        <f>'[11]Summary_Sep 2017'!$C$49</f>
        <v>9.4800664451827235</v>
      </c>
      <c r="E123" s="144"/>
      <c r="F123" s="144">
        <f>'[11]Summary_Sep 2017'!$B$49</f>
        <v>10.919678714859439</v>
      </c>
      <c r="G123" s="144"/>
      <c r="H123" s="261">
        <f>'[11]Summary_Sep 2017'!$D$49</f>
        <v>10.199872580021081</v>
      </c>
      <c r="I123" s="242"/>
      <c r="J123" s="238"/>
      <c r="K123" s="75">
        <v>2017</v>
      </c>
      <c r="L123" s="75"/>
      <c r="M123" s="85" t="s">
        <v>31</v>
      </c>
    </row>
    <row r="124" spans="2:13" s="187" customFormat="1" ht="15" hidden="1" customHeight="1">
      <c r="B124" s="110">
        <v>2017</v>
      </c>
      <c r="C124" s="12" t="s">
        <v>38</v>
      </c>
      <c r="D124" s="147">
        <f>'[11]Summary_Oct 2017'!$C$49</f>
        <v>9.8189406737553409</v>
      </c>
      <c r="E124" s="144"/>
      <c r="F124" s="144">
        <f>'[11]Summary_Oct 2017'!$B$49:$B$49</f>
        <v>10.339583333333334</v>
      </c>
      <c r="G124" s="144"/>
      <c r="H124" s="261">
        <f>'[11]Summary_Oct 2017'!$D$49</f>
        <v>10.079262003544336</v>
      </c>
      <c r="I124" s="242"/>
      <c r="J124" s="238"/>
      <c r="K124" s="75">
        <v>2017</v>
      </c>
      <c r="L124" s="75"/>
      <c r="M124" s="85" t="s">
        <v>49</v>
      </c>
    </row>
    <row r="125" spans="2:13" s="187" customFormat="1" ht="13.8" hidden="1">
      <c r="B125" s="110">
        <v>2017</v>
      </c>
      <c r="C125" s="12" t="s">
        <v>39</v>
      </c>
      <c r="D125" s="147">
        <f>'[12]Summary_Nov 2017'!$C$49</f>
        <v>7.4092189605601471</v>
      </c>
      <c r="E125" s="144"/>
      <c r="F125" s="144">
        <f>'[11]Summary_Nov 2017'!$B$49</f>
        <v>11.003115264797508</v>
      </c>
      <c r="G125" s="144"/>
      <c r="H125" s="261">
        <f>'[11]Summary_Nov 2017'!$D$49</f>
        <v>10.386583044571804</v>
      </c>
      <c r="I125" s="242"/>
      <c r="J125" s="238"/>
      <c r="K125" s="75">
        <v>2017</v>
      </c>
      <c r="L125" s="75"/>
      <c r="M125" s="85" t="s">
        <v>39</v>
      </c>
    </row>
    <row r="126" spans="2:13" s="187" customFormat="1" ht="12.75" hidden="1" customHeight="1">
      <c r="B126" s="110">
        <v>2017</v>
      </c>
      <c r="C126" s="12" t="s">
        <v>32</v>
      </c>
      <c r="D126" s="147">
        <f>'[11]Summary_Dec 2017'!$C$49</f>
        <v>10.207162677766215</v>
      </c>
      <c r="E126" s="144"/>
      <c r="F126" s="144">
        <f>'[11]Summary_Dec 2017'!$B$49</f>
        <v>12.752793296089385</v>
      </c>
      <c r="G126" s="144"/>
      <c r="H126" s="261">
        <f>'[11]Summary_Dec 2017'!$D$49</f>
        <v>11.4799779869278</v>
      </c>
      <c r="I126" s="242"/>
      <c r="J126" s="238"/>
      <c r="K126" s="75">
        <v>2017</v>
      </c>
      <c r="L126" s="75"/>
      <c r="M126" s="85" t="s">
        <v>32</v>
      </c>
    </row>
    <row r="127" spans="2:13" s="187" customFormat="1" ht="12.75" customHeight="1">
      <c r="B127" s="110">
        <v>2018</v>
      </c>
      <c r="C127" s="12" t="s">
        <v>33</v>
      </c>
      <c r="D127" s="147">
        <f>'[13]Summary Jan 2018'!$C$49</f>
        <v>10.687214137214138</v>
      </c>
      <c r="E127" s="144"/>
      <c r="F127" s="144">
        <f>'[13]Summary Jan 2018'!$B$49</f>
        <v>12.85024154589372</v>
      </c>
      <c r="G127" s="144"/>
      <c r="H127" s="261">
        <f>'[13]Summary Jan 2018'!$D$49</f>
        <v>11.768727841553929</v>
      </c>
      <c r="I127" s="242"/>
      <c r="J127" s="238"/>
      <c r="K127" s="75">
        <v>2018</v>
      </c>
      <c r="L127" s="75"/>
      <c r="M127" s="85" t="s">
        <v>33</v>
      </c>
    </row>
    <row r="128" spans="2:13" s="187" customFormat="1" ht="13.95" hidden="1" customHeight="1">
      <c r="B128" s="110">
        <v>2018</v>
      </c>
      <c r="C128" s="12" t="s">
        <v>34</v>
      </c>
      <c r="D128" s="147">
        <f>'[14]Summary Feb 2018'!$C$49</f>
        <v>13.450431034482758</v>
      </c>
      <c r="E128" s="144"/>
      <c r="F128" s="144">
        <f>'[14]Summary Feb 2018'!$B$49</f>
        <v>15.790960451977401</v>
      </c>
      <c r="G128" s="144"/>
      <c r="H128" s="261">
        <f>'[14]Summary Feb 2018'!$D$49</f>
        <v>14.62069574323008</v>
      </c>
      <c r="I128" s="242"/>
      <c r="J128" s="238"/>
      <c r="K128" s="75">
        <v>2018</v>
      </c>
      <c r="L128" s="75"/>
      <c r="M128" s="85" t="s">
        <v>75</v>
      </c>
    </row>
    <row r="129" spans="2:13" s="187" customFormat="1" ht="12.75" hidden="1" customHeight="1">
      <c r="B129" s="110">
        <v>2018</v>
      </c>
      <c r="C129" s="12" t="s">
        <v>29</v>
      </c>
      <c r="D129" s="147">
        <f>'[14]Summary Mar 2018 '!$C$49</f>
        <v>9.2163905585691239</v>
      </c>
      <c r="E129" s="144"/>
      <c r="F129" s="144">
        <f>'[14]Summary Mar 2018 '!$B$49</f>
        <v>11.206349206349206</v>
      </c>
      <c r="G129" s="144"/>
      <c r="H129" s="261">
        <f>'[14]Summary Mar 2018 '!$D$49</f>
        <v>10.211369882459165</v>
      </c>
      <c r="I129" s="242"/>
      <c r="J129" s="238"/>
      <c r="K129" s="75">
        <v>2018</v>
      </c>
      <c r="L129" s="75"/>
      <c r="M129" s="85" t="s">
        <v>29</v>
      </c>
    </row>
    <row r="130" spans="2:13" s="187" customFormat="1" ht="12.75" hidden="1" customHeight="1">
      <c r="B130" s="110">
        <v>2018</v>
      </c>
      <c r="C130" s="12" t="s">
        <v>35</v>
      </c>
      <c r="D130" s="147">
        <f>'[14]Summary Apr 2018'!$C$49</f>
        <v>11.441981987836423</v>
      </c>
      <c r="E130" s="144"/>
      <c r="F130" s="144">
        <f>'[14]Summary Apr 2018'!$B$49</f>
        <v>10.248792270531402</v>
      </c>
      <c r="G130" s="144"/>
      <c r="H130" s="261">
        <f>AVERAGE(D130:F130)</f>
        <v>10.845387129183912</v>
      </c>
      <c r="I130" s="242"/>
      <c r="J130" s="238"/>
      <c r="K130" s="75">
        <v>2018</v>
      </c>
      <c r="L130" s="75"/>
      <c r="M130" s="85" t="s">
        <v>76</v>
      </c>
    </row>
    <row r="131" spans="2:13" s="187" customFormat="1" ht="12.75" hidden="1" customHeight="1">
      <c r="B131" s="110">
        <v>2018</v>
      </c>
      <c r="C131" s="12" t="s">
        <v>4</v>
      </c>
      <c r="D131" s="147">
        <f>'[14]Summary May 2018'!$C$49</f>
        <v>9.0676637317573281</v>
      </c>
      <c r="E131" s="144"/>
      <c r="F131" s="144">
        <f>'[14]Summary May 2018'!$B$49</f>
        <v>10.765100671140939</v>
      </c>
      <c r="G131" s="144"/>
      <c r="H131" s="261">
        <f>'[14]Summary May 2018'!$D$49</f>
        <v>9.9163822014491334</v>
      </c>
      <c r="I131" s="242"/>
      <c r="J131" s="238"/>
      <c r="K131" s="75">
        <v>2018</v>
      </c>
      <c r="L131" s="75"/>
      <c r="M131" s="85" t="s">
        <v>77</v>
      </c>
    </row>
    <row r="132" spans="2:13" s="187" customFormat="1" ht="12.75" hidden="1" customHeight="1">
      <c r="B132" s="110">
        <v>2018</v>
      </c>
      <c r="C132" s="12" t="s">
        <v>30</v>
      </c>
      <c r="D132" s="147">
        <f>'[14]Summary June 2018'!$C$49</f>
        <v>9.5561613958560532</v>
      </c>
      <c r="E132" s="144"/>
      <c r="F132" s="144">
        <f>'[14]Summary June 2018'!$B$49</f>
        <v>11.450928381962864</v>
      </c>
      <c r="G132" s="144"/>
      <c r="H132" s="261">
        <f>'[14]Summary June 2018'!$D$49</f>
        <v>10.50354488890946</v>
      </c>
      <c r="I132" s="242"/>
      <c r="J132" s="238"/>
      <c r="K132" s="75">
        <v>2018</v>
      </c>
      <c r="L132" s="75"/>
      <c r="M132" s="85" t="s">
        <v>78</v>
      </c>
    </row>
    <row r="133" spans="2:13" s="187" customFormat="1" ht="12.75" hidden="1" customHeight="1">
      <c r="B133" s="110">
        <v>2018</v>
      </c>
      <c r="C133" s="12" t="s">
        <v>36</v>
      </c>
      <c r="D133" s="147">
        <f>'[14]Summary July 2018'!$C$49</f>
        <v>10.60012724669954</v>
      </c>
      <c r="E133" s="144"/>
      <c r="F133" s="144">
        <f>'[14]Summary July 2018'!$B$49</f>
        <v>13.251295336787564</v>
      </c>
      <c r="G133" s="144"/>
      <c r="H133" s="261">
        <f>'[14]Summary July 2018'!$D$49</f>
        <v>11.925711291743552</v>
      </c>
      <c r="I133" s="242"/>
      <c r="J133" s="238"/>
      <c r="K133" s="75">
        <v>2018</v>
      </c>
      <c r="L133" s="75"/>
      <c r="M133" s="85" t="s">
        <v>79</v>
      </c>
    </row>
    <row r="134" spans="2:13" s="187" customFormat="1" ht="14.25" hidden="1" customHeight="1">
      <c r="B134" s="110">
        <v>2018</v>
      </c>
      <c r="C134" s="12" t="s">
        <v>237</v>
      </c>
      <c r="D134" s="147">
        <f>'[14]Summary Aug 2018 '!$C$51</f>
        <v>8.8162041392285975</v>
      </c>
      <c r="E134" s="144"/>
      <c r="F134" s="144">
        <f>'[14]Summary Aug 2018 '!$B$51</f>
        <v>10.989276139410189</v>
      </c>
      <c r="G134" s="144"/>
      <c r="H134" s="261">
        <f>'[14]Summary Aug 2018 '!$D$51</f>
        <v>9.902740139319393</v>
      </c>
      <c r="I134" s="242"/>
      <c r="J134" s="238"/>
      <c r="K134" s="75">
        <v>2018</v>
      </c>
      <c r="L134" s="75"/>
      <c r="M134" s="85" t="str">
        <f>M122</f>
        <v>Aoû</v>
      </c>
    </row>
    <row r="135" spans="2:13" s="187" customFormat="1" ht="14.25" hidden="1" customHeight="1">
      <c r="B135" s="110">
        <v>2018</v>
      </c>
      <c r="C135" s="12" t="s">
        <v>31</v>
      </c>
      <c r="D135" s="147">
        <f>'[14]Summary Sep 2018'!$C$50</f>
        <v>9.4528767123287665</v>
      </c>
      <c r="E135" s="144"/>
      <c r="F135" s="144">
        <f>'[14]Summary Sep 2018'!$B$50</f>
        <v>10.913793103448301</v>
      </c>
      <c r="G135" s="144"/>
      <c r="H135" s="261">
        <f>'[14]Summary Sep 2018'!$D$50</f>
        <v>10.183334907888533</v>
      </c>
      <c r="I135" s="242"/>
      <c r="J135" s="238"/>
      <c r="K135" s="75">
        <v>2018</v>
      </c>
      <c r="L135" s="75"/>
      <c r="M135" s="85" t="s">
        <v>31</v>
      </c>
    </row>
    <row r="136" spans="2:13" s="187" customFormat="1" ht="14.25" hidden="1" customHeight="1">
      <c r="B136" s="110">
        <v>2018</v>
      </c>
      <c r="C136" s="12" t="s">
        <v>38</v>
      </c>
      <c r="D136" s="147">
        <f>'[14]Summary Oct 2018'!$C$51</f>
        <v>10.024757582009491</v>
      </c>
      <c r="E136" s="144"/>
      <c r="F136" s="144">
        <f>'[14]Summary Oct 2018'!$B$51</f>
        <v>12.167307692307693</v>
      </c>
      <c r="G136" s="144"/>
      <c r="H136" s="261">
        <f>'[14]Summary Oct 2018'!$D$51</f>
        <v>11.096032637158592</v>
      </c>
      <c r="I136" s="242"/>
      <c r="J136" s="238"/>
      <c r="K136" s="75">
        <v>2018</v>
      </c>
      <c r="L136" s="75"/>
      <c r="M136" s="85" t="s">
        <v>49</v>
      </c>
    </row>
    <row r="137" spans="2:13" s="187" customFormat="1" ht="14.25" hidden="1" customHeight="1">
      <c r="B137" s="110">
        <v>2018</v>
      </c>
      <c r="C137" s="12" t="s">
        <v>39</v>
      </c>
      <c r="D137" s="147">
        <f>'[14]Nov 2018'!$B$48</f>
        <v>8.8369415016121611</v>
      </c>
      <c r="E137" s="144"/>
      <c r="F137" s="144">
        <f>'[14]Nov 2018'!$E$48</f>
        <v>11.956363636363637</v>
      </c>
      <c r="G137" s="144"/>
      <c r="H137" s="261">
        <f>'[14]Nov 2018'!$H$48</f>
        <v>10.3966525689879</v>
      </c>
      <c r="I137" s="242"/>
      <c r="J137" s="238"/>
      <c r="K137" s="75">
        <v>2018</v>
      </c>
      <c r="L137" s="75"/>
      <c r="M137" s="85" t="s">
        <v>39</v>
      </c>
    </row>
    <row r="138" spans="2:13" s="187" customFormat="1" ht="14.25" hidden="1" customHeight="1">
      <c r="B138" s="110">
        <v>2018</v>
      </c>
      <c r="C138" s="12" t="s">
        <v>32</v>
      </c>
      <c r="D138" s="147">
        <f>'[14]Dec 2018'!$B$48</f>
        <v>7.649819754866618</v>
      </c>
      <c r="E138" s="144"/>
      <c r="F138" s="144">
        <f>'[14]Dec 2018'!$E$48</f>
        <v>11.754098360655737</v>
      </c>
      <c r="G138" s="144"/>
      <c r="H138" s="261">
        <f>'[14]Dec 2018'!$H$48</f>
        <v>9.7019590577611776</v>
      </c>
      <c r="I138" s="242"/>
      <c r="J138" s="238"/>
      <c r="K138" s="75">
        <v>2018</v>
      </c>
      <c r="L138" s="75"/>
      <c r="M138" s="85" t="s">
        <v>32</v>
      </c>
    </row>
    <row r="139" spans="2:13" s="187" customFormat="1" ht="14.25" customHeight="1">
      <c r="B139" s="110">
        <v>2019</v>
      </c>
      <c r="C139" s="509" t="s">
        <v>261</v>
      </c>
      <c r="D139" s="147">
        <f>'[15]Jan 2019'!$B$48</f>
        <v>12.366116682842662</v>
      </c>
      <c r="E139" s="144"/>
      <c r="F139" s="144">
        <f>'[15]Jan 2019'!$E$48</f>
        <v>12.020618556701031</v>
      </c>
      <c r="G139" s="144"/>
      <c r="H139" s="261">
        <f>'[15]Jan 2019'!$H$48</f>
        <v>12.193367619771847</v>
      </c>
      <c r="I139" s="242"/>
      <c r="J139" s="238"/>
      <c r="K139" s="75">
        <v>2019</v>
      </c>
      <c r="L139" s="75"/>
      <c r="M139" s="85" t="s">
        <v>261</v>
      </c>
    </row>
    <row r="140" spans="2:13" s="187" customFormat="1" ht="12" hidden="1" customHeight="1">
      <c r="B140" s="110">
        <v>2019</v>
      </c>
      <c r="C140" s="509" t="s">
        <v>262</v>
      </c>
      <c r="D140" s="147">
        <f>'[16]Tab 5'!$A$4</f>
        <v>10.868322169580134</v>
      </c>
      <c r="E140" s="144"/>
      <c r="F140" s="144">
        <f>'[16]Tab 5'!$A$7</f>
        <v>22.635593220338983</v>
      </c>
      <c r="G140" s="144"/>
      <c r="H140" s="261">
        <f>'[16]Tab 5'!$A$9</f>
        <v>16.751957694959557</v>
      </c>
      <c r="I140" s="242"/>
      <c r="J140" s="238"/>
      <c r="K140" s="75">
        <v>2019</v>
      </c>
      <c r="L140" s="75"/>
      <c r="M140" s="85" t="s">
        <v>264</v>
      </c>
    </row>
    <row r="141" spans="2:13" s="187" customFormat="1" ht="12" hidden="1" customHeight="1">
      <c r="B141" s="110">
        <v>2019</v>
      </c>
      <c r="C141" s="509" t="s">
        <v>263</v>
      </c>
      <c r="D141" s="147">
        <f>[17]T5!$A$4</f>
        <v>8.7936204615610762</v>
      </c>
      <c r="E141" s="144"/>
      <c r="F141" s="144">
        <f>[17]T5!$B$4</f>
        <v>9.4018264840182653</v>
      </c>
      <c r="G141" s="144"/>
      <c r="H141" s="261">
        <f>AVERAGE(D141:F141)</f>
        <v>9.0977234727896708</v>
      </c>
      <c r="I141" s="242"/>
      <c r="J141" s="238"/>
      <c r="K141" s="75">
        <v>2019</v>
      </c>
      <c r="L141" s="75"/>
      <c r="M141" s="85" t="s">
        <v>263</v>
      </c>
    </row>
    <row r="142" spans="2:13" s="187" customFormat="1" ht="12" hidden="1" customHeight="1">
      <c r="B142" s="110">
        <v>2019</v>
      </c>
      <c r="C142" s="509" t="s">
        <v>266</v>
      </c>
      <c r="D142" s="147">
        <f>'[18]Tab 5'!$B$3</f>
        <v>7.0641952983725131</v>
      </c>
      <c r="E142" s="144"/>
      <c r="F142" s="144">
        <f>'[18]Tab 5'!$C$3</f>
        <v>12.51453488372093</v>
      </c>
      <c r="G142" s="144"/>
      <c r="H142" s="261">
        <f>'[18]Tab 5'!$D$3</f>
        <v>9.7893650910467223</v>
      </c>
      <c r="I142" s="242"/>
      <c r="J142" s="238"/>
      <c r="K142" s="75">
        <v>2019</v>
      </c>
      <c r="L142" s="75"/>
      <c r="M142" s="85" t="s">
        <v>267</v>
      </c>
    </row>
    <row r="143" spans="2:13" s="187" customFormat="1" ht="12" hidden="1" customHeight="1">
      <c r="B143" s="110">
        <v>2019</v>
      </c>
      <c r="C143" s="509" t="s">
        <v>268</v>
      </c>
      <c r="D143" s="147">
        <f>[19]T6!$B$3</f>
        <v>11.674849094567405</v>
      </c>
      <c r="E143" s="144"/>
      <c r="F143" s="144">
        <f>[19]T6!$C$3</f>
        <v>19.238805970149254</v>
      </c>
      <c r="G143" s="144"/>
      <c r="H143" s="261">
        <f>[19]T6!$D$3</f>
        <v>15.456827532358329</v>
      </c>
      <c r="I143" s="242"/>
      <c r="J143" s="238"/>
      <c r="K143" s="75">
        <v>2019</v>
      </c>
      <c r="L143" s="75"/>
      <c r="M143" s="85" t="s">
        <v>269</v>
      </c>
    </row>
    <row r="144" spans="2:13" s="187" customFormat="1" ht="12" hidden="1" customHeight="1">
      <c r="B144" s="110">
        <v>2019</v>
      </c>
      <c r="C144" s="509" t="s">
        <v>276</v>
      </c>
      <c r="D144" s="147">
        <f>[20]T5!$B$3</f>
        <v>10.41850787674626</v>
      </c>
      <c r="E144" s="144"/>
      <c r="F144" s="144">
        <f>[20]T5!$C$3</f>
        <v>12.825925925925926</v>
      </c>
      <c r="G144" s="144"/>
      <c r="H144" s="261">
        <f>[20]T5!$D$3</f>
        <v>11.622216901336092</v>
      </c>
      <c r="I144" s="242"/>
      <c r="J144" s="238"/>
      <c r="K144" s="75">
        <v>2019</v>
      </c>
      <c r="L144" s="75"/>
      <c r="M144" s="85" t="s">
        <v>277</v>
      </c>
    </row>
    <row r="145" spans="2:13" s="187" customFormat="1" ht="12" hidden="1" customHeight="1">
      <c r="B145" s="110">
        <v>2019</v>
      </c>
      <c r="C145" s="509" t="s">
        <v>280</v>
      </c>
      <c r="D145" s="147">
        <f>[21]T5!$B$3</f>
        <v>9.1647017727709379</v>
      </c>
      <c r="E145" s="144"/>
      <c r="F145" s="144">
        <f>[21]T5!$B$4</f>
        <v>11.909756097560976</v>
      </c>
      <c r="G145" s="144"/>
      <c r="H145" s="261">
        <f>AVERAGE(D145:F145)</f>
        <v>10.537228935165956</v>
      </c>
      <c r="I145" s="242"/>
      <c r="J145" s="238"/>
      <c r="K145" s="75">
        <v>2019</v>
      </c>
      <c r="L145" s="75"/>
      <c r="M145" s="85" t="s">
        <v>281</v>
      </c>
    </row>
    <row r="146" spans="2:13" s="187" customFormat="1" ht="12" hidden="1" customHeight="1">
      <c r="B146" s="110">
        <v>2019</v>
      </c>
      <c r="C146" s="509" t="s">
        <v>282</v>
      </c>
      <c r="D146" s="147">
        <f>[22]T5!$A$3</f>
        <v>11.097550603844191</v>
      </c>
      <c r="E146" s="144"/>
      <c r="F146" s="144">
        <f>[22]T5!$B$3</f>
        <v>11.20353982300885</v>
      </c>
      <c r="G146" s="144"/>
      <c r="H146" s="261">
        <f>[22]T5!$C$3</f>
        <v>11.15054521342652</v>
      </c>
      <c r="I146" s="242"/>
      <c r="J146" s="238"/>
      <c r="K146" s="75"/>
      <c r="L146" s="75"/>
      <c r="M146" s="85" t="s">
        <v>283</v>
      </c>
    </row>
    <row r="147" spans="2:13" s="187" customFormat="1" ht="12" hidden="1" customHeight="1">
      <c r="B147" s="110">
        <v>2019</v>
      </c>
      <c r="C147" s="509" t="s">
        <v>291</v>
      </c>
      <c r="D147" s="147">
        <f>[23]T5!$B$3</f>
        <v>10.428455357948904</v>
      </c>
      <c r="E147" s="144"/>
      <c r="F147" s="144">
        <f>[23]T5!$C$3</f>
        <v>10.17578125</v>
      </c>
      <c r="G147" s="144"/>
      <c r="H147" s="261">
        <f>AVERAGE(D147:F147)</f>
        <v>10.302118303974453</v>
      </c>
      <c r="I147" s="242"/>
      <c r="J147" s="238"/>
      <c r="K147" s="75"/>
      <c r="L147" s="75"/>
      <c r="M147" s="85" t="s">
        <v>291</v>
      </c>
    </row>
    <row r="148" spans="2:13" s="187" customFormat="1" ht="12" hidden="1" customHeight="1">
      <c r="B148" s="110">
        <v>2019</v>
      </c>
      <c r="C148" s="509" t="s">
        <v>295</v>
      </c>
      <c r="D148" s="147">
        <f>[24]Oct19!$B$48</f>
        <v>9.8238987442694832</v>
      </c>
      <c r="E148" s="144"/>
      <c r="F148" s="144">
        <f>[24]Oct19!$C$48</f>
        <v>8.9120234604105573</v>
      </c>
      <c r="G148" s="144"/>
      <c r="H148" s="261">
        <f>AVERAGE(D148:F148)</f>
        <v>9.3679611023400202</v>
      </c>
      <c r="I148" s="242"/>
      <c r="J148" s="238"/>
      <c r="K148" s="75">
        <v>2019</v>
      </c>
      <c r="L148" s="75"/>
      <c r="M148" s="85" t="s">
        <v>295</v>
      </c>
    </row>
    <row r="149" spans="2:13" s="187" customFormat="1" ht="12" hidden="1" customHeight="1">
      <c r="B149" s="110">
        <v>2019</v>
      </c>
      <c r="C149" s="509" t="s">
        <v>296</v>
      </c>
      <c r="D149" s="147">
        <f>[24]Nov19!$B$48</f>
        <v>10.996463490742666</v>
      </c>
      <c r="E149" s="144"/>
      <c r="F149" s="144">
        <f>[24]Nov19!$C$48</f>
        <v>13.7</v>
      </c>
      <c r="G149" s="144"/>
      <c r="H149" s="261">
        <f>[24]Nov19!$D$48</f>
        <v>12.348231745371333</v>
      </c>
      <c r="I149" s="242"/>
      <c r="J149" s="238"/>
      <c r="K149" s="75">
        <v>2019</v>
      </c>
      <c r="L149" s="75"/>
      <c r="M149" s="85" t="s">
        <v>296</v>
      </c>
    </row>
    <row r="150" spans="2:13" s="187" customFormat="1" ht="12" hidden="1" customHeight="1">
      <c r="B150" s="110">
        <v>2019</v>
      </c>
      <c r="C150" s="509" t="s">
        <v>298</v>
      </c>
      <c r="D150" s="147">
        <f>[24]Dec19!$B$48</f>
        <v>11.508247769735735</v>
      </c>
      <c r="E150" s="144"/>
      <c r="F150" s="144">
        <f>[24]Dec19!$C$48</f>
        <v>16.762626262626263</v>
      </c>
      <c r="G150" s="144"/>
      <c r="H150" s="261">
        <f>[24]Dec19!$D$48</f>
        <v>14.135437016180999</v>
      </c>
      <c r="I150" s="242"/>
      <c r="J150" s="238"/>
      <c r="K150" s="75">
        <v>2019</v>
      </c>
      <c r="L150" s="75"/>
      <c r="M150" s="85" t="s">
        <v>298</v>
      </c>
    </row>
    <row r="151" spans="2:13" s="187" customFormat="1" ht="12" customHeight="1">
      <c r="B151" s="110">
        <v>2020</v>
      </c>
      <c r="C151" s="509" t="s">
        <v>261</v>
      </c>
      <c r="D151" s="147">
        <f>[25]Jan!$B$48</f>
        <v>11.806933333333333</v>
      </c>
      <c r="E151" s="144"/>
      <c r="F151" s="144">
        <f>[25]Jan!$C$48</f>
        <v>17.481865284974095</v>
      </c>
      <c r="G151" s="144"/>
      <c r="H151" s="261">
        <f>[25]Jan!$D$48</f>
        <v>14.644399309153714</v>
      </c>
      <c r="I151" s="242"/>
      <c r="J151" s="238"/>
      <c r="K151" s="75">
        <v>2020</v>
      </c>
      <c r="L151" s="75"/>
      <c r="M151" s="85" t="s">
        <v>261</v>
      </c>
    </row>
    <row r="152" spans="2:13" s="187" customFormat="1" ht="12" customHeight="1">
      <c r="B152" s="110"/>
      <c r="C152" s="509" t="s">
        <v>262</v>
      </c>
      <c r="D152" s="147">
        <f>[25]Feb!$B$48</f>
        <v>13.604260813428018</v>
      </c>
      <c r="E152" s="144"/>
      <c r="F152" s="144">
        <v>0</v>
      </c>
      <c r="G152" s="144"/>
      <c r="H152" s="261">
        <f>[25]Feb!$D$48</f>
        <v>13.604260813428018</v>
      </c>
      <c r="I152" s="242"/>
      <c r="J152" s="238"/>
      <c r="K152" s="75"/>
      <c r="L152" s="75"/>
      <c r="M152" s="85" t="s">
        <v>264</v>
      </c>
    </row>
    <row r="153" spans="2:13" s="187" customFormat="1" ht="12" customHeight="1">
      <c r="B153" s="110"/>
      <c r="C153" s="509" t="s">
        <v>303</v>
      </c>
      <c r="D153" s="147">
        <f>[25]Mar!$B$48</f>
        <v>8.7187211804488172</v>
      </c>
      <c r="E153" s="144"/>
      <c r="F153" s="144">
        <v>0</v>
      </c>
      <c r="G153" s="144"/>
      <c r="H153" s="261">
        <f>[25]Mar!$D$48</f>
        <v>8.7187211804488172</v>
      </c>
      <c r="I153" s="242"/>
      <c r="J153" s="238"/>
      <c r="K153" s="75"/>
      <c r="L153" s="75"/>
      <c r="M153" s="85" t="s">
        <v>263</v>
      </c>
    </row>
    <row r="154" spans="2:13" s="187" customFormat="1" ht="12" customHeight="1">
      <c r="B154" s="110"/>
      <c r="C154" s="509" t="s">
        <v>266</v>
      </c>
      <c r="D154" s="147">
        <f>[25]Apr!$B$48</f>
        <v>0</v>
      </c>
      <c r="E154" s="144"/>
      <c r="F154" s="144">
        <f>[25]Apr!$C$48</f>
        <v>0</v>
      </c>
      <c r="G154" s="144"/>
      <c r="H154" s="261">
        <f>[25]Apr!$D$48</f>
        <v>0</v>
      </c>
      <c r="I154" s="242"/>
      <c r="J154" s="238"/>
      <c r="K154" s="75"/>
      <c r="L154" s="75"/>
      <c r="M154" s="85" t="s">
        <v>267</v>
      </c>
    </row>
    <row r="155" spans="2:13" s="187" customFormat="1" ht="14.25" customHeight="1">
      <c r="B155" s="110"/>
      <c r="C155" s="509" t="s">
        <v>305</v>
      </c>
      <c r="D155" s="147">
        <f>[25]May!$B$48</f>
        <v>0</v>
      </c>
      <c r="E155" s="144"/>
      <c r="F155" s="144">
        <f>[25]May!$C$48</f>
        <v>0</v>
      </c>
      <c r="G155" s="144"/>
      <c r="H155" s="261">
        <f>[25]May!$D$48</f>
        <v>0</v>
      </c>
      <c r="I155" s="242"/>
      <c r="J155" s="238"/>
      <c r="K155" s="75"/>
      <c r="L155" s="96"/>
      <c r="M155" s="85" t="s">
        <v>269</v>
      </c>
    </row>
    <row r="156" spans="2:13" s="187" customFormat="1" ht="14.25" customHeight="1">
      <c r="B156" s="110"/>
      <c r="C156" s="509" t="s">
        <v>276</v>
      </c>
      <c r="D156" s="147">
        <f>[25]June!$B$48</f>
        <v>0</v>
      </c>
      <c r="E156" s="144"/>
      <c r="F156" s="144">
        <f>[25]June!$C$48</f>
        <v>0</v>
      </c>
      <c r="G156" s="144"/>
      <c r="H156" s="261">
        <f>[25]June!$D$48</f>
        <v>0</v>
      </c>
      <c r="I156" s="242"/>
      <c r="J156" s="238"/>
      <c r="K156" s="75"/>
      <c r="L156" s="96"/>
      <c r="M156" s="85" t="s">
        <v>277</v>
      </c>
    </row>
    <row r="157" spans="2:13" s="187" customFormat="1" ht="14.25" customHeight="1">
      <c r="B157" s="110"/>
      <c r="C157" s="509" t="s">
        <v>280</v>
      </c>
      <c r="D157" s="147">
        <f>[25]July!$B$48</f>
        <v>0</v>
      </c>
      <c r="E157" s="144"/>
      <c r="F157" s="144">
        <f>[25]July!$C$48</f>
        <v>0</v>
      </c>
      <c r="G157" s="144"/>
      <c r="H157" s="261">
        <f>[25]July!$D$48</f>
        <v>0</v>
      </c>
      <c r="I157" s="242"/>
      <c r="J157" s="238"/>
      <c r="K157" s="75"/>
      <c r="L157" s="75"/>
      <c r="M157" s="85" t="s">
        <v>281</v>
      </c>
    </row>
    <row r="158" spans="2:13" s="187" customFormat="1" ht="14.25" customHeight="1">
      <c r="B158" s="110"/>
      <c r="C158" s="509" t="s">
        <v>282</v>
      </c>
      <c r="D158" s="147">
        <f>[25]Aug!$B$48</f>
        <v>0</v>
      </c>
      <c r="E158" s="144"/>
      <c r="F158" s="144">
        <f>[25]Aug!$C$48</f>
        <v>0</v>
      </c>
      <c r="G158" s="144"/>
      <c r="H158" s="261">
        <f>[25]Aug!$D$48</f>
        <v>0</v>
      </c>
      <c r="I158" s="242"/>
      <c r="J158" s="238"/>
      <c r="K158" s="75"/>
      <c r="L158" s="75"/>
      <c r="M158" s="85" t="s">
        <v>283</v>
      </c>
    </row>
    <row r="159" spans="2:13" s="187" customFormat="1" ht="14.25" customHeight="1">
      <c r="B159" s="110"/>
      <c r="C159" s="509" t="s">
        <v>291</v>
      </c>
      <c r="D159" s="147">
        <f>[25]Sept!$B$48</f>
        <v>0</v>
      </c>
      <c r="E159" s="144"/>
      <c r="F159" s="144">
        <f>[25]Sept!$C$56</f>
        <v>0</v>
      </c>
      <c r="G159" s="144"/>
      <c r="H159" s="261">
        <f>[25]Sept!$D$48</f>
        <v>0</v>
      </c>
      <c r="I159" s="242"/>
      <c r="J159" s="238"/>
      <c r="K159" s="75"/>
      <c r="L159" s="75"/>
      <c r="M159" s="85" t="s">
        <v>291</v>
      </c>
    </row>
    <row r="160" spans="2:13" s="187" customFormat="1" ht="14.25" customHeight="1">
      <c r="B160" s="110"/>
      <c r="C160" s="509" t="s">
        <v>295</v>
      </c>
      <c r="D160" s="147">
        <f>[25]Oct!$B$47</f>
        <v>0</v>
      </c>
      <c r="E160" s="144"/>
      <c r="F160" s="144">
        <f>[25]Oct!$C$47</f>
        <v>0</v>
      </c>
      <c r="G160" s="144"/>
      <c r="H160" s="261">
        <f>[25]Oct!$D$47</f>
        <v>0</v>
      </c>
      <c r="I160" s="242"/>
      <c r="J160" s="238"/>
      <c r="K160" s="75"/>
      <c r="L160" s="96"/>
      <c r="M160" s="85" t="s">
        <v>295</v>
      </c>
    </row>
    <row r="161" spans="2:13" s="187" customFormat="1" ht="14.25" customHeight="1">
      <c r="B161" s="110"/>
      <c r="C161" s="509" t="s">
        <v>296</v>
      </c>
      <c r="D161" s="147">
        <f>[25]Nov!$B$48</f>
        <v>0</v>
      </c>
      <c r="E161" s="144"/>
      <c r="F161" s="144">
        <f>[25]Oct!$C$47</f>
        <v>0</v>
      </c>
      <c r="G161" s="144"/>
      <c r="H161" s="261">
        <f>[25]Oct!$D$47</f>
        <v>0</v>
      </c>
      <c r="I161" s="242"/>
      <c r="J161" s="238"/>
      <c r="K161" s="75"/>
      <c r="L161" s="75"/>
      <c r="M161" s="85" t="s">
        <v>296</v>
      </c>
    </row>
    <row r="162" spans="2:13" s="187" customFormat="1" ht="14.25" customHeight="1">
      <c r="B162" s="110"/>
      <c r="C162" s="509" t="s">
        <v>298</v>
      </c>
      <c r="D162" s="147">
        <f>[25]Dec!$B$48</f>
        <v>0</v>
      </c>
      <c r="E162" s="144"/>
      <c r="F162" s="144">
        <f>[25]Dec!$C$48</f>
        <v>0</v>
      </c>
      <c r="G162" s="144"/>
      <c r="H162" s="261">
        <f>[25]Dec!$D$48</f>
        <v>0</v>
      </c>
      <c r="I162" s="242"/>
      <c r="J162" s="238"/>
      <c r="K162" s="75"/>
      <c r="L162" s="96"/>
      <c r="M162" s="85" t="s">
        <v>298</v>
      </c>
    </row>
    <row r="163" spans="2:13" s="187" customFormat="1" ht="14.25" customHeight="1">
      <c r="B163" s="320">
        <v>2021</v>
      </c>
      <c r="C163" s="517" t="s">
        <v>261</v>
      </c>
      <c r="D163" s="148">
        <f>[26]Jan!$B$48</f>
        <v>0</v>
      </c>
      <c r="E163" s="149"/>
      <c r="F163" s="149">
        <f>[26]Jan!$C$48</f>
        <v>0</v>
      </c>
      <c r="G163" s="149"/>
      <c r="H163" s="163">
        <f>[26]Jan!$D$48</f>
        <v>0</v>
      </c>
      <c r="I163" s="630"/>
      <c r="J163" s="125"/>
      <c r="K163" s="96">
        <v>2021</v>
      </c>
      <c r="L163" s="96"/>
      <c r="M163" s="90" t="s">
        <v>261</v>
      </c>
    </row>
    <row r="164" spans="2:13" ht="16.5" customHeight="1">
      <c r="B164" s="112" t="s">
        <v>279</v>
      </c>
      <c r="C164" s="113"/>
      <c r="D164" s="135"/>
      <c r="E164" s="135"/>
      <c r="F164" s="135"/>
      <c r="G164" s="135"/>
    </row>
    <row r="165" spans="2:13">
      <c r="B165" s="268"/>
      <c r="C165" s="1" t="s">
        <v>265</v>
      </c>
    </row>
    <row r="166" spans="2:13" ht="13.8">
      <c r="D166" s="494">
        <f>D163/D151-1</f>
        <v>-1</v>
      </c>
      <c r="E166" s="494"/>
      <c r="F166" s="494">
        <f>F163/F151-1</f>
        <v>-1</v>
      </c>
      <c r="G166" s="494"/>
      <c r="H166" s="494">
        <f>H163/H151-1</f>
        <v>-1</v>
      </c>
      <c r="I166" s="495"/>
      <c r="J166" s="496"/>
      <c r="K166" s="292" t="s">
        <v>200</v>
      </c>
    </row>
    <row r="167" spans="2:13" ht="13.8">
      <c r="D167" s="497" t="e">
        <f>D163/D162-1</f>
        <v>#DIV/0!</v>
      </c>
      <c r="E167" s="497"/>
      <c r="F167" s="497" t="e">
        <f>F163/F162-1</f>
        <v>#DIV/0!</v>
      </c>
      <c r="G167" s="497"/>
      <c r="H167" s="497" t="e">
        <f>H163/H162-1</f>
        <v>#DIV/0!</v>
      </c>
      <c r="I167" s="498"/>
      <c r="J167" s="499"/>
      <c r="K167" s="290" t="s">
        <v>199</v>
      </c>
    </row>
    <row r="168" spans="2:13" ht="13.8">
      <c r="D168" s="137"/>
      <c r="E168" s="137"/>
      <c r="F168" s="137"/>
      <c r="G168" s="137"/>
      <c r="H168" s="137">
        <f>H163-H151</f>
        <v>-14.644399309153714</v>
      </c>
      <c r="I168" s="328"/>
      <c r="J168" s="187"/>
      <c r="K168" s="500"/>
    </row>
    <row r="169" spans="2:13" ht="13.8">
      <c r="D169" s="137"/>
      <c r="E169" s="137"/>
      <c r="F169" s="137"/>
      <c r="G169" s="137"/>
      <c r="H169" s="501">
        <f>H162-H161</f>
        <v>0</v>
      </c>
      <c r="I169" s="328"/>
      <c r="J169" s="187"/>
      <c r="K169" s="500"/>
    </row>
    <row r="170" spans="2:13">
      <c r="D170" s="267"/>
      <c r="E170" s="267"/>
      <c r="F170" s="267"/>
      <c r="G170" s="267"/>
      <c r="H170" s="267"/>
    </row>
    <row r="176" spans="2:13">
      <c r="F176" s="136"/>
      <c r="G176" s="136"/>
      <c r="K176" s="55"/>
      <c r="L176" s="55"/>
    </row>
    <row r="178" spans="4:12">
      <c r="K178" s="55"/>
      <c r="L178" s="55"/>
    </row>
    <row r="180" spans="4:12" ht="13.2">
      <c r="D180" s="137"/>
      <c r="E180" s="137"/>
      <c r="K180" s="55"/>
      <c r="L180" s="55"/>
    </row>
    <row r="181" spans="4:12" ht="13.2">
      <c r="D181" s="137"/>
      <c r="E181" s="137"/>
      <c r="K181" s="55"/>
      <c r="L181" s="55"/>
    </row>
    <row r="182" spans="4:12" ht="13.2">
      <c r="D182" s="137"/>
      <c r="E182" s="137"/>
      <c r="K182" s="55"/>
      <c r="L182" s="55"/>
    </row>
    <row r="183" spans="4:12" ht="13.2">
      <c r="D183" s="137"/>
      <c r="E183" s="137"/>
      <c r="K183" s="55"/>
      <c r="L183" s="55"/>
    </row>
    <row r="184" spans="4:12" ht="13.2">
      <c r="D184" s="137"/>
      <c r="E184" s="137"/>
      <c r="K184" s="55"/>
      <c r="L184" s="55"/>
    </row>
    <row r="185" spans="4:12" ht="13.2">
      <c r="D185" s="137"/>
      <c r="E185" s="137"/>
      <c r="K185" s="55"/>
      <c r="L185" s="55"/>
    </row>
    <row r="186" spans="4:12" ht="13.2">
      <c r="D186" s="137"/>
      <c r="E186" s="137"/>
      <c r="K186" s="55"/>
      <c r="L186" s="55"/>
    </row>
    <row r="187" spans="4:12" ht="13.2">
      <c r="D187" s="137"/>
      <c r="E187" s="137"/>
      <c r="K187" s="55"/>
      <c r="L187" s="55"/>
    </row>
    <row r="188" spans="4:12" ht="13.2">
      <c r="D188" s="137"/>
      <c r="E188" s="137"/>
      <c r="K188" s="55"/>
      <c r="L188" s="55"/>
    </row>
    <row r="191" spans="4:12" ht="13.2">
      <c r="D191" s="137"/>
      <c r="E191" s="137"/>
      <c r="K191" s="55"/>
      <c r="L191" s="55"/>
    </row>
    <row r="192" spans="4:12" ht="13.2">
      <c r="D192" s="137"/>
      <c r="E192" s="137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09375" defaultRowHeight="10.199999999999999"/>
  <cols>
    <col min="1" max="1" width="6.109375" style="55" customWidth="1"/>
    <col min="2" max="2" width="6.6640625" style="55" customWidth="1"/>
    <col min="3" max="3" width="1.5546875" style="55" customWidth="1"/>
    <col min="4" max="4" width="8" style="55" customWidth="1"/>
    <col min="5" max="5" width="22.5546875" style="80" customWidth="1"/>
    <col min="6" max="6" width="4.44140625" style="80" bestFit="1" customWidth="1"/>
    <col min="7" max="7" width="20.109375" style="80" customWidth="1"/>
    <col min="8" max="8" width="2.6640625" style="80" bestFit="1" customWidth="1"/>
    <col min="9" max="9" width="20.109375" style="80" customWidth="1"/>
    <col min="10" max="10" width="2.6640625" style="80" bestFit="1" customWidth="1"/>
    <col min="11" max="11" width="15.88671875" style="55" hidden="1" customWidth="1"/>
    <col min="12" max="12" width="7.33203125" style="124" bestFit="1" customWidth="1"/>
    <col min="13" max="13" width="1" style="124" customWidth="1"/>
    <col min="14" max="14" width="7.88671875" style="55" customWidth="1"/>
    <col min="15" max="16" width="9.109375" style="55"/>
    <col min="17" max="17" width="13.5546875" style="55" customWidth="1"/>
    <col min="18" max="18" width="12.44140625" style="55" customWidth="1"/>
    <col min="19" max="19" width="20.44140625" style="55" customWidth="1"/>
    <col min="20" max="20" width="17.33203125" style="55" customWidth="1"/>
    <col min="21" max="21" width="14.44140625" style="55" customWidth="1"/>
    <col min="22" max="22" width="13.109375" style="55" customWidth="1"/>
    <col min="23" max="16384" width="9.109375" style="55"/>
  </cols>
  <sheetData>
    <row r="4" spans="2:14" ht="15.6">
      <c r="B4" s="106" t="s">
        <v>196</v>
      </c>
      <c r="C4" s="106"/>
      <c r="D4" s="106"/>
      <c r="E4" s="131"/>
      <c r="F4" s="131"/>
      <c r="G4" s="131"/>
      <c r="H4" s="131"/>
      <c r="I4" s="132"/>
      <c r="J4" s="132"/>
      <c r="K4" s="108"/>
    </row>
    <row r="5" spans="2:14" ht="15.6">
      <c r="B5" s="106" t="s">
        <v>172</v>
      </c>
      <c r="C5" s="106"/>
      <c r="D5" s="106"/>
      <c r="E5" s="131"/>
      <c r="F5" s="131"/>
      <c r="G5" s="131"/>
      <c r="H5" s="131"/>
      <c r="I5" s="132"/>
      <c r="J5" s="132"/>
      <c r="K5" s="108"/>
      <c r="L5" s="124" t="s">
        <v>132</v>
      </c>
    </row>
    <row r="6" spans="2:14" ht="6" customHeight="1">
      <c r="B6" s="109"/>
      <c r="C6" s="109"/>
      <c r="D6" s="109"/>
      <c r="E6" s="133"/>
      <c r="F6" s="134"/>
      <c r="G6" s="134"/>
      <c r="H6" s="134"/>
      <c r="I6" s="134"/>
      <c r="J6" s="134"/>
    </row>
    <row r="7" spans="2:14" s="87" customFormat="1" ht="17.25" customHeight="1">
      <c r="B7" s="950" t="s">
        <v>73</v>
      </c>
      <c r="C7" s="525"/>
      <c r="D7" s="969" t="s">
        <v>115</v>
      </c>
      <c r="E7" s="973" t="s">
        <v>179</v>
      </c>
      <c r="F7" s="954"/>
      <c r="G7" s="954"/>
      <c r="H7" s="954"/>
      <c r="I7" s="954"/>
      <c r="J7" s="524"/>
      <c r="K7" s="969" t="s">
        <v>169</v>
      </c>
      <c r="L7" s="955" t="s">
        <v>74</v>
      </c>
      <c r="M7" s="625"/>
      <c r="N7" s="946" t="s">
        <v>116</v>
      </c>
    </row>
    <row r="8" spans="2:14" s="87" customFormat="1" ht="15.75" customHeight="1">
      <c r="B8" s="951"/>
      <c r="C8" s="239"/>
      <c r="D8" s="970"/>
      <c r="E8" s="523" t="s">
        <v>145</v>
      </c>
      <c r="F8" s="205"/>
      <c r="G8" s="205" t="s">
        <v>146</v>
      </c>
      <c r="H8" s="205"/>
      <c r="I8" s="205" t="s">
        <v>160</v>
      </c>
      <c r="J8" s="527"/>
      <c r="K8" s="975"/>
      <c r="L8" s="974"/>
      <c r="M8" s="626"/>
      <c r="N8" s="947"/>
    </row>
    <row r="9" spans="2:14" s="87" customFormat="1" ht="13.2" hidden="1">
      <c r="B9" s="110">
        <v>2009</v>
      </c>
      <c r="C9" s="111"/>
      <c r="D9" s="12" t="s">
        <v>33</v>
      </c>
      <c r="E9" s="147">
        <v>0</v>
      </c>
      <c r="F9" s="144"/>
      <c r="G9" s="145">
        <v>0</v>
      </c>
      <c r="H9" s="145"/>
      <c r="I9" s="145">
        <f t="shared" ref="I9:I14" si="0">(E9+G9)/2</f>
        <v>0</v>
      </c>
      <c r="J9" s="253"/>
      <c r="K9" s="236"/>
      <c r="L9" s="68">
        <v>2009</v>
      </c>
      <c r="M9" s="75"/>
      <c r="N9" s="85" t="s">
        <v>33</v>
      </c>
    </row>
    <row r="10" spans="2:14" s="87" customFormat="1" ht="13.2" hidden="1">
      <c r="B10" s="110"/>
      <c r="C10" s="111"/>
      <c r="D10" s="12" t="s">
        <v>34</v>
      </c>
      <c r="E10" s="147">
        <v>0</v>
      </c>
      <c r="F10" s="144"/>
      <c r="G10" s="145">
        <v>0</v>
      </c>
      <c r="H10" s="145"/>
      <c r="I10" s="145">
        <f t="shared" si="0"/>
        <v>0</v>
      </c>
      <c r="J10" s="253"/>
      <c r="K10" s="236"/>
      <c r="L10" s="68"/>
      <c r="M10" s="75"/>
      <c r="N10" s="85" t="s">
        <v>75</v>
      </c>
    </row>
    <row r="11" spans="2:14" s="87" customFormat="1" ht="13.2" hidden="1">
      <c r="B11" s="110"/>
      <c r="C11" s="111"/>
      <c r="D11" s="12" t="s">
        <v>29</v>
      </c>
      <c r="E11" s="147">
        <v>0</v>
      </c>
      <c r="F11" s="144"/>
      <c r="G11" s="145">
        <v>0</v>
      </c>
      <c r="H11" s="145"/>
      <c r="I11" s="145">
        <f t="shared" si="0"/>
        <v>0</v>
      </c>
      <c r="J11" s="253"/>
      <c r="K11" s="236"/>
      <c r="L11" s="68"/>
      <c r="M11" s="75"/>
      <c r="N11" s="85" t="s">
        <v>29</v>
      </c>
    </row>
    <row r="12" spans="2:14" s="87" customFormat="1" ht="13.2" hidden="1">
      <c r="B12" s="110"/>
      <c r="C12" s="111"/>
      <c r="D12" s="12" t="s">
        <v>35</v>
      </c>
      <c r="E12" s="147">
        <v>0</v>
      </c>
      <c r="F12" s="144"/>
      <c r="G12" s="145">
        <v>0</v>
      </c>
      <c r="H12" s="145"/>
      <c r="I12" s="145">
        <f t="shared" si="0"/>
        <v>0</v>
      </c>
      <c r="J12" s="253"/>
      <c r="K12" s="236"/>
      <c r="L12" s="68"/>
      <c r="M12" s="75"/>
      <c r="N12" s="85" t="s">
        <v>76</v>
      </c>
    </row>
    <row r="13" spans="2:14" s="87" customFormat="1" ht="13.2" hidden="1">
      <c r="B13" s="110"/>
      <c r="C13" s="111"/>
      <c r="D13" s="12" t="s">
        <v>4</v>
      </c>
      <c r="E13" s="147">
        <v>0</v>
      </c>
      <c r="F13" s="144"/>
      <c r="G13" s="145">
        <v>0</v>
      </c>
      <c r="H13" s="145"/>
      <c r="I13" s="145">
        <f t="shared" si="0"/>
        <v>0</v>
      </c>
      <c r="J13" s="253"/>
      <c r="K13" s="236"/>
      <c r="L13" s="68"/>
      <c r="M13" s="75"/>
      <c r="N13" s="85" t="s">
        <v>77</v>
      </c>
    </row>
    <row r="14" spans="2:14" s="87" customFormat="1" ht="13.2" hidden="1">
      <c r="B14" s="110"/>
      <c r="C14" s="111"/>
      <c r="D14" s="12" t="s">
        <v>30</v>
      </c>
      <c r="E14" s="147">
        <f>[3]Jun!$B$44</f>
        <v>37.4</v>
      </c>
      <c r="F14" s="144"/>
      <c r="G14" s="144">
        <f>[3]Jul!$D$45</f>
        <v>38.89</v>
      </c>
      <c r="H14" s="144"/>
      <c r="I14" s="145">
        <f t="shared" si="0"/>
        <v>38.144999999999996</v>
      </c>
      <c r="J14" s="253"/>
      <c r="K14" s="526" t="str">
        <f>REPT("|",I14)</f>
        <v>||||||||||||||||||||||||||||||||||||||</v>
      </c>
      <c r="L14" s="68">
        <v>2009</v>
      </c>
      <c r="M14" s="75"/>
      <c r="N14" s="85" t="s">
        <v>78</v>
      </c>
    </row>
    <row r="15" spans="2:14" s="87" customFormat="1" ht="13.2" hidden="1">
      <c r="B15" s="110"/>
      <c r="C15" s="111"/>
      <c r="D15" s="12" t="s">
        <v>36</v>
      </c>
      <c r="E15" s="147">
        <f>[3]Jul!$B$45</f>
        <v>35</v>
      </c>
      <c r="F15" s="144"/>
      <c r="G15" s="144">
        <f>[3]Jul!$D$45</f>
        <v>38.89</v>
      </c>
      <c r="H15" s="144"/>
      <c r="I15" s="145">
        <f t="shared" ref="I15:I55" si="1">(E15+G15)/2</f>
        <v>36.945</v>
      </c>
      <c r="J15" s="253"/>
      <c r="K15" s="526" t="str">
        <f t="shared" ref="K15:K53" si="2">REPT("|",I15)</f>
        <v>||||||||||||||||||||||||||||||||||||</v>
      </c>
      <c r="L15" s="68"/>
      <c r="M15" s="75"/>
      <c r="N15" s="85" t="s">
        <v>79</v>
      </c>
    </row>
    <row r="16" spans="2:14" s="87" customFormat="1" ht="13.2" hidden="1">
      <c r="B16" s="110"/>
      <c r="C16" s="111"/>
      <c r="D16" s="12" t="s">
        <v>37</v>
      </c>
      <c r="E16" s="147">
        <f>[3]Aug!$B$45</f>
        <v>39.299999999999997</v>
      </c>
      <c r="F16" s="144"/>
      <c r="G16" s="144">
        <f>[3]Aug!$D$45</f>
        <v>42.87</v>
      </c>
      <c r="H16" s="144"/>
      <c r="I16" s="145">
        <f t="shared" si="1"/>
        <v>41.084999999999994</v>
      </c>
      <c r="J16" s="253"/>
      <c r="K16" s="526" t="str">
        <f t="shared" si="2"/>
        <v>|||||||||||||||||||||||||||||||||||||||||</v>
      </c>
      <c r="L16" s="68"/>
      <c r="M16" s="75"/>
      <c r="N16" s="85" t="s">
        <v>80</v>
      </c>
    </row>
    <row r="17" spans="2:14" s="87" customFormat="1" ht="13.2" hidden="1">
      <c r="B17" s="110"/>
      <c r="C17" s="111"/>
      <c r="D17" s="12" t="s">
        <v>31</v>
      </c>
      <c r="E17" s="147">
        <f>[3]Sep!$B$45</f>
        <v>37.342087425189412</v>
      </c>
      <c r="F17" s="144"/>
      <c r="G17" s="144" t="e">
        <f>[3]Sep!$D$453</f>
        <v>#REF!</v>
      </c>
      <c r="H17" s="144"/>
      <c r="I17" s="145" t="e">
        <f t="shared" si="1"/>
        <v>#REF!</v>
      </c>
      <c r="J17" s="253"/>
      <c r="K17" s="526" t="e">
        <f t="shared" si="2"/>
        <v>#REF!</v>
      </c>
      <c r="L17" s="68">
        <v>2009</v>
      </c>
      <c r="M17" s="75"/>
      <c r="N17" s="85" t="s">
        <v>31</v>
      </c>
    </row>
    <row r="18" spans="2:14" s="87" customFormat="1" ht="13.2" hidden="1">
      <c r="B18" s="110"/>
      <c r="C18" s="111"/>
      <c r="D18" s="12" t="s">
        <v>38</v>
      </c>
      <c r="E18" s="147">
        <f>[3]Oct!$B$44</f>
        <v>38.9</v>
      </c>
      <c r="F18" s="144"/>
      <c r="G18" s="144">
        <f>[3]Oct!$D$44</f>
        <v>40.200000000000003</v>
      </c>
      <c r="H18" s="144"/>
      <c r="I18" s="145">
        <f t="shared" si="1"/>
        <v>39.549999999999997</v>
      </c>
      <c r="J18" s="253"/>
      <c r="K18" s="526" t="str">
        <f t="shared" si="2"/>
        <v>|||||||||||||||||||||||||||||||||||||||</v>
      </c>
      <c r="L18" s="68">
        <v>2009</v>
      </c>
      <c r="M18" s="75"/>
      <c r="N18" s="85" t="s">
        <v>49</v>
      </c>
    </row>
    <row r="19" spans="2:14" s="87" customFormat="1" ht="13.2" hidden="1">
      <c r="B19" s="110"/>
      <c r="C19" s="111"/>
      <c r="D19" s="12" t="s">
        <v>39</v>
      </c>
      <c r="E19" s="147">
        <f>[3]Nov!$B$44</f>
        <v>37.1</v>
      </c>
      <c r="F19" s="144"/>
      <c r="G19" s="144">
        <f>[3]Nov!$D$44</f>
        <v>41.8</v>
      </c>
      <c r="H19" s="144"/>
      <c r="I19" s="145">
        <f t="shared" si="1"/>
        <v>39.450000000000003</v>
      </c>
      <c r="J19" s="253"/>
      <c r="K19" s="244" t="str">
        <f>REPT("|",I19)</f>
        <v>|||||||||||||||||||||||||||||||||||||||</v>
      </c>
      <c r="L19" s="68">
        <v>2009</v>
      </c>
      <c r="M19" s="75"/>
      <c r="N19" s="85" t="s">
        <v>39</v>
      </c>
    </row>
    <row r="20" spans="2:14" s="87" customFormat="1" ht="13.2" hidden="1">
      <c r="B20" s="110"/>
      <c r="C20" s="111"/>
      <c r="D20" s="12" t="s">
        <v>32</v>
      </c>
      <c r="E20" s="147">
        <f>[3]Dec!$B$44</f>
        <v>33.681733476071578</v>
      </c>
      <c r="F20" s="144"/>
      <c r="G20" s="144">
        <f>[3]Dec!$D$44</f>
        <v>33.950000000000003</v>
      </c>
      <c r="H20" s="144"/>
      <c r="I20" s="145">
        <f t="shared" si="1"/>
        <v>33.815866738035794</v>
      </c>
      <c r="J20" s="253"/>
      <c r="K20" s="244" t="str">
        <f t="shared" si="2"/>
        <v>|||||||||||||||||||||||||||||||||</v>
      </c>
      <c r="L20" s="68">
        <v>2009</v>
      </c>
      <c r="M20" s="75"/>
      <c r="N20" s="85" t="s">
        <v>32</v>
      </c>
    </row>
    <row r="21" spans="2:14" s="87" customFormat="1" ht="13.2" hidden="1">
      <c r="B21" s="110">
        <v>2010</v>
      </c>
      <c r="C21" s="111"/>
      <c r="D21" s="12" t="s">
        <v>33</v>
      </c>
      <c r="E21" s="147">
        <f>[4]Jan!$B$44</f>
        <v>34</v>
      </c>
      <c r="F21" s="144"/>
      <c r="G21" s="144">
        <f>[4]Jan!$D$44</f>
        <v>37.1</v>
      </c>
      <c r="H21" s="144"/>
      <c r="I21" s="145">
        <f t="shared" si="1"/>
        <v>35.549999999999997</v>
      </c>
      <c r="J21" s="253"/>
      <c r="K21" s="244" t="str">
        <f t="shared" si="2"/>
        <v>|||||||||||||||||||||||||||||||||||</v>
      </c>
      <c r="L21" s="68">
        <v>2010</v>
      </c>
      <c r="M21" s="75"/>
      <c r="N21" s="85" t="s">
        <v>33</v>
      </c>
    </row>
    <row r="22" spans="2:14" s="87" customFormat="1" ht="13.2" hidden="1">
      <c r="B22" s="110"/>
      <c r="C22" s="111"/>
      <c r="D22" s="12" t="s">
        <v>34</v>
      </c>
      <c r="E22" s="147">
        <f>[4]Feb!$B$45</f>
        <v>38.044755579488978</v>
      </c>
      <c r="F22" s="144"/>
      <c r="G22" s="144">
        <f>[4]Feb!$D$45</f>
        <v>42.875242248062015</v>
      </c>
      <c r="H22" s="144"/>
      <c r="I22" s="145">
        <f t="shared" si="1"/>
        <v>40.459998913775493</v>
      </c>
      <c r="J22" s="253"/>
      <c r="K22" s="244" t="str">
        <f t="shared" si="2"/>
        <v>||||||||||||||||||||||||||||||||||||||||</v>
      </c>
      <c r="L22" s="68">
        <v>2010</v>
      </c>
      <c r="M22" s="75"/>
      <c r="N22" s="85" t="s">
        <v>75</v>
      </c>
    </row>
    <row r="23" spans="2:14" s="87" customFormat="1" ht="13.2" hidden="1">
      <c r="B23" s="110"/>
      <c r="C23" s="111"/>
      <c r="D23" s="12" t="s">
        <v>29</v>
      </c>
      <c r="E23" s="147">
        <f>[4]Mar!$B$45</f>
        <v>40.04149228</v>
      </c>
      <c r="F23" s="144"/>
      <c r="G23" s="144">
        <f>[4]Mar!$D$45</f>
        <v>27.25</v>
      </c>
      <c r="H23" s="144"/>
      <c r="I23" s="145">
        <f t="shared" si="1"/>
        <v>33.64574614</v>
      </c>
      <c r="J23" s="253"/>
      <c r="K23" s="244" t="str">
        <f t="shared" si="2"/>
        <v>|||||||||||||||||||||||||||||||||</v>
      </c>
      <c r="L23" s="68">
        <v>2010</v>
      </c>
      <c r="M23" s="75"/>
      <c r="N23" s="85" t="s">
        <v>29</v>
      </c>
    </row>
    <row r="24" spans="2:14" s="87" customFormat="1" ht="13.2" hidden="1">
      <c r="B24" s="110"/>
      <c r="C24" s="111"/>
      <c r="D24" s="12" t="s">
        <v>35</v>
      </c>
      <c r="E24" s="147">
        <f>[4]Apr!$B$45</f>
        <v>38.551782682512766</v>
      </c>
      <c r="F24" s="144"/>
      <c r="G24" s="144">
        <f>[4]Apr!$D$45</f>
        <v>42.313095238000002</v>
      </c>
      <c r="H24" s="144"/>
      <c r="I24" s="145">
        <f t="shared" si="1"/>
        <v>40.432438960256384</v>
      </c>
      <c r="J24" s="253"/>
      <c r="K24" s="244" t="str">
        <f t="shared" si="2"/>
        <v>||||||||||||||||||||||||||||||||||||||||</v>
      </c>
      <c r="L24" s="68">
        <v>2010</v>
      </c>
      <c r="M24" s="75"/>
      <c r="N24" s="85" t="s">
        <v>76</v>
      </c>
    </row>
    <row r="25" spans="2:14" s="87" customFormat="1" ht="13.2" hidden="1">
      <c r="B25" s="110"/>
      <c r="C25" s="111"/>
      <c r="D25" s="12" t="s">
        <v>4</v>
      </c>
      <c r="E25" s="147">
        <f>[4]May!$B$45</f>
        <v>40.804200642451264</v>
      </c>
      <c r="F25" s="144"/>
      <c r="G25" s="144">
        <f>[4]May!$D$45</f>
        <v>46.6</v>
      </c>
      <c r="H25" s="144"/>
      <c r="I25" s="145">
        <f t="shared" si="1"/>
        <v>43.702100321225629</v>
      </c>
      <c r="J25" s="253"/>
      <c r="K25" s="244" t="str">
        <f t="shared" si="2"/>
        <v>|||||||||||||||||||||||||||||||||||||||||||</v>
      </c>
      <c r="L25" s="68">
        <v>2010</v>
      </c>
      <c r="M25" s="75"/>
      <c r="N25" s="85" t="s">
        <v>77</v>
      </c>
    </row>
    <row r="26" spans="2:14" s="87" customFormat="1" ht="13.2" hidden="1">
      <c r="B26" s="110"/>
      <c r="C26" s="111"/>
      <c r="D26" s="12" t="s">
        <v>30</v>
      </c>
      <c r="E26" s="147">
        <f>[4]Jun10!$F$5</f>
        <v>37.783802392632737</v>
      </c>
      <c r="F26" s="144"/>
      <c r="G26" s="144">
        <f>[4]Jun!$D$44</f>
        <v>33.526314999999997</v>
      </c>
      <c r="H26" s="144"/>
      <c r="I26" s="145">
        <f t="shared" si="1"/>
        <v>35.655058696316367</v>
      </c>
      <c r="J26" s="253"/>
      <c r="K26" s="244" t="str">
        <f t="shared" si="2"/>
        <v>|||||||||||||||||||||||||||||||||||</v>
      </c>
      <c r="L26" s="68">
        <v>2010</v>
      </c>
      <c r="M26" s="75"/>
      <c r="N26" s="85" t="s">
        <v>78</v>
      </c>
    </row>
    <row r="27" spans="2:14" s="87" customFormat="1" ht="13.2" hidden="1">
      <c r="B27" s="110"/>
      <c r="C27" s="111"/>
      <c r="D27" s="12" t="s">
        <v>36</v>
      </c>
      <c r="E27" s="147">
        <f>[4]Jul!$B$44</f>
        <v>40.197052643220765</v>
      </c>
      <c r="F27" s="144"/>
      <c r="G27" s="144">
        <f>[4]Jul!$D$44</f>
        <v>40.442720000000001</v>
      </c>
      <c r="H27" s="144"/>
      <c r="I27" s="145">
        <f t="shared" si="1"/>
        <v>40.319886321610383</v>
      </c>
      <c r="J27" s="253"/>
      <c r="K27" s="244" t="str">
        <f t="shared" si="2"/>
        <v>||||||||||||||||||||||||||||||||||||||||</v>
      </c>
      <c r="L27" s="68">
        <v>2010</v>
      </c>
      <c r="M27" s="75"/>
      <c r="N27" s="85" t="s">
        <v>79</v>
      </c>
    </row>
    <row r="28" spans="2:14" s="87" customFormat="1" ht="13.2" hidden="1">
      <c r="B28" s="110"/>
      <c r="C28" s="111"/>
      <c r="D28" s="12" t="s">
        <v>37</v>
      </c>
      <c r="E28" s="147">
        <f>[4]Aug!$B$45</f>
        <v>41.239537504023986</v>
      </c>
      <c r="F28" s="144"/>
      <c r="G28" s="144">
        <f>[4]Aug!$D$45</f>
        <v>45.957663451000002</v>
      </c>
      <c r="H28" s="144"/>
      <c r="I28" s="145">
        <f t="shared" si="1"/>
        <v>43.598600477511994</v>
      </c>
      <c r="J28" s="253"/>
      <c r="K28" s="244" t="str">
        <f t="shared" si="2"/>
        <v>|||||||||||||||||||||||||||||||||||||||||||</v>
      </c>
      <c r="L28" s="68">
        <v>2010</v>
      </c>
      <c r="M28" s="75"/>
      <c r="N28" s="85" t="s">
        <v>80</v>
      </c>
    </row>
    <row r="29" spans="2:14" s="87" customFormat="1" ht="13.2" hidden="1">
      <c r="B29" s="110"/>
      <c r="C29" s="111"/>
      <c r="D29" s="12" t="s">
        <v>31</v>
      </c>
      <c r="E29" s="147">
        <f>[4]Sep!$B$45</f>
        <v>36.815697091273883</v>
      </c>
      <c r="F29" s="144"/>
      <c r="G29" s="144">
        <f>[4]Sep!$D$45</f>
        <v>37.703287197000002</v>
      </c>
      <c r="H29" s="144"/>
      <c r="I29" s="145">
        <f t="shared" si="1"/>
        <v>37.259492144136942</v>
      </c>
      <c r="J29" s="253"/>
      <c r="K29" s="244" t="str">
        <f t="shared" si="2"/>
        <v>|||||||||||||||||||||||||||||||||||||</v>
      </c>
      <c r="L29" s="68">
        <v>2010</v>
      </c>
      <c r="M29" s="75"/>
      <c r="N29" s="85" t="s">
        <v>31</v>
      </c>
    </row>
    <row r="30" spans="2:14" s="87" customFormat="1" ht="13.2" hidden="1">
      <c r="B30" s="110"/>
      <c r="C30" s="111"/>
      <c r="D30" s="12" t="s">
        <v>38</v>
      </c>
      <c r="E30" s="147">
        <f>[4]Oct!$B$45</f>
        <v>38.921039999999998</v>
      </c>
      <c r="F30" s="144"/>
      <c r="G30" s="144">
        <f>[4]Oct!$D$45</f>
        <v>40.200000000000003</v>
      </c>
      <c r="H30" s="144"/>
      <c r="I30" s="145">
        <f t="shared" si="1"/>
        <v>39.560519999999997</v>
      </c>
      <c r="J30" s="253"/>
      <c r="K30" s="244" t="str">
        <f t="shared" si="2"/>
        <v>|||||||||||||||||||||||||||||||||||||||</v>
      </c>
      <c r="L30" s="68">
        <v>2010</v>
      </c>
      <c r="M30" s="75"/>
      <c r="N30" s="85" t="s">
        <v>49</v>
      </c>
    </row>
    <row r="31" spans="2:14" s="87" customFormat="1" ht="13.2" hidden="1">
      <c r="B31" s="110"/>
      <c r="C31" s="111"/>
      <c r="D31" s="12" t="s">
        <v>39</v>
      </c>
      <c r="E31" s="147">
        <f>[4]Nov!$B$45</f>
        <v>38.606435643564367</v>
      </c>
      <c r="F31" s="144"/>
      <c r="G31" s="144">
        <f>[4]Nov!$D$45</f>
        <v>41.8</v>
      </c>
      <c r="H31" s="144"/>
      <c r="I31" s="145">
        <f t="shared" si="1"/>
        <v>40.203217821782182</v>
      </c>
      <c r="J31" s="253"/>
      <c r="K31" s="244" t="str">
        <f t="shared" si="2"/>
        <v>||||||||||||||||||||||||||||||||||||||||</v>
      </c>
      <c r="L31" s="68">
        <v>2010</v>
      </c>
      <c r="M31" s="75"/>
      <c r="N31" s="85" t="s">
        <v>39</v>
      </c>
    </row>
    <row r="32" spans="2:14" s="87" customFormat="1" ht="13.2" hidden="1">
      <c r="B32" s="110"/>
      <c r="C32" s="111"/>
      <c r="D32" s="12" t="s">
        <v>32</v>
      </c>
      <c r="E32" s="147">
        <f>[4]Dec!$B$45</f>
        <v>37.120500782000001</v>
      </c>
      <c r="F32" s="144"/>
      <c r="G32" s="144">
        <f>[4]Dec!$D$45</f>
        <v>33.27775713173348</v>
      </c>
      <c r="H32" s="144"/>
      <c r="I32" s="145">
        <f t="shared" si="1"/>
        <v>35.199128956866744</v>
      </c>
      <c r="J32" s="253"/>
      <c r="K32" s="244" t="str">
        <f t="shared" si="2"/>
        <v>|||||||||||||||||||||||||||||||||||</v>
      </c>
      <c r="L32" s="68">
        <v>2010</v>
      </c>
      <c r="M32" s="75"/>
      <c r="N32" s="85" t="s">
        <v>32</v>
      </c>
    </row>
    <row r="33" spans="2:14" s="87" customFormat="1" ht="13.2" hidden="1">
      <c r="B33" s="110">
        <v>2011</v>
      </c>
      <c r="C33" s="111"/>
      <c r="D33" s="12" t="s">
        <v>33</v>
      </c>
      <c r="E33" s="147">
        <f>[1]Jan!$B$48</f>
        <v>32.925784239999999</v>
      </c>
      <c r="F33" s="144"/>
      <c r="G33" s="144">
        <f>[1]Jan!$D$48</f>
        <v>38.414828430999997</v>
      </c>
      <c r="H33" s="144"/>
      <c r="I33" s="145">
        <f t="shared" si="1"/>
        <v>35.670306335500001</v>
      </c>
      <c r="J33" s="253"/>
      <c r="K33" s="244" t="str">
        <f t="shared" si="2"/>
        <v>|||||||||||||||||||||||||||||||||||</v>
      </c>
      <c r="L33" s="68">
        <v>2011</v>
      </c>
      <c r="M33" s="75"/>
      <c r="N33" s="85" t="s">
        <v>33</v>
      </c>
    </row>
    <row r="34" spans="2:14" s="87" customFormat="1" ht="13.2" hidden="1">
      <c r="B34" s="110"/>
      <c r="C34" s="111"/>
      <c r="D34" s="12" t="s">
        <v>34</v>
      </c>
      <c r="E34" s="147">
        <f>[1]Feb!$B$48</f>
        <v>35.361950649729771</v>
      </c>
      <c r="F34" s="144"/>
      <c r="G34" s="144">
        <f>[1]Feb!$D$48</f>
        <v>43.471264367816097</v>
      </c>
      <c r="H34" s="144"/>
      <c r="I34" s="145">
        <f t="shared" si="1"/>
        <v>39.416607508772934</v>
      </c>
      <c r="J34" s="253"/>
      <c r="K34" s="244" t="str">
        <f t="shared" si="2"/>
        <v>|||||||||||||||||||||||||||||||||||||||</v>
      </c>
      <c r="L34" s="68">
        <v>2011</v>
      </c>
      <c r="M34" s="75"/>
      <c r="N34" s="85" t="s">
        <v>75</v>
      </c>
    </row>
    <row r="35" spans="2:14" s="87" customFormat="1" ht="13.2" hidden="1">
      <c r="B35" s="110"/>
      <c r="C35" s="111"/>
      <c r="D35" s="12" t="s">
        <v>29</v>
      </c>
      <c r="E35" s="147">
        <f>[1]Mar!$B$48</f>
        <v>41.044335907920683</v>
      </c>
      <c r="F35" s="144"/>
      <c r="G35" s="144">
        <f>[1]Mar!$D$48</f>
        <v>45.301971330000001</v>
      </c>
      <c r="H35" s="144"/>
      <c r="I35" s="145">
        <f t="shared" si="1"/>
        <v>43.173153618960342</v>
      </c>
      <c r="J35" s="253"/>
      <c r="K35" s="244" t="str">
        <f t="shared" si="2"/>
        <v>|||||||||||||||||||||||||||||||||||||||||||</v>
      </c>
      <c r="L35" s="68">
        <v>2011</v>
      </c>
      <c r="M35" s="75"/>
      <c r="N35" s="85" t="s">
        <v>29</v>
      </c>
    </row>
    <row r="36" spans="2:14" s="87" customFormat="1" ht="13.2" hidden="1">
      <c r="B36" s="110"/>
      <c r="C36" s="111"/>
      <c r="D36" s="12" t="s">
        <v>35</v>
      </c>
      <c r="E36" s="147">
        <f>[1]April!$B$48</f>
        <v>37.029868535105358</v>
      </c>
      <c r="F36" s="144"/>
      <c r="G36" s="144">
        <f>[1]April!$D$48</f>
        <v>21.873234462999999</v>
      </c>
      <c r="H36" s="144"/>
      <c r="I36" s="145">
        <f t="shared" si="1"/>
        <v>29.451551499052677</v>
      </c>
      <c r="J36" s="253"/>
      <c r="K36" s="244" t="str">
        <f t="shared" si="2"/>
        <v>|||||||||||||||||||||||||||||</v>
      </c>
      <c r="L36" s="68">
        <v>2011</v>
      </c>
      <c r="M36" s="75"/>
      <c r="N36" s="85" t="s">
        <v>76</v>
      </c>
    </row>
    <row r="37" spans="2:14" s="87" customFormat="1" ht="13.2" hidden="1">
      <c r="B37" s="110"/>
      <c r="C37" s="111"/>
      <c r="D37" s="12" t="s">
        <v>4</v>
      </c>
      <c r="E37" s="147">
        <f>[1]May!$B$48</f>
        <v>40.932354196681018</v>
      </c>
      <c r="F37" s="144"/>
      <c r="G37" s="144">
        <f>[1]May!$D$48</f>
        <v>47.169627749577025</v>
      </c>
      <c r="H37" s="144"/>
      <c r="I37" s="145">
        <f t="shared" si="1"/>
        <v>44.050990973129018</v>
      </c>
      <c r="J37" s="253"/>
      <c r="K37" s="244" t="str">
        <f t="shared" si="2"/>
        <v>||||||||||||||||||||||||||||||||||||||||||||</v>
      </c>
      <c r="L37" s="68">
        <v>2011</v>
      </c>
      <c r="M37" s="75"/>
      <c r="N37" s="85" t="s">
        <v>77</v>
      </c>
    </row>
    <row r="38" spans="2:14" s="87" customFormat="1" ht="13.2" hidden="1">
      <c r="B38" s="110"/>
      <c r="D38" s="12" t="s">
        <v>30</v>
      </c>
      <c r="E38" s="147">
        <f>[1]June!$B$48</f>
        <v>39.819292058516268</v>
      </c>
      <c r="F38" s="144"/>
      <c r="G38" s="144">
        <f>[1]June!$D$48</f>
        <v>39.38805031446541</v>
      </c>
      <c r="H38" s="144"/>
      <c r="I38" s="145">
        <f t="shared" si="1"/>
        <v>39.603671186490843</v>
      </c>
      <c r="J38" s="253"/>
      <c r="K38" s="244" t="str">
        <f t="shared" si="2"/>
        <v>|||||||||||||||||||||||||||||||||||||||</v>
      </c>
      <c r="L38" s="68">
        <v>2011</v>
      </c>
      <c r="M38" s="75"/>
      <c r="N38" s="85" t="s">
        <v>78</v>
      </c>
    </row>
    <row r="39" spans="2:14" s="87" customFormat="1" ht="13.2" hidden="1">
      <c r="B39" s="110"/>
      <c r="D39" s="12" t="s">
        <v>36</v>
      </c>
      <c r="E39" s="147">
        <f>[1]July!$B$48</f>
        <v>38.320328246472741</v>
      </c>
      <c r="F39" s="144"/>
      <c r="G39" s="144">
        <f>[1]July!$D$48</f>
        <v>41.545967741935499</v>
      </c>
      <c r="H39" s="144"/>
      <c r="I39" s="145">
        <f t="shared" si="1"/>
        <v>39.93314799420412</v>
      </c>
      <c r="J39" s="253"/>
      <c r="K39" s="244" t="str">
        <f t="shared" si="2"/>
        <v>|||||||||||||||||||||||||||||||||||||||</v>
      </c>
      <c r="L39" s="68">
        <v>2011</v>
      </c>
      <c r="M39" s="75"/>
      <c r="N39" s="85" t="s">
        <v>79</v>
      </c>
    </row>
    <row r="40" spans="2:14" s="87" customFormat="1" ht="13.2" hidden="1">
      <c r="B40" s="110"/>
      <c r="D40" s="12" t="s">
        <v>37</v>
      </c>
      <c r="E40" s="147">
        <f>[1]August!$B$48</f>
        <v>41.350063028993262</v>
      </c>
      <c r="F40" s="144"/>
      <c r="G40" s="144">
        <f>[1]August!$D$48</f>
        <v>36.702316076294302</v>
      </c>
      <c r="H40" s="144"/>
      <c r="I40" s="145">
        <f t="shared" si="1"/>
        <v>39.026189552643785</v>
      </c>
      <c r="J40" s="253"/>
      <c r="K40" s="244" t="str">
        <f t="shared" si="2"/>
        <v>|||||||||||||||||||||||||||||||||||||||</v>
      </c>
      <c r="L40" s="68">
        <v>2011</v>
      </c>
      <c r="M40" s="75"/>
      <c r="N40" s="85" t="s">
        <v>80</v>
      </c>
    </row>
    <row r="41" spans="2:14" s="87" customFormat="1" ht="13.2" hidden="1">
      <c r="B41" s="68"/>
      <c r="D41" s="12" t="s">
        <v>31</v>
      </c>
      <c r="E41" s="147">
        <f>[1]September!$B$48</f>
        <v>38.641747256329452</v>
      </c>
      <c r="F41" s="144"/>
      <c r="G41" s="144">
        <f>[1]September!$D$48</f>
        <v>43.148445092322625</v>
      </c>
      <c r="H41" s="144"/>
      <c r="I41" s="145">
        <f t="shared" si="1"/>
        <v>40.895096174326042</v>
      </c>
      <c r="J41" s="253"/>
      <c r="K41" s="244" t="str">
        <f t="shared" si="2"/>
        <v>||||||||||||||||||||||||||||||||||||||||</v>
      </c>
      <c r="L41" s="68">
        <v>2011</v>
      </c>
      <c r="M41" s="75"/>
      <c r="N41" s="85" t="s">
        <v>31</v>
      </c>
    </row>
    <row r="42" spans="2:14" s="87" customFormat="1" ht="13.2" hidden="1">
      <c r="B42" s="110"/>
      <c r="D42" s="12" t="s">
        <v>38</v>
      </c>
      <c r="E42" s="147">
        <f>[1]October!$B$49</f>
        <v>39.162786290000753</v>
      </c>
      <c r="F42" s="144"/>
      <c r="G42" s="144">
        <f>[1]October!$D$49</f>
        <v>40.704946996466418</v>
      </c>
      <c r="H42" s="144"/>
      <c r="I42" s="145">
        <f t="shared" si="1"/>
        <v>39.933866643233586</v>
      </c>
      <c r="J42" s="253"/>
      <c r="K42" s="244" t="str">
        <f t="shared" si="2"/>
        <v>|||||||||||||||||||||||||||||||||||||||</v>
      </c>
      <c r="L42" s="68">
        <v>2011</v>
      </c>
      <c r="M42" s="75"/>
      <c r="N42" s="85" t="s">
        <v>49</v>
      </c>
    </row>
    <row r="43" spans="2:14" s="87" customFormat="1" ht="13.2" hidden="1">
      <c r="B43" s="110"/>
      <c r="D43" s="12" t="s">
        <v>39</v>
      </c>
      <c r="E43" s="147">
        <f>[1]November!$B$48</f>
        <v>38.705675687927716</v>
      </c>
      <c r="F43" s="144"/>
      <c r="G43" s="144">
        <f>[1]November!$D$48</f>
        <v>36.783499450000001</v>
      </c>
      <c r="H43" s="144"/>
      <c r="I43" s="145">
        <f t="shared" si="1"/>
        <v>37.744587568963858</v>
      </c>
      <c r="J43" s="253"/>
      <c r="K43" s="244" t="str">
        <f t="shared" si="2"/>
        <v>|||||||||||||||||||||||||||||||||||||</v>
      </c>
      <c r="L43" s="68">
        <v>2011</v>
      </c>
      <c r="M43" s="75"/>
      <c r="N43" s="85" t="s">
        <v>39</v>
      </c>
    </row>
    <row r="44" spans="2:14" s="87" customFormat="1" ht="13.2" hidden="1">
      <c r="B44" s="110"/>
      <c r="D44" s="12" t="s">
        <v>32</v>
      </c>
      <c r="E44" s="147">
        <f>[1]December!$B$48</f>
        <v>44.759191180000002</v>
      </c>
      <c r="F44" s="144"/>
      <c r="G44" s="144">
        <f>[1]December!$D$48</f>
        <v>36.954372620000001</v>
      </c>
      <c r="H44" s="144"/>
      <c r="I44" s="145">
        <f t="shared" si="1"/>
        <v>40.856781900000001</v>
      </c>
      <c r="J44" s="253"/>
      <c r="K44" s="244" t="str">
        <f t="shared" si="2"/>
        <v>||||||||||||||||||||||||||||||||||||||||</v>
      </c>
      <c r="L44" s="68">
        <v>2011</v>
      </c>
      <c r="M44" s="75"/>
      <c r="N44" s="85" t="s">
        <v>32</v>
      </c>
    </row>
    <row r="45" spans="2:14" s="87" customFormat="1" ht="13.2" hidden="1">
      <c r="B45" s="110">
        <v>2012</v>
      </c>
      <c r="C45" s="111"/>
      <c r="D45" s="12" t="s">
        <v>33</v>
      </c>
      <c r="E45" s="147">
        <f>[2]Summary_Jan_12!$B$48</f>
        <v>33.99899543379005</v>
      </c>
      <c r="F45" s="144"/>
      <c r="G45" s="144">
        <f>[2]Summary_Jan_12!$D$48</f>
        <v>36.500508130081307</v>
      </c>
      <c r="H45" s="144"/>
      <c r="I45" s="145">
        <f t="shared" si="1"/>
        <v>35.249751781935679</v>
      </c>
      <c r="J45" s="253"/>
      <c r="K45" s="244" t="str">
        <f t="shared" si="2"/>
        <v>|||||||||||||||||||||||||||||||||||</v>
      </c>
      <c r="L45" s="68">
        <v>2012</v>
      </c>
      <c r="M45" s="75"/>
      <c r="N45" s="85" t="s">
        <v>33</v>
      </c>
    </row>
    <row r="46" spans="2:14" s="87" customFormat="1" ht="13.2" hidden="1">
      <c r="B46" s="110"/>
      <c r="C46" s="111"/>
      <c r="D46" s="12" t="s">
        <v>34</v>
      </c>
      <c r="E46" s="147">
        <f>'[2]Summary_Feb_12 '!$B$48</f>
        <v>38.742467149977415</v>
      </c>
      <c r="F46" s="144"/>
      <c r="G46" s="144">
        <f>'[2]Summary_Feb_12 '!$D$48</f>
        <v>45.933908045977006</v>
      </c>
      <c r="H46" s="144"/>
      <c r="I46" s="145">
        <f t="shared" si="1"/>
        <v>42.33818759797721</v>
      </c>
      <c r="J46" s="253"/>
      <c r="K46" s="244" t="str">
        <f t="shared" si="2"/>
        <v>||||||||||||||||||||||||||||||||||||||||||</v>
      </c>
      <c r="L46" s="68">
        <v>2012</v>
      </c>
      <c r="M46" s="75"/>
      <c r="N46" s="85" t="s">
        <v>75</v>
      </c>
    </row>
    <row r="47" spans="2:14" s="87" customFormat="1" ht="13.2" hidden="1">
      <c r="B47" s="110">
        <v>2012</v>
      </c>
      <c r="C47" s="111"/>
      <c r="D47" s="12" t="s">
        <v>29</v>
      </c>
      <c r="E47" s="147">
        <f>[2]Summary_Mar_12!$B$48</f>
        <v>38.041463414634229</v>
      </c>
      <c r="F47" s="144"/>
      <c r="G47" s="144">
        <f>[2]Summary_Mar_12!$D$48</f>
        <v>42.915794066317595</v>
      </c>
      <c r="H47" s="144"/>
      <c r="I47" s="243">
        <f>SUM(E47:G47)/2</f>
        <v>40.478628740475912</v>
      </c>
      <c r="J47" s="253"/>
      <c r="K47" s="12" t="str">
        <f t="shared" si="2"/>
        <v>||||||||||||||||||||||||||||||||||||||||</v>
      </c>
      <c r="L47" s="68">
        <v>2012</v>
      </c>
      <c r="M47" s="75"/>
      <c r="N47" s="85" t="s">
        <v>76</v>
      </c>
    </row>
    <row r="48" spans="2:14" s="87" customFormat="1" ht="13.2" hidden="1">
      <c r="B48" s="110">
        <v>2012</v>
      </c>
      <c r="C48" s="111"/>
      <c r="D48" s="12" t="s">
        <v>35</v>
      </c>
      <c r="E48" s="147">
        <f>'[2]Summary_Apr_12 '!$B$48</f>
        <v>38.041463414634229</v>
      </c>
      <c r="F48" s="144"/>
      <c r="G48" s="144">
        <f>'[2]Summary_Apr_12 '!$D$48</f>
        <v>42.915794066317595</v>
      </c>
      <c r="H48" s="144"/>
      <c r="I48" s="145">
        <f t="shared" si="1"/>
        <v>40.478628740475912</v>
      </c>
      <c r="J48" s="253"/>
      <c r="K48" s="12" t="str">
        <f t="shared" si="2"/>
        <v>||||||||||||||||||||||||||||||||||||||||</v>
      </c>
      <c r="L48" s="68">
        <v>2012</v>
      </c>
      <c r="M48" s="75"/>
      <c r="N48" s="85" t="s">
        <v>76</v>
      </c>
    </row>
    <row r="49" spans="2:34" s="87" customFormat="1" ht="13.2" hidden="1">
      <c r="B49" s="110"/>
      <c r="C49" s="111"/>
      <c r="D49" s="12" t="s">
        <v>4</v>
      </c>
      <c r="E49" s="147">
        <f>[2]Summary_May_12!$B$48</f>
        <v>39.728626126126258</v>
      </c>
      <c r="F49" s="144"/>
      <c r="G49" s="144">
        <f>[2]Summary_May_12!$D$48</f>
        <v>53.269406392694059</v>
      </c>
      <c r="H49" s="144"/>
      <c r="I49" s="145">
        <f t="shared" si="1"/>
        <v>46.499016259410155</v>
      </c>
      <c r="J49" s="253"/>
      <c r="K49" s="12" t="str">
        <f t="shared" si="2"/>
        <v>||||||||||||||||||||||||||||||||||||||||||||||</v>
      </c>
      <c r="L49" s="68">
        <v>2012</v>
      </c>
      <c r="M49" s="75"/>
      <c r="N49" s="85" t="s">
        <v>77</v>
      </c>
    </row>
    <row r="50" spans="2:34" s="87" customFormat="1" ht="13.2" hidden="1">
      <c r="B50" s="110"/>
      <c r="C50" s="111"/>
      <c r="D50" s="12" t="s">
        <v>30</v>
      </c>
      <c r="E50" s="147">
        <f>[2]Summary_June_12!$B$48</f>
        <v>37.873919185729989</v>
      </c>
      <c r="F50" s="144"/>
      <c r="G50" s="144">
        <f>[2]Summary_June_12!$D$48</f>
        <v>29.739583333333339</v>
      </c>
      <c r="H50" s="144"/>
      <c r="I50" s="145">
        <f t="shared" si="1"/>
        <v>33.806751259531666</v>
      </c>
      <c r="J50" s="253"/>
      <c r="K50" s="12" t="str">
        <f t="shared" si="2"/>
        <v>|||||||||||||||||||||||||||||||||</v>
      </c>
      <c r="L50" s="68">
        <v>2012</v>
      </c>
      <c r="M50" s="75"/>
      <c r="N50" s="85" t="s">
        <v>78</v>
      </c>
    </row>
    <row r="51" spans="2:34" s="87" customFormat="1" ht="13.2" hidden="1">
      <c r="B51" s="110"/>
      <c r="C51" s="111"/>
      <c r="D51" s="12" t="s">
        <v>36</v>
      </c>
      <c r="E51" s="147">
        <f>[2]Summary_July_12!$B$48</f>
        <v>38.410779103870915</v>
      </c>
      <c r="F51" s="144"/>
      <c r="G51" s="144">
        <f>[2]Summary_July_12!$D$48</f>
        <v>40.977176220806776</v>
      </c>
      <c r="H51" s="144"/>
      <c r="I51" s="145">
        <f t="shared" si="1"/>
        <v>39.693977662338845</v>
      </c>
      <c r="J51" s="253"/>
      <c r="K51" s="12" t="str">
        <f t="shared" si="2"/>
        <v>|||||||||||||||||||||||||||||||||||||||</v>
      </c>
      <c r="L51" s="68">
        <v>2012</v>
      </c>
      <c r="M51" s="75"/>
      <c r="N51" s="85" t="s">
        <v>79</v>
      </c>
    </row>
    <row r="52" spans="2:34" s="87" customFormat="1" ht="13.2" hidden="1">
      <c r="B52" s="110"/>
      <c r="C52" s="111"/>
      <c r="D52" s="12" t="s">
        <v>37</v>
      </c>
      <c r="E52" s="147">
        <f>'[2]Summary_August_12 '!$B$48</f>
        <v>41.545426188600025</v>
      </c>
      <c r="F52" s="144"/>
      <c r="G52" s="144">
        <f>'[2]Summary_August_12 '!$D$48</f>
        <v>46.486719787516584</v>
      </c>
      <c r="H52" s="144"/>
      <c r="I52" s="145">
        <f t="shared" si="1"/>
        <v>44.016072988058305</v>
      </c>
      <c r="J52" s="253"/>
      <c r="K52" s="12" t="str">
        <f t="shared" si="2"/>
        <v>||||||||||||||||||||||||||||||||||||||||||||</v>
      </c>
      <c r="L52" s="68">
        <v>2012</v>
      </c>
      <c r="M52" s="75"/>
      <c r="N52" s="85" t="s">
        <v>80</v>
      </c>
    </row>
    <row r="53" spans="2:34" s="87" customFormat="1" ht="13.2" hidden="1">
      <c r="B53" s="110"/>
      <c r="C53" s="111"/>
      <c r="D53" s="12" t="s">
        <v>31</v>
      </c>
      <c r="E53" s="147">
        <f>[2]Summary_September_12!$B$48</f>
        <v>36.486604709864245</v>
      </c>
      <c r="F53" s="144"/>
      <c r="G53" s="144">
        <f>[2]Summary_September_12!$D$48</f>
        <v>38.279096045197754</v>
      </c>
      <c r="H53" s="144"/>
      <c r="I53" s="145">
        <f t="shared" si="1"/>
        <v>37.382850377531</v>
      </c>
      <c r="J53" s="253"/>
      <c r="K53" s="12" t="str">
        <f t="shared" si="2"/>
        <v>|||||||||||||||||||||||||||||||||||||</v>
      </c>
      <c r="L53" s="68">
        <v>2012</v>
      </c>
      <c r="M53" s="75"/>
      <c r="N53" s="85" t="s">
        <v>31</v>
      </c>
    </row>
    <row r="54" spans="2:34" s="87" customFormat="1" ht="13.2" hidden="1">
      <c r="B54" s="110">
        <v>2012</v>
      </c>
      <c r="C54" s="111"/>
      <c r="D54" s="12" t="s">
        <v>38</v>
      </c>
      <c r="E54" s="147">
        <f>'[2]Summary_October_12 '!$B$48</f>
        <v>41.545426188600025</v>
      </c>
      <c r="F54" s="144"/>
      <c r="G54" s="144">
        <f>'[2]Summary_October_12 '!$D$48</f>
        <v>46.486719787516584</v>
      </c>
      <c r="H54" s="144"/>
      <c r="I54" s="145">
        <f t="shared" si="1"/>
        <v>44.016072988058305</v>
      </c>
      <c r="J54" s="253"/>
      <c r="K54" s="12" t="str">
        <f>REPT("|",I54)</f>
        <v>||||||||||||||||||||||||||||||||||||||||||||</v>
      </c>
      <c r="L54" s="68">
        <v>2012</v>
      </c>
      <c r="M54" s="75"/>
      <c r="N54" s="85" t="s">
        <v>49</v>
      </c>
    </row>
    <row r="55" spans="2:34" s="87" customFormat="1" ht="12.75" hidden="1" customHeight="1">
      <c r="B55" s="110">
        <v>2012</v>
      </c>
      <c r="C55" s="111"/>
      <c r="D55" s="12" t="s">
        <v>39</v>
      </c>
      <c r="E55" s="147">
        <f>'[2]Summary November12'!$B$48</f>
        <v>36.646867134124321</v>
      </c>
      <c r="F55" s="144"/>
      <c r="G55" s="144">
        <f>'[2]Summary November12'!$D$48</f>
        <v>41.564197530864206</v>
      </c>
      <c r="H55" s="144"/>
      <c r="I55" s="145">
        <f t="shared" si="1"/>
        <v>39.105532332494263</v>
      </c>
      <c r="J55" s="253"/>
      <c r="K55" s="12" t="str">
        <f>REPT("|",I55)</f>
        <v>|||||||||||||||||||||||||||||||||||||||</v>
      </c>
      <c r="L55" s="68">
        <v>2012</v>
      </c>
      <c r="M55" s="75"/>
      <c r="N55" s="85" t="s">
        <v>39</v>
      </c>
      <c r="AB55" s="87" t="s">
        <v>14</v>
      </c>
    </row>
    <row r="56" spans="2:34" s="87" customFormat="1" ht="13.2" hidden="1">
      <c r="B56" s="110">
        <v>2012</v>
      </c>
      <c r="C56" s="111"/>
      <c r="D56" s="12" t="s">
        <v>32</v>
      </c>
      <c r="E56" s="147">
        <f>'[2]Summary December12'!$B$48</f>
        <v>36.646867134124321</v>
      </c>
      <c r="F56" s="144"/>
      <c r="G56" s="144">
        <f>'[2]Summary December12'!$D$48</f>
        <v>36.933277027027039</v>
      </c>
      <c r="H56" s="144"/>
      <c r="I56" s="145">
        <f>(E56+G56)/2</f>
        <v>36.790072080575683</v>
      </c>
      <c r="J56" s="253"/>
      <c r="K56" s="12" t="str">
        <f>REPT("|",I56)</f>
        <v>||||||||||||||||||||||||||||||||||||</v>
      </c>
      <c r="L56" s="68">
        <v>2012</v>
      </c>
      <c r="M56" s="75"/>
      <c r="N56" s="85" t="s">
        <v>32</v>
      </c>
      <c r="AH56" s="87" t="s">
        <v>16</v>
      </c>
    </row>
    <row r="57" spans="2:34" s="87" customFormat="1" ht="13.2" hidden="1">
      <c r="B57" s="110">
        <v>2013</v>
      </c>
      <c r="C57" s="111"/>
      <c r="D57" s="12" t="s">
        <v>33</v>
      </c>
      <c r="E57" s="147">
        <f>[5]Summary_Jan_13!$B$47</f>
        <v>35.367024146769069</v>
      </c>
      <c r="F57" s="144"/>
      <c r="G57" s="144">
        <f>[5]Summary_Jan_13!$D$47</f>
        <v>44.174703891708987</v>
      </c>
      <c r="H57" s="144"/>
      <c r="I57" s="243">
        <f t="shared" ref="I57:I64" si="3">SUM(E57:G57)/2</f>
        <v>39.770864019239028</v>
      </c>
      <c r="J57" s="246"/>
      <c r="K57" s="12" t="str">
        <f>REPT("|",I57)</f>
        <v>|||||||||||||||||||||||||||||||||||||||</v>
      </c>
      <c r="L57" s="68">
        <v>2013</v>
      </c>
      <c r="M57" s="75"/>
      <c r="N57" s="85" t="s">
        <v>33</v>
      </c>
      <c r="R57" s="150"/>
      <c r="U57" s="150"/>
    </row>
    <row r="58" spans="2:34" s="87" customFormat="1" ht="13.2" hidden="1">
      <c r="B58" s="110">
        <v>2013</v>
      </c>
      <c r="C58" s="111"/>
      <c r="D58" s="12" t="s">
        <v>34</v>
      </c>
      <c r="E58" s="147">
        <f>[5]Summary_Feb_13revised!$B$48</f>
        <v>32.045782213904516</v>
      </c>
      <c r="F58" s="255"/>
      <c r="G58" s="144">
        <f>[5]Summary_Feb_13revised!$D$48</f>
        <v>46.372267759562867</v>
      </c>
      <c r="H58" s="255"/>
      <c r="I58" s="243">
        <f t="shared" si="3"/>
        <v>39.209024986733695</v>
      </c>
      <c r="J58" s="256"/>
      <c r="K58" s="12" t="str">
        <f>REPT("|",I58)</f>
        <v>|||||||||||||||||||||||||||||||||||||||</v>
      </c>
      <c r="L58" s="68">
        <v>2013</v>
      </c>
      <c r="M58" s="75"/>
      <c r="N58" s="85" t="s">
        <v>75</v>
      </c>
      <c r="R58" s="150"/>
      <c r="U58" s="150"/>
    </row>
    <row r="59" spans="2:34" s="87" customFormat="1" ht="13.2" hidden="1">
      <c r="B59" s="110">
        <v>2013</v>
      </c>
      <c r="C59" s="111"/>
      <c r="D59" s="12" t="s">
        <v>29</v>
      </c>
      <c r="E59" s="147">
        <f>[5]Summary_Mar_13!$B$48</f>
        <v>36.980461876832834</v>
      </c>
      <c r="F59" s="144"/>
      <c r="G59" s="144">
        <f>[5]Summary_Mar_13!$D$48</f>
        <v>41.507222222222211</v>
      </c>
      <c r="H59" s="144"/>
      <c r="I59" s="243">
        <f t="shared" si="3"/>
        <v>39.243842049527522</v>
      </c>
      <c r="J59" s="246"/>
      <c r="K59" s="12"/>
      <c r="L59" s="68">
        <v>2013</v>
      </c>
      <c r="M59" s="75"/>
      <c r="N59" s="85" t="s">
        <v>76</v>
      </c>
      <c r="R59" s="150"/>
      <c r="U59" s="150"/>
    </row>
    <row r="60" spans="2:34" s="87" customFormat="1" ht="13.2" hidden="1">
      <c r="B60" s="110">
        <v>2013</v>
      </c>
      <c r="C60" s="111"/>
      <c r="D60" s="12" t="s">
        <v>35</v>
      </c>
      <c r="E60" s="147">
        <f>'[5]April 2013'!$B$41</f>
        <v>38.107736494744628</v>
      </c>
      <c r="F60" s="144"/>
      <c r="G60" s="144">
        <f>'[5]April 2013'!$E$35</f>
        <v>34.390396659707676</v>
      </c>
      <c r="H60" s="144"/>
      <c r="I60" s="243">
        <f t="shared" si="3"/>
        <v>36.249066577226152</v>
      </c>
      <c r="J60" s="246"/>
      <c r="K60" s="12"/>
      <c r="L60" s="68">
        <v>2013</v>
      </c>
      <c r="M60" s="75"/>
      <c r="N60" s="85" t="s">
        <v>76</v>
      </c>
    </row>
    <row r="61" spans="2:34" s="87" customFormat="1" ht="13.2" hidden="1">
      <c r="B61" s="110">
        <v>2013</v>
      </c>
      <c r="C61" s="111"/>
      <c r="D61" s="12" t="s">
        <v>4</v>
      </c>
      <c r="E61" s="147">
        <f>[5]Summary_May_13!$B$49</f>
        <v>41.703097969589436</v>
      </c>
      <c r="F61" s="144"/>
      <c r="G61" s="144">
        <f>[5]Summary_May_13!$D$49</f>
        <v>46.717687074829918</v>
      </c>
      <c r="H61" s="144"/>
      <c r="I61" s="243">
        <f t="shared" si="3"/>
        <v>44.210392522209673</v>
      </c>
      <c r="J61" s="246"/>
      <c r="K61" s="12"/>
      <c r="L61" s="68">
        <v>2013</v>
      </c>
      <c r="M61" s="75"/>
      <c r="N61" s="85" t="s">
        <v>77</v>
      </c>
    </row>
    <row r="62" spans="2:34" s="87" customFormat="1" ht="13.2" hidden="1">
      <c r="B62" s="110">
        <v>2013</v>
      </c>
      <c r="C62" s="111"/>
      <c r="D62" s="12" t="s">
        <v>30</v>
      </c>
      <c r="E62" s="147">
        <f>'[5]Summary_June_13 (2)'!$B$49</f>
        <v>36.954721063205206</v>
      </c>
      <c r="F62" s="144"/>
      <c r="G62" s="144">
        <f>'[5]Summary_June_13 (2)'!$D$49</f>
        <v>37.529583333333328</v>
      </c>
      <c r="H62" s="144"/>
      <c r="I62" s="243">
        <f t="shared" si="3"/>
        <v>37.242152198269267</v>
      </c>
      <c r="J62" s="246"/>
      <c r="K62" s="12"/>
      <c r="L62" s="68">
        <v>2013</v>
      </c>
      <c r="M62" s="75"/>
      <c r="N62" s="85" t="s">
        <v>78</v>
      </c>
    </row>
    <row r="63" spans="2:34" s="87" customFormat="1" ht="13.2" hidden="1">
      <c r="B63" s="110">
        <v>2013</v>
      </c>
      <c r="C63" s="111"/>
      <c r="D63" s="12" t="s">
        <v>36</v>
      </c>
      <c r="E63" s="147">
        <f>[5]Summary_July_13!$B$49</f>
        <v>34.588108630690819</v>
      </c>
      <c r="F63" s="144"/>
      <c r="G63" s="144">
        <f>[5]Summary_July_13!$D$49</f>
        <v>41.473182145428346</v>
      </c>
      <c r="H63" s="144"/>
      <c r="I63" s="243">
        <f t="shared" si="3"/>
        <v>38.030645388059583</v>
      </c>
      <c r="J63" s="246"/>
      <c r="K63" s="12"/>
      <c r="L63" s="68">
        <v>2013</v>
      </c>
      <c r="M63" s="75"/>
      <c r="N63" s="85" t="s">
        <v>79</v>
      </c>
    </row>
    <row r="64" spans="2:34" s="87" customFormat="1" ht="13.2" hidden="1">
      <c r="B64" s="110">
        <v>2013</v>
      </c>
      <c r="C64" s="111"/>
      <c r="D64" s="12" t="s">
        <v>37</v>
      </c>
      <c r="E64" s="147">
        <f>'[5]Summary_Aug_13 '!$B$49</f>
        <v>38.125452559300925</v>
      </c>
      <c r="F64" s="144"/>
      <c r="G64" s="144">
        <f>'[5]Summary_Aug_13 '!$D$49</f>
        <v>43.652654867256629</v>
      </c>
      <c r="H64" s="144"/>
      <c r="I64" s="243">
        <f t="shared" si="3"/>
        <v>40.889053713278777</v>
      </c>
      <c r="J64" s="246"/>
      <c r="K64" s="12"/>
      <c r="L64" s="68">
        <v>2013</v>
      </c>
      <c r="M64" s="75"/>
      <c r="N64" s="85" t="s">
        <v>80</v>
      </c>
      <c r="R64" s="157"/>
    </row>
    <row r="65" spans="2:22" s="87" customFormat="1" ht="13.2" hidden="1">
      <c r="B65" s="110">
        <v>2013</v>
      </c>
      <c r="C65" s="111"/>
      <c r="D65" s="12" t="s">
        <v>31</v>
      </c>
      <c r="E65" s="147">
        <f>'[5]Summary_Sep 13'!$B$49</f>
        <v>35.922406950079221</v>
      </c>
      <c r="F65" s="144"/>
      <c r="G65" s="144">
        <f>'[5]Summary_Sep 13'!$D$49</f>
        <v>39.229492187499993</v>
      </c>
      <c r="H65" s="144"/>
      <c r="I65" s="243">
        <f t="shared" ref="I65:I70" si="4">SUM(E65:G65)/2</f>
        <v>37.575949568789611</v>
      </c>
      <c r="J65" s="246"/>
      <c r="K65" s="12"/>
      <c r="L65" s="68">
        <v>2013</v>
      </c>
      <c r="M65" s="75"/>
      <c r="N65" s="85" t="s">
        <v>31</v>
      </c>
      <c r="Q65" s="55"/>
      <c r="R65" s="55"/>
      <c r="S65" s="55"/>
      <c r="T65" s="55"/>
      <c r="U65" s="55"/>
      <c r="V65" s="55"/>
    </row>
    <row r="66" spans="2:22" s="87" customFormat="1" ht="13.2" hidden="1">
      <c r="B66" s="110">
        <v>2013</v>
      </c>
      <c r="C66" s="111"/>
      <c r="D66" s="12" t="s">
        <v>38</v>
      </c>
      <c r="E66" s="147">
        <f>'[5]Summary_Oct 13 '!$B$49</f>
        <v>34.090302505373195</v>
      </c>
      <c r="F66" s="144"/>
      <c r="G66" s="144">
        <f>'[5]Summary_Oct 13 '!$D$49</f>
        <v>31.861046959199385</v>
      </c>
      <c r="H66" s="144"/>
      <c r="I66" s="243">
        <f t="shared" si="4"/>
        <v>32.975674732286294</v>
      </c>
      <c r="J66" s="246"/>
      <c r="K66" s="12"/>
      <c r="L66" s="68">
        <v>2013</v>
      </c>
      <c r="M66" s="75"/>
      <c r="N66" s="85" t="s">
        <v>49</v>
      </c>
      <c r="Q66" s="55"/>
      <c r="R66" s="55"/>
      <c r="S66" s="55"/>
      <c r="T66" s="55"/>
      <c r="U66" s="55"/>
      <c r="V66" s="55"/>
    </row>
    <row r="67" spans="2:22" s="87" customFormat="1" ht="13.2" hidden="1">
      <c r="B67" s="110">
        <v>2013</v>
      </c>
      <c r="C67" s="111"/>
      <c r="D67" s="12" t="s">
        <v>39</v>
      </c>
      <c r="E67" s="147">
        <f>'[5]Summary_Nov 13 '!$B$49</f>
        <v>32.502917997870163</v>
      </c>
      <c r="F67" s="144"/>
      <c r="G67" s="144">
        <f>'[5]Summary_Nov 13 '!$D$49</f>
        <v>38.744407158836651</v>
      </c>
      <c r="H67" s="144"/>
      <c r="I67" s="243">
        <f t="shared" si="4"/>
        <v>35.623662578353404</v>
      </c>
      <c r="J67" s="246"/>
      <c r="K67" s="12"/>
      <c r="L67" s="68">
        <v>2013</v>
      </c>
      <c r="M67" s="75"/>
      <c r="N67" s="85" t="s">
        <v>39</v>
      </c>
      <c r="Q67" s="55"/>
      <c r="R67" s="55"/>
      <c r="S67" s="55"/>
      <c r="T67" s="55"/>
      <c r="U67" s="55"/>
      <c r="V67" s="55"/>
    </row>
    <row r="68" spans="2:22" s="87" customFormat="1" ht="13.2" hidden="1">
      <c r="B68" s="110">
        <v>2013</v>
      </c>
      <c r="C68" s="111"/>
      <c r="D68" s="12" t="s">
        <v>32</v>
      </c>
      <c r="E68" s="147">
        <f>'[5]Summary_Dec 13 '!$B$50</f>
        <v>29.821563038812169</v>
      </c>
      <c r="F68" s="144"/>
      <c r="G68" s="144">
        <f>'[5]Summary_Dec 13 '!$D$50</f>
        <v>33.614035087719287</v>
      </c>
      <c r="H68" s="144"/>
      <c r="I68" s="243">
        <f t="shared" si="4"/>
        <v>31.71779906326573</v>
      </c>
      <c r="J68" s="246"/>
      <c r="K68" s="12"/>
      <c r="L68" s="68">
        <v>2013</v>
      </c>
      <c r="M68" s="75"/>
      <c r="N68" s="85" t="s">
        <v>32</v>
      </c>
      <c r="Q68" s="55"/>
      <c r="R68" s="55"/>
      <c r="S68" s="55"/>
      <c r="T68" s="55"/>
      <c r="U68" s="55"/>
      <c r="V68" s="55"/>
    </row>
    <row r="69" spans="2:22" s="87" customFormat="1" ht="13.2" hidden="1">
      <c r="B69" s="110">
        <v>2014</v>
      </c>
      <c r="C69" s="111"/>
      <c r="D69" s="12" t="s">
        <v>33</v>
      </c>
      <c r="E69" s="147">
        <f>'[6]Summary_Jan 14'!$C$49</f>
        <v>35.076968709781198</v>
      </c>
      <c r="F69" s="144"/>
      <c r="G69" s="144">
        <f>'[6]Summary_Jan 14'!$B$49</f>
        <v>32.372117400419263</v>
      </c>
      <c r="H69" s="144"/>
      <c r="I69" s="243">
        <f t="shared" si="4"/>
        <v>33.724543055100227</v>
      </c>
      <c r="J69" s="246"/>
      <c r="K69" s="12"/>
      <c r="L69" s="68">
        <v>2014</v>
      </c>
      <c r="M69" s="75"/>
      <c r="N69" s="85" t="s">
        <v>33</v>
      </c>
      <c r="Q69" s="55"/>
      <c r="R69" s="55"/>
      <c r="S69" s="55"/>
      <c r="T69" s="55"/>
      <c r="U69" s="55"/>
      <c r="V69" s="55"/>
    </row>
    <row r="70" spans="2:22" s="87" customFormat="1" ht="13.2" hidden="1">
      <c r="B70" s="110">
        <v>2014</v>
      </c>
      <c r="C70" s="111"/>
      <c r="D70" s="12" t="s">
        <v>34</v>
      </c>
      <c r="E70" s="147">
        <f>'[6]Summary_Feb 14 '!$C$49</f>
        <v>44.822519083969475</v>
      </c>
      <c r="F70" s="144"/>
      <c r="G70" s="144">
        <f>'[6]Summary_Feb 14 '!$B$49</f>
        <v>38.908381167144903</v>
      </c>
      <c r="H70" s="144"/>
      <c r="I70" s="243">
        <f t="shared" si="4"/>
        <v>41.865450125557189</v>
      </c>
      <c r="J70" s="246"/>
      <c r="K70" s="12"/>
      <c r="L70" s="110">
        <v>2014</v>
      </c>
      <c r="M70" s="75"/>
      <c r="N70" s="85" t="s">
        <v>75</v>
      </c>
      <c r="Q70" s="55"/>
      <c r="R70" s="55"/>
      <c r="S70" s="55"/>
      <c r="T70" s="55"/>
      <c r="U70" s="55"/>
      <c r="V70" s="55"/>
    </row>
    <row r="71" spans="2:22" s="87" customFormat="1" ht="13.2" hidden="1">
      <c r="B71" s="110">
        <v>2014</v>
      </c>
      <c r="C71" s="111"/>
      <c r="D71" s="12" t="s">
        <v>29</v>
      </c>
      <c r="E71" s="147">
        <f>'[6]Summary_Mar 14 '!$C$49</f>
        <v>40.066272221321633</v>
      </c>
      <c r="F71" s="144"/>
      <c r="G71" s="144">
        <f>'[6]Summary_Mar 14 '!$B$49</f>
        <v>46.914251207729471</v>
      </c>
      <c r="H71" s="144"/>
      <c r="I71" s="243">
        <f>SUM(E71:G71)/2</f>
        <v>43.490261714525552</v>
      </c>
      <c r="J71" s="246"/>
      <c r="K71" s="12"/>
      <c r="L71" s="110">
        <v>2014</v>
      </c>
      <c r="M71" s="75"/>
      <c r="N71" s="85" t="s">
        <v>29</v>
      </c>
      <c r="Q71" s="55"/>
      <c r="R71" s="55"/>
      <c r="S71" s="55"/>
      <c r="T71" s="55"/>
      <c r="U71" s="55"/>
      <c r="V71" s="55"/>
    </row>
    <row r="72" spans="2:22" s="87" customFormat="1" ht="13.2" hidden="1">
      <c r="B72" s="110">
        <v>2014</v>
      </c>
      <c r="C72" s="111"/>
      <c r="D72" s="12" t="s">
        <v>35</v>
      </c>
      <c r="E72" s="147">
        <f>'[6]Summary_Apr 14'!$C$49</f>
        <v>37.272881663555353</v>
      </c>
      <c r="F72" s="144"/>
      <c r="G72" s="144">
        <f>'[6]Summary_Apr 14'!$B$49</f>
        <v>40.750449236298337</v>
      </c>
      <c r="H72" s="144"/>
      <c r="I72" s="243">
        <f>SUM(E72:G72)/2</f>
        <v>39.011665449926845</v>
      </c>
      <c r="J72" s="246"/>
      <c r="K72" s="12"/>
      <c r="L72" s="68">
        <v>2014</v>
      </c>
      <c r="M72" s="75"/>
      <c r="N72" s="85" t="s">
        <v>76</v>
      </c>
      <c r="Q72" s="55"/>
      <c r="R72" s="55"/>
      <c r="S72" s="55"/>
      <c r="T72" s="55"/>
      <c r="U72" s="55"/>
      <c r="V72" s="55"/>
    </row>
    <row r="73" spans="2:22" s="87" customFormat="1" ht="13.95" hidden="1" customHeight="1">
      <c r="B73" s="110">
        <v>2014</v>
      </c>
      <c r="C73" s="111"/>
      <c r="D73" s="12" t="s">
        <v>4</v>
      </c>
      <c r="E73" s="147">
        <f>'[6]Summary_May 14 '!$C$49</f>
        <v>41.821963116397356</v>
      </c>
      <c r="F73" s="144"/>
      <c r="G73" s="144">
        <f>'[6]Summary_May 14 '!$B$49</f>
        <v>44.324974670719349</v>
      </c>
      <c r="H73" s="144"/>
      <c r="I73" s="243">
        <f>SUM(E73:G73)/2</f>
        <v>43.073468893558356</v>
      </c>
      <c r="J73" s="246"/>
      <c r="K73" s="12"/>
      <c r="L73" s="68">
        <v>2014</v>
      </c>
      <c r="M73" s="75"/>
      <c r="N73" s="85" t="s">
        <v>77</v>
      </c>
      <c r="Q73" s="55"/>
      <c r="R73" s="55"/>
      <c r="S73" s="55"/>
      <c r="T73" s="55"/>
      <c r="U73" s="55"/>
      <c r="V73" s="55"/>
    </row>
    <row r="74" spans="2:22" s="87" customFormat="1" ht="13.2" hidden="1">
      <c r="B74" s="110">
        <v>2014</v>
      </c>
      <c r="C74" s="111"/>
      <c r="D74" s="12" t="s">
        <v>30</v>
      </c>
      <c r="E74" s="147">
        <f>'[6]Summary_June 14'!$C$49</f>
        <v>38.575127226463081</v>
      </c>
      <c r="F74" s="144"/>
      <c r="G74" s="144">
        <f>'[6]Summary_June 14'!$B$49</f>
        <v>38.286506116207939</v>
      </c>
      <c r="H74" s="144"/>
      <c r="I74" s="243">
        <f>SUM(E74:G74)/2</f>
        <v>38.430816671335506</v>
      </c>
      <c r="J74" s="246"/>
      <c r="K74" s="12"/>
      <c r="L74" s="68">
        <v>2014</v>
      </c>
      <c r="M74" s="75"/>
      <c r="N74" s="85" t="s">
        <v>78</v>
      </c>
      <c r="Q74" s="55"/>
      <c r="R74" s="55"/>
      <c r="S74" s="55"/>
      <c r="T74" s="55"/>
      <c r="U74" s="55"/>
      <c r="V74" s="55"/>
    </row>
    <row r="75" spans="2:22" s="87" customFormat="1" ht="13.2" hidden="1">
      <c r="B75" s="110">
        <v>2014</v>
      </c>
      <c r="C75" s="111"/>
      <c r="D75" s="12" t="s">
        <v>36</v>
      </c>
      <c r="E75" s="147">
        <f>'[6]Summary_July 14'!$C$49</f>
        <v>37.896594785575282</v>
      </c>
      <c r="F75" s="144"/>
      <c r="G75" s="144">
        <f>'[6]Summary_July 14'!$B$49</f>
        <v>41.23240371845953</v>
      </c>
      <c r="H75" s="144"/>
      <c r="I75" s="243">
        <f>'[6]Summary_July 14'!$D$49</f>
        <v>39.564499252017406</v>
      </c>
      <c r="J75" s="246"/>
      <c r="K75" s="12"/>
      <c r="L75" s="68">
        <v>2014</v>
      </c>
      <c r="M75" s="75"/>
      <c r="N75" s="85" t="s">
        <v>79</v>
      </c>
      <c r="Q75" s="55"/>
      <c r="R75" s="55"/>
      <c r="S75" s="55"/>
      <c r="T75" s="55"/>
      <c r="U75" s="55"/>
      <c r="V75" s="55"/>
    </row>
    <row r="76" spans="2:22" s="87" customFormat="1" ht="13.2" hidden="1">
      <c r="B76" s="110">
        <v>2014</v>
      </c>
      <c r="C76" s="111"/>
      <c r="D76" s="12" t="s">
        <v>37</v>
      </c>
      <c r="E76" s="147">
        <f>'[6]Summary_Aug 14'!$C$49</f>
        <v>39.852214502822719</v>
      </c>
      <c r="F76" s="144"/>
      <c r="G76" s="144">
        <f>'[6]Summary_Aug 14'!$B$49</f>
        <v>46.070714285714288</v>
      </c>
      <c r="H76" s="144"/>
      <c r="I76" s="243">
        <f>'[6]Summary_Aug 14'!$D$49</f>
        <v>42.961464394268503</v>
      </c>
      <c r="J76" s="246"/>
      <c r="K76" s="12"/>
      <c r="L76" s="68">
        <v>2014</v>
      </c>
      <c r="M76" s="75"/>
      <c r="N76" s="85" t="s">
        <v>80</v>
      </c>
      <c r="Q76" s="55"/>
      <c r="R76" s="55"/>
      <c r="S76" s="55"/>
      <c r="T76" s="55"/>
      <c r="U76" s="55"/>
      <c r="V76" s="55"/>
    </row>
    <row r="77" spans="2:22" s="87" customFormat="1" ht="13.2" hidden="1">
      <c r="B77" s="110">
        <v>2014</v>
      </c>
      <c r="C77" s="111"/>
      <c r="D77" s="12" t="s">
        <v>31</v>
      </c>
      <c r="E77" s="147">
        <f>'[6]Summary_Sep 14'!$C$49</f>
        <v>37.533664150591562</v>
      </c>
      <c r="F77" s="144"/>
      <c r="G77" s="144">
        <f>'[6]Summary_Sep 14'!$B$49</f>
        <v>40.35517654099349</v>
      </c>
      <c r="H77" s="144"/>
      <c r="I77" s="243">
        <f>'[6]Summary_Sep 14'!$D$49</f>
        <v>38.944420345792523</v>
      </c>
      <c r="J77" s="246"/>
      <c r="K77" s="12"/>
      <c r="L77" s="68">
        <v>2014</v>
      </c>
      <c r="M77" s="75"/>
      <c r="N77" s="85" t="s">
        <v>31</v>
      </c>
      <c r="Q77" s="55"/>
      <c r="R77" s="55"/>
      <c r="S77" s="55"/>
      <c r="T77" s="55"/>
      <c r="U77" s="55"/>
      <c r="V77" s="55"/>
    </row>
    <row r="78" spans="2:22" s="87" customFormat="1" ht="13.2" hidden="1">
      <c r="B78" s="110">
        <v>2014</v>
      </c>
      <c r="C78" s="111"/>
      <c r="D78" s="12" t="s">
        <v>38</v>
      </c>
      <c r="E78" s="147">
        <f>'[6]Summary_Oct 14'!$C$49</f>
        <v>39.238740762932004</v>
      </c>
      <c r="F78" s="144"/>
      <c r="G78" s="144">
        <f>'[6]Summary_Oct 14'!$B$49</f>
        <v>44.749031007751938</v>
      </c>
      <c r="H78" s="144"/>
      <c r="I78" s="243">
        <f>'[6]Summary_Sep 14'!$D$49</f>
        <v>38.944420345792523</v>
      </c>
      <c r="J78" s="246"/>
      <c r="K78" s="12"/>
      <c r="L78" s="68">
        <v>2014</v>
      </c>
      <c r="M78" s="75"/>
      <c r="N78" s="85" t="s">
        <v>49</v>
      </c>
      <c r="Q78" s="55"/>
      <c r="R78" s="55"/>
      <c r="S78" s="55"/>
      <c r="T78" s="55"/>
      <c r="U78" s="55"/>
      <c r="V78" s="55"/>
    </row>
    <row r="79" spans="2:22" s="87" customFormat="1" ht="13.2" hidden="1">
      <c r="B79" s="110">
        <v>2014</v>
      </c>
      <c r="C79" s="111"/>
      <c r="D79" s="12" t="s">
        <v>39</v>
      </c>
      <c r="E79" s="147">
        <f>'[6]Summary_Nov 14'!$C$49</f>
        <v>38.937456047820056</v>
      </c>
      <c r="F79" s="144"/>
      <c r="G79" s="144">
        <f>'[6]Summary_Nov 14'!$B$49</f>
        <v>41.122370550161875</v>
      </c>
      <c r="H79" s="144"/>
      <c r="I79" s="243">
        <f>'[6]Summary_Nov 14'!$D$49</f>
        <v>40.029913298990962</v>
      </c>
      <c r="J79" s="246"/>
      <c r="K79" s="12"/>
      <c r="L79" s="68">
        <v>2014</v>
      </c>
      <c r="M79" s="75"/>
      <c r="N79" s="85" t="s">
        <v>39</v>
      </c>
      <c r="Q79" s="55"/>
      <c r="R79" s="55"/>
      <c r="S79" s="55"/>
      <c r="T79" s="55"/>
      <c r="U79" s="55"/>
      <c r="V79" s="55"/>
    </row>
    <row r="80" spans="2:22" s="87" customFormat="1" ht="13.2" hidden="1">
      <c r="B80" s="110">
        <v>2014</v>
      </c>
      <c r="C80" s="111"/>
      <c r="D80" s="12" t="s">
        <v>32</v>
      </c>
      <c r="E80" s="147">
        <f>'[6]Summary_Dec 14'!$C$49</f>
        <v>34.253404652274824</v>
      </c>
      <c r="F80" s="144"/>
      <c r="G80" s="144">
        <f>'[6]Summary_Dec 14'!$B$49</f>
        <v>35.163941871026367</v>
      </c>
      <c r="H80" s="144"/>
      <c r="I80" s="243">
        <f>'[6]Summary_Dec 14'!$D$49</f>
        <v>34.708673261650596</v>
      </c>
      <c r="J80" s="246"/>
      <c r="K80" s="12"/>
      <c r="L80" s="68">
        <v>2014</v>
      </c>
      <c r="M80" s="75"/>
      <c r="N80" s="85" t="s">
        <v>32</v>
      </c>
      <c r="Q80" s="55"/>
      <c r="R80" s="55"/>
      <c r="S80" s="55"/>
      <c r="T80" s="55"/>
      <c r="U80" s="55"/>
      <c r="V80" s="55"/>
    </row>
    <row r="81" spans="2:22" s="87" customFormat="1" ht="13.2" hidden="1">
      <c r="B81" s="110">
        <v>2015</v>
      </c>
      <c r="C81" s="111"/>
      <c r="D81" s="12" t="s">
        <v>33</v>
      </c>
      <c r="E81" s="147">
        <f>'[7]Summary_Jan 15'!$C$49</f>
        <v>33.339407398393824</v>
      </c>
      <c r="F81" s="144"/>
      <c r="G81" s="144">
        <f>'[7]Summary_Jan 15'!$B$49</f>
        <v>36.21366120218579</v>
      </c>
      <c r="H81" s="144"/>
      <c r="I81" s="243">
        <f>'[7]Summary_Jan 15'!$D$49</f>
        <v>34.776534300289811</v>
      </c>
      <c r="J81" s="246"/>
      <c r="K81" s="12"/>
      <c r="L81" s="68">
        <v>2015</v>
      </c>
      <c r="M81" s="75"/>
      <c r="N81" s="85" t="s">
        <v>33</v>
      </c>
      <c r="Q81" s="55"/>
      <c r="R81" s="55"/>
      <c r="S81" s="55"/>
      <c r="T81" s="55"/>
      <c r="U81" s="55"/>
      <c r="V81" s="55"/>
    </row>
    <row r="82" spans="2:22" s="87" customFormat="1" ht="13.95" hidden="1" customHeight="1">
      <c r="B82" s="110">
        <v>2015</v>
      </c>
      <c r="C82" s="111"/>
      <c r="D82" s="12" t="s">
        <v>34</v>
      </c>
      <c r="E82" s="147">
        <f>'[7]Summary_Feb 15'!$C$49</f>
        <v>39.587713365539493</v>
      </c>
      <c r="F82" s="144"/>
      <c r="G82" s="144">
        <f>'[7]Summary_Feb 15'!$B$49</f>
        <v>46.37323943661972</v>
      </c>
      <c r="H82" s="144"/>
      <c r="I82" s="243">
        <f>'[7]Summary_Feb 15'!$D$49</f>
        <v>42.980476401079606</v>
      </c>
      <c r="J82" s="246"/>
      <c r="K82" s="12"/>
      <c r="L82" s="68">
        <v>2015</v>
      </c>
      <c r="M82" s="75"/>
      <c r="N82" s="85" t="s">
        <v>75</v>
      </c>
      <c r="Q82" s="55"/>
      <c r="R82" s="55"/>
      <c r="S82" s="55"/>
      <c r="T82" s="55"/>
      <c r="U82" s="55"/>
      <c r="V82" s="55"/>
    </row>
    <row r="83" spans="2:22" s="87" customFormat="1" ht="13.2" hidden="1">
      <c r="B83" s="110">
        <v>2015</v>
      </c>
      <c r="C83" s="111"/>
      <c r="D83" s="12" t="s">
        <v>29</v>
      </c>
      <c r="E83" s="147">
        <f>'[7]Summary_Mar 15'!$C$49</f>
        <v>39.644945143951155</v>
      </c>
      <c r="F83" s="144"/>
      <c r="G83" s="144">
        <f>'[7]Summary_Mar 15'!$B$49</f>
        <v>41.206720430107531</v>
      </c>
      <c r="H83" s="144"/>
      <c r="I83" s="243">
        <f>SUM(E83:G83)/2</f>
        <v>40.425832787029343</v>
      </c>
      <c r="J83" s="246"/>
      <c r="K83" s="12"/>
      <c r="L83" s="68">
        <v>2015</v>
      </c>
      <c r="M83" s="75"/>
      <c r="N83" s="85" t="s">
        <v>29</v>
      </c>
      <c r="Q83" s="55"/>
      <c r="R83" s="55"/>
      <c r="S83" s="55"/>
      <c r="T83" s="55"/>
      <c r="U83" s="55"/>
      <c r="V83" s="55"/>
    </row>
    <row r="84" spans="2:22" s="87" customFormat="1" ht="13.2" hidden="1">
      <c r="B84" s="110">
        <v>2015</v>
      </c>
      <c r="C84" s="111"/>
      <c r="D84" s="12" t="s">
        <v>35</v>
      </c>
      <c r="E84" s="147">
        <f>'[7]Summary_Apr 15 '!$C$49</f>
        <v>38.745640785049673</v>
      </c>
      <c r="F84" s="144"/>
      <c r="G84" s="144">
        <f>'[7]Summary_Apr 15 '!$B$49</f>
        <v>41.70264550264546</v>
      </c>
      <c r="H84" s="144"/>
      <c r="I84" s="243">
        <f>'[7]Summary_Apr 15 '!$D$49</f>
        <v>40.22414314384757</v>
      </c>
      <c r="J84" s="246"/>
      <c r="K84" s="12"/>
      <c r="L84" s="68">
        <v>2015</v>
      </c>
      <c r="M84" s="75"/>
      <c r="N84" s="85" t="s">
        <v>76</v>
      </c>
      <c r="Q84" s="55"/>
      <c r="R84" s="55"/>
      <c r="S84" s="55"/>
      <c r="T84" s="55"/>
      <c r="U84" s="55"/>
      <c r="V84" s="55"/>
    </row>
    <row r="85" spans="2:22" s="87" customFormat="1" ht="13.2" hidden="1">
      <c r="B85" s="110">
        <v>2015</v>
      </c>
      <c r="C85" s="111"/>
      <c r="D85" s="12" t="s">
        <v>4</v>
      </c>
      <c r="E85" s="147">
        <f>'[7]Summary_May 15  '!$C$49</f>
        <v>38.806962218159583</v>
      </c>
      <c r="F85" s="144"/>
      <c r="G85" s="144">
        <f>'[7]Summary_May 15  '!$B$49</f>
        <v>48.512355415352268</v>
      </c>
      <c r="H85" s="144"/>
      <c r="I85" s="243">
        <f>'[7]Summary_May 15  '!$D$49</f>
        <v>43.659658816755922</v>
      </c>
      <c r="J85" s="246"/>
      <c r="K85" s="12"/>
      <c r="L85" s="68">
        <v>2015</v>
      </c>
      <c r="M85" s="75"/>
      <c r="N85" s="85" t="s">
        <v>77</v>
      </c>
      <c r="Q85" s="55"/>
      <c r="R85" s="55"/>
      <c r="S85" s="55"/>
      <c r="T85" s="55"/>
      <c r="U85" s="55"/>
      <c r="V85" s="55"/>
    </row>
    <row r="86" spans="2:22" s="87" customFormat="1" ht="13.2" hidden="1">
      <c r="B86" s="110">
        <v>2015</v>
      </c>
      <c r="C86" s="111"/>
      <c r="D86" s="12" t="s">
        <v>30</v>
      </c>
      <c r="E86" s="147">
        <f>'[7]Summary_June 15 '!$C$49</f>
        <v>38.027079843662747</v>
      </c>
      <c r="F86" s="144"/>
      <c r="G86" s="144">
        <f>'[7]Summary_June 15 '!$B$49</f>
        <v>27.557133838383837</v>
      </c>
      <c r="H86" s="144"/>
      <c r="I86" s="243">
        <f>'[7]Summary_June 15 '!$D$49</f>
        <v>32.792106841023291</v>
      </c>
      <c r="J86" s="246"/>
      <c r="K86" s="12"/>
      <c r="L86" s="68">
        <v>2015</v>
      </c>
      <c r="M86" s="75"/>
      <c r="N86" s="85" t="s">
        <v>78</v>
      </c>
      <c r="Q86" s="55"/>
      <c r="R86" s="55"/>
      <c r="S86" s="55"/>
      <c r="T86" s="55"/>
      <c r="U86" s="55"/>
      <c r="V86" s="55"/>
    </row>
    <row r="87" spans="2:22" s="87" customFormat="1" ht="13.2" hidden="1">
      <c r="B87" s="110">
        <v>2015</v>
      </c>
      <c r="C87" s="111"/>
      <c r="D87" s="12" t="s">
        <v>36</v>
      </c>
      <c r="E87" s="147">
        <f>'[7]Summary_July 15'!$C$49</f>
        <v>38.149110631297752</v>
      </c>
      <c r="F87" s="144"/>
      <c r="G87" s="144">
        <f>'[7]Summary_July 15'!$B$49</f>
        <v>43.761513157894733</v>
      </c>
      <c r="H87" s="144"/>
      <c r="I87" s="243">
        <f>'[7]Summary_July 15'!$D$49</f>
        <v>40.955311894596242</v>
      </c>
      <c r="J87" s="246"/>
      <c r="K87" s="12"/>
      <c r="L87" s="68">
        <v>2015</v>
      </c>
      <c r="M87" s="75"/>
      <c r="N87" s="85" t="s">
        <v>79</v>
      </c>
      <c r="Q87" s="55"/>
      <c r="R87" s="55"/>
      <c r="S87" s="55"/>
      <c r="T87" s="55"/>
      <c r="U87" s="55"/>
      <c r="V87" s="55"/>
    </row>
    <row r="88" spans="2:22" s="87" customFormat="1" ht="13.2" hidden="1">
      <c r="B88" s="110">
        <v>2015</v>
      </c>
      <c r="C88" s="111"/>
      <c r="D88" s="12" t="s">
        <v>37</v>
      </c>
      <c r="E88" s="147">
        <f>'[7]Summary_August 15'!$C$49</f>
        <v>40.675143355771709</v>
      </c>
      <c r="F88" s="144"/>
      <c r="G88" s="144">
        <f>'[7]Summary_August 15'!$B$49</f>
        <v>45.493432971014478</v>
      </c>
      <c r="H88" s="144"/>
      <c r="I88" s="243">
        <f>'[7]Summary_August 15'!$D$49</f>
        <v>43.084288163393097</v>
      </c>
      <c r="J88" s="246"/>
      <c r="K88" s="12"/>
      <c r="L88" s="68">
        <v>2015</v>
      </c>
      <c r="M88" s="75"/>
      <c r="N88" s="85" t="s">
        <v>80</v>
      </c>
      <c r="Q88" s="55"/>
      <c r="R88" s="55"/>
      <c r="S88" s="55"/>
      <c r="T88" s="55"/>
      <c r="U88" s="55"/>
      <c r="V88" s="55"/>
    </row>
    <row r="89" spans="2:22" s="87" customFormat="1" ht="13.2" hidden="1">
      <c r="B89" s="110">
        <v>2015</v>
      </c>
      <c r="C89" s="111"/>
      <c r="D89" s="12" t="s">
        <v>31</v>
      </c>
      <c r="E89" s="147">
        <f>'[7]Summary September 2015'!$C$49</f>
        <v>37.598399999999998</v>
      </c>
      <c r="F89" s="144"/>
      <c r="G89" s="144">
        <f>'[7]Summary September 2015'!$B$49</f>
        <v>40.069299999999998</v>
      </c>
      <c r="H89" s="144"/>
      <c r="I89" s="243">
        <f>'[7]Summary September 2015'!$D$49</f>
        <v>38.833849999999998</v>
      </c>
      <c r="J89" s="246"/>
      <c r="K89" s="12"/>
      <c r="L89" s="68">
        <v>2015</v>
      </c>
      <c r="M89" s="75"/>
      <c r="N89" s="85" t="s">
        <v>31</v>
      </c>
      <c r="Q89" s="55"/>
      <c r="R89" s="55"/>
      <c r="S89" s="55"/>
      <c r="T89" s="55"/>
      <c r="U89" s="55"/>
      <c r="V89" s="55"/>
    </row>
    <row r="90" spans="2:22" s="87" customFormat="1" ht="13.2" hidden="1">
      <c r="B90" s="110">
        <v>2015</v>
      </c>
      <c r="C90" s="111"/>
      <c r="D90" s="12" t="s">
        <v>38</v>
      </c>
      <c r="E90" s="147">
        <f>'[8]Summary Oct 2015 '!$C$50</f>
        <v>37.165947744638864</v>
      </c>
      <c r="F90" s="144"/>
      <c r="G90" s="144">
        <f>'[8]Summary Oct 2015 '!$B$50</f>
        <v>42.432615629984006</v>
      </c>
      <c r="H90" s="144"/>
      <c r="I90" s="243">
        <f>'[8]Summary Oct 2015 '!$D$50</f>
        <v>39.799281687311435</v>
      </c>
      <c r="J90" s="246"/>
      <c r="K90" s="12"/>
      <c r="L90" s="68">
        <v>2015</v>
      </c>
      <c r="M90" s="75"/>
      <c r="N90" s="85" t="s">
        <v>38</v>
      </c>
      <c r="Q90" s="55"/>
      <c r="R90" s="55"/>
      <c r="S90" s="55"/>
      <c r="T90" s="55"/>
      <c r="U90" s="55"/>
      <c r="V90" s="55"/>
    </row>
    <row r="91" spans="2:22" s="87" customFormat="1" ht="13.2" hidden="1">
      <c r="B91" s="110">
        <v>2015</v>
      </c>
      <c r="C91" s="111"/>
      <c r="D91" s="12" t="s">
        <v>39</v>
      </c>
      <c r="E91" s="147">
        <f>'[8]Summary Nov 2015'!$C$50</f>
        <v>39.852808691043876</v>
      </c>
      <c r="F91" s="144"/>
      <c r="G91" s="144">
        <f>'[8]Summary Nov 2015'!$B$50</f>
        <v>41.612359550561827</v>
      </c>
      <c r="H91" s="144"/>
      <c r="I91" s="243">
        <f>'[8]Summary Nov 2015'!$D$50</f>
        <v>40.732584120802855</v>
      </c>
      <c r="J91" s="246"/>
      <c r="K91" s="12"/>
      <c r="L91" s="68">
        <v>2015</v>
      </c>
      <c r="M91" s="75"/>
      <c r="N91" s="85" t="s">
        <v>39</v>
      </c>
      <c r="Q91" s="55"/>
      <c r="R91" s="55"/>
      <c r="S91" s="55"/>
      <c r="T91" s="55"/>
      <c r="U91" s="55"/>
      <c r="V91" s="55"/>
    </row>
    <row r="92" spans="2:22" s="87" customFormat="1" ht="13.2" hidden="1">
      <c r="B92" s="110">
        <v>2015</v>
      </c>
      <c r="C92" s="111"/>
      <c r="D92" s="12" t="s">
        <v>32</v>
      </c>
      <c r="E92" s="147">
        <v>39.9</v>
      </c>
      <c r="F92" s="144"/>
      <c r="G92" s="144">
        <v>36.200000000000003</v>
      </c>
      <c r="H92" s="144"/>
      <c r="I92" s="243">
        <v>38</v>
      </c>
      <c r="J92" s="246"/>
      <c r="K92" s="12"/>
      <c r="L92" s="68">
        <v>2015</v>
      </c>
      <c r="M92" s="75"/>
      <c r="N92" s="85" t="s">
        <v>32</v>
      </c>
      <c r="Q92" s="55"/>
      <c r="R92" s="55"/>
      <c r="S92" s="55"/>
      <c r="T92" s="55"/>
      <c r="U92" s="55"/>
      <c r="V92" s="55"/>
    </row>
    <row r="93" spans="2:22" s="87" customFormat="1" ht="13.5" customHeight="1">
      <c r="B93" s="110">
        <v>2016</v>
      </c>
      <c r="C93" s="111"/>
      <c r="D93" s="12" t="s">
        <v>33</v>
      </c>
      <c r="E93" s="147">
        <f>'[9]Summary Jan 2016'!$C$50</f>
        <v>34.112262788779105</v>
      </c>
      <c r="F93" s="144"/>
      <c r="G93" s="144">
        <f>'[9]Summary Jan 2016'!$B$50</f>
        <v>38.89551926298158</v>
      </c>
      <c r="H93" s="144"/>
      <c r="I93" s="243">
        <f>'[9]Summary Jan 2016'!$D$50</f>
        <v>36.503891025880343</v>
      </c>
      <c r="J93" s="246"/>
      <c r="K93" s="12"/>
      <c r="L93" s="68">
        <v>2016</v>
      </c>
      <c r="M93" s="75"/>
      <c r="N93" s="85" t="s">
        <v>33</v>
      </c>
      <c r="Q93" s="55"/>
      <c r="R93" s="55"/>
      <c r="S93" s="55"/>
      <c r="T93" s="55"/>
      <c r="U93" s="55"/>
      <c r="V93" s="55"/>
    </row>
    <row r="94" spans="2:22" s="87" customFormat="1" ht="13.95" hidden="1" customHeight="1">
      <c r="B94" s="110">
        <v>2016</v>
      </c>
      <c r="C94" s="111"/>
      <c r="D94" s="12" t="s">
        <v>34</v>
      </c>
      <c r="E94" s="147">
        <f>'[9]Summary Feb 2016'!$C$50</f>
        <v>40.53330844532934</v>
      </c>
      <c r="F94" s="144"/>
      <c r="G94" s="144">
        <f>'[9]Summary Feb 2016'!$B$50</f>
        <v>42.166341145833286</v>
      </c>
      <c r="H94" s="144"/>
      <c r="I94" s="243">
        <f>'[9]Summary Feb 2016'!$D$50</f>
        <v>41.349824795581313</v>
      </c>
      <c r="J94" s="246"/>
      <c r="K94" s="12"/>
      <c r="L94" s="68">
        <v>2016</v>
      </c>
      <c r="M94" s="75"/>
      <c r="N94" s="85" t="s">
        <v>75</v>
      </c>
      <c r="Q94" s="55"/>
      <c r="R94" s="55"/>
      <c r="S94" s="55"/>
      <c r="T94" s="55"/>
      <c r="U94" s="55"/>
      <c r="V94" s="55"/>
    </row>
    <row r="95" spans="2:22" s="87" customFormat="1" ht="13.5" hidden="1" customHeight="1">
      <c r="B95" s="110">
        <v>2016</v>
      </c>
      <c r="C95" s="111"/>
      <c r="D95" s="12" t="s">
        <v>29</v>
      </c>
      <c r="E95" s="147">
        <f>'[9]Summary Mar 2016'!$C$50</f>
        <v>38.440735520246072</v>
      </c>
      <c r="F95" s="144"/>
      <c r="G95" s="144">
        <f>'[9]Summary Mar 2016'!$B$50</f>
        <v>39.609025032938106</v>
      </c>
      <c r="H95" s="144"/>
      <c r="I95" s="243">
        <f t="shared" ref="I95:I107" si="5">SUM(E95:G95)/2</f>
        <v>39.024880276592086</v>
      </c>
      <c r="J95" s="246"/>
      <c r="K95" s="94"/>
      <c r="L95" s="68">
        <v>2016</v>
      </c>
      <c r="M95" s="75"/>
      <c r="N95" s="85" t="s">
        <v>29</v>
      </c>
      <c r="Q95" s="55"/>
      <c r="R95" s="55"/>
      <c r="S95" s="55"/>
      <c r="T95" s="55"/>
      <c r="U95" s="55"/>
      <c r="V95" s="55"/>
    </row>
    <row r="96" spans="2:22" s="87" customFormat="1" ht="13.5" hidden="1" customHeight="1">
      <c r="B96" s="110">
        <v>2016</v>
      </c>
      <c r="C96" s="111"/>
      <c r="D96" s="12" t="s">
        <v>35</v>
      </c>
      <c r="E96" s="147">
        <f>'[9]Summary April 2016'!$C$50</f>
        <v>39.644348452123815</v>
      </c>
      <c r="F96" s="144"/>
      <c r="G96" s="144">
        <f>'[9]Summary April 2016'!$B$50</f>
        <v>39.644348452123815</v>
      </c>
      <c r="H96" s="144"/>
      <c r="I96" s="243">
        <f t="shared" si="5"/>
        <v>39.644348452123815</v>
      </c>
      <c r="J96" s="246"/>
      <c r="K96" s="513"/>
      <c r="L96" s="68">
        <v>2016</v>
      </c>
      <c r="M96" s="75"/>
      <c r="N96" s="85" t="s">
        <v>76</v>
      </c>
      <c r="Q96" s="55"/>
      <c r="R96" s="55"/>
      <c r="S96" s="55"/>
      <c r="T96" s="55"/>
      <c r="U96" s="55"/>
      <c r="V96" s="55"/>
    </row>
    <row r="97" spans="2:22" s="87" customFormat="1" ht="13.5" hidden="1" customHeight="1">
      <c r="B97" s="110">
        <v>2016</v>
      </c>
      <c r="C97" s="111"/>
      <c r="D97" s="12" t="s">
        <v>4</v>
      </c>
      <c r="E97" s="147">
        <f>'[9]Summary May 2016'!$C$50</f>
        <v>41.995567540759993</v>
      </c>
      <c r="F97" s="144"/>
      <c r="G97" s="144">
        <f>'[9]Summary May 2016'!$B$50</f>
        <v>45.587899543378995</v>
      </c>
      <c r="H97" s="144"/>
      <c r="I97" s="243">
        <f t="shared" si="5"/>
        <v>43.791733542069494</v>
      </c>
      <c r="J97" s="246"/>
      <c r="K97" s="12"/>
      <c r="L97" s="68">
        <v>2016</v>
      </c>
      <c r="M97" s="75"/>
      <c r="N97" s="85" t="s">
        <v>77</v>
      </c>
      <c r="Q97" s="55"/>
      <c r="R97" s="55"/>
      <c r="S97" s="55"/>
      <c r="T97" s="55"/>
      <c r="U97" s="55"/>
      <c r="V97" s="55"/>
    </row>
    <row r="98" spans="2:22" s="87" customFormat="1" ht="13.5" hidden="1" customHeight="1">
      <c r="B98" s="110">
        <v>2016</v>
      </c>
      <c r="C98" s="111"/>
      <c r="D98" s="12" t="s">
        <v>30</v>
      </c>
      <c r="E98" s="147">
        <f>'[10]Summary June 2016'!$C$50</f>
        <v>37.412428725535506</v>
      </c>
      <c r="F98" s="144"/>
      <c r="G98" s="144">
        <f>'[10]Summary June 2016'!$B$50</f>
        <v>42.106105610561052</v>
      </c>
      <c r="H98" s="144"/>
      <c r="I98" s="243">
        <f t="shared" si="5"/>
        <v>39.759267168048282</v>
      </c>
      <c r="J98" s="246"/>
      <c r="K98" s="12"/>
      <c r="L98" s="68">
        <v>2016</v>
      </c>
      <c r="M98" s="75"/>
      <c r="N98" s="85" t="s">
        <v>78</v>
      </c>
      <c r="Q98" s="55"/>
      <c r="R98" s="55"/>
      <c r="S98" s="55"/>
      <c r="T98" s="55"/>
      <c r="U98" s="55"/>
      <c r="V98" s="55"/>
    </row>
    <row r="99" spans="2:22" s="87" customFormat="1" ht="13.5" hidden="1" customHeight="1">
      <c r="B99" s="110">
        <v>2016</v>
      </c>
      <c r="C99" s="111"/>
      <c r="D99" s="12" t="s">
        <v>36</v>
      </c>
      <c r="E99" s="147">
        <f>'[10]Summary July 2016 '!$C$50</f>
        <v>35.526892946165482</v>
      </c>
      <c r="F99" s="144"/>
      <c r="G99" s="144">
        <f>'[10]Summary July 2016 '!$B$50</f>
        <v>42.401234567901227</v>
      </c>
      <c r="H99" s="144"/>
      <c r="I99" s="243">
        <f t="shared" si="5"/>
        <v>38.964063757033358</v>
      </c>
      <c r="J99" s="246"/>
      <c r="K99" s="12"/>
      <c r="L99" s="68">
        <v>2016</v>
      </c>
      <c r="M99" s="75"/>
      <c r="N99" s="85" t="s">
        <v>79</v>
      </c>
      <c r="Q99" s="55"/>
      <c r="R99" s="55"/>
      <c r="S99" s="55"/>
      <c r="T99" s="55"/>
      <c r="U99" s="55"/>
      <c r="V99" s="55"/>
    </row>
    <row r="100" spans="2:22" s="87" customFormat="1" ht="13.5" hidden="1" customHeight="1">
      <c r="B100" s="110">
        <v>2016</v>
      </c>
      <c r="C100" s="111"/>
      <c r="D100" s="12" t="s">
        <v>37</v>
      </c>
      <c r="E100" s="147">
        <f>'[10]Summary August 2016  '!$C$50</f>
        <v>40.716629464285646</v>
      </c>
      <c r="F100" s="144"/>
      <c r="G100" s="144">
        <f>'[10]Summary August 2016  '!$B$50</f>
        <v>43.456829646876216</v>
      </c>
      <c r="H100" s="144"/>
      <c r="I100" s="243">
        <f t="shared" si="5"/>
        <v>42.086729555580931</v>
      </c>
      <c r="J100" s="246"/>
      <c r="K100" s="244"/>
      <c r="L100" s="68">
        <v>2016</v>
      </c>
      <c r="M100" s="75"/>
      <c r="N100" s="85" t="str">
        <f>N88</f>
        <v>Aoû</v>
      </c>
      <c r="Q100" s="55"/>
      <c r="R100" s="55"/>
      <c r="S100" s="55"/>
      <c r="T100" s="55"/>
      <c r="U100" s="55"/>
      <c r="V100" s="55"/>
    </row>
    <row r="101" spans="2:22" s="87" customFormat="1" ht="13.5" hidden="1" customHeight="1">
      <c r="B101" s="110">
        <v>2016</v>
      </c>
      <c r="C101" s="111"/>
      <c r="D101" s="12" t="s">
        <v>31</v>
      </c>
      <c r="E101" s="147">
        <f>'[10]Summary September 2016  '!$C$50</f>
        <v>37.906857896472168</v>
      </c>
      <c r="F101" s="144"/>
      <c r="G101" s="144">
        <f>'[10]Summary September 2016  '!$B$50</f>
        <v>40.449970913321678</v>
      </c>
      <c r="H101" s="144"/>
      <c r="I101" s="243">
        <f t="shared" si="5"/>
        <v>39.178414404896927</v>
      </c>
      <c r="J101" s="246"/>
      <c r="K101" s="245"/>
      <c r="L101" s="68">
        <v>2016</v>
      </c>
      <c r="M101" s="75"/>
      <c r="N101" s="85" t="str">
        <f>N89</f>
        <v>Sep</v>
      </c>
      <c r="Q101" s="55"/>
      <c r="R101" s="55"/>
      <c r="S101" s="55"/>
      <c r="T101" s="55"/>
      <c r="U101" s="55"/>
      <c r="V101" s="55"/>
    </row>
    <row r="102" spans="2:22" s="87" customFormat="1" ht="13.5" hidden="1" customHeight="1">
      <c r="B102" s="110">
        <v>2016</v>
      </c>
      <c r="C102" s="111"/>
      <c r="D102" s="12" t="s">
        <v>38</v>
      </c>
      <c r="E102" s="147">
        <f>'[10]Summary October 2016'!$C$50</f>
        <v>39.0450178975819</v>
      </c>
      <c r="F102" s="144"/>
      <c r="G102" s="144">
        <f>'[10]Summary October 2016'!$B$50</f>
        <v>43.507747933884303</v>
      </c>
      <c r="H102" s="144"/>
      <c r="I102" s="243">
        <f t="shared" si="5"/>
        <v>41.276382915733102</v>
      </c>
      <c r="J102" s="246"/>
      <c r="K102" s="244"/>
      <c r="L102" s="68">
        <v>2016</v>
      </c>
      <c r="M102" s="75"/>
      <c r="N102" s="85" t="s">
        <v>38</v>
      </c>
      <c r="Q102" s="55"/>
      <c r="R102" s="55"/>
      <c r="S102" s="55"/>
      <c r="T102" s="55"/>
      <c r="U102" s="55"/>
      <c r="V102" s="55"/>
    </row>
    <row r="103" spans="2:22" s="87" customFormat="1" ht="13.5" hidden="1" customHeight="1">
      <c r="B103" s="110">
        <v>2016</v>
      </c>
      <c r="C103" s="111"/>
      <c r="D103" s="12" t="s">
        <v>39</v>
      </c>
      <c r="E103" s="147">
        <f>'[10]Summary November 2016 '!$C$50</f>
        <v>39.82327178030291</v>
      </c>
      <c r="F103" s="144"/>
      <c r="G103" s="144">
        <f>'[10]Summary November 2016 '!$B$50</f>
        <v>42.083687190375088</v>
      </c>
      <c r="H103" s="144"/>
      <c r="I103" s="243">
        <f t="shared" si="5"/>
        <v>40.953479485339003</v>
      </c>
      <c r="J103" s="246"/>
      <c r="K103" s="245"/>
      <c r="L103" s="68">
        <v>2016</v>
      </c>
      <c r="M103" s="75"/>
      <c r="N103" s="85" t="s">
        <v>39</v>
      </c>
      <c r="Q103" s="55"/>
      <c r="R103" s="55"/>
      <c r="S103" s="55"/>
      <c r="T103" s="55"/>
      <c r="U103" s="55"/>
      <c r="V103" s="55"/>
    </row>
    <row r="104" spans="2:22" s="87" customFormat="1" ht="13.5" hidden="1" customHeight="1">
      <c r="B104" s="110">
        <v>2016</v>
      </c>
      <c r="C104" s="111"/>
      <c r="D104" s="12" t="s">
        <v>32</v>
      </c>
      <c r="E104" s="147">
        <f>'[10]Summary December 2016'!$C$50</f>
        <v>36.259327816492579</v>
      </c>
      <c r="F104" s="144"/>
      <c r="G104" s="144">
        <f>'[10]Summary December 2016'!$B$50</f>
        <v>44.296755162241858</v>
      </c>
      <c r="H104" s="144"/>
      <c r="I104" s="243">
        <f t="shared" si="5"/>
        <v>40.278041489367219</v>
      </c>
      <c r="J104" s="246"/>
      <c r="K104" s="317"/>
      <c r="L104" s="68">
        <v>2016</v>
      </c>
      <c r="M104" s="75"/>
      <c r="N104" s="85" t="s">
        <v>32</v>
      </c>
      <c r="Q104" s="55"/>
      <c r="R104" s="55"/>
      <c r="S104" s="55"/>
      <c r="T104" s="55"/>
      <c r="U104" s="55"/>
      <c r="V104" s="55"/>
    </row>
    <row r="105" spans="2:22" s="87" customFormat="1" ht="13.5" customHeight="1">
      <c r="B105" s="110">
        <v>2017</v>
      </c>
      <c r="C105" s="111"/>
      <c r="D105" s="12" t="s">
        <v>33</v>
      </c>
      <c r="E105" s="147">
        <f>'[11]Summary Jan 2017'!$C$50</f>
        <v>34.16851895409453</v>
      </c>
      <c r="F105" s="144"/>
      <c r="G105" s="144">
        <f>'[11]Summary Jan 2017'!$B$50</f>
        <v>40.281938325991206</v>
      </c>
      <c r="H105" s="144"/>
      <c r="I105" s="243">
        <f t="shared" si="5"/>
        <v>37.225228640042872</v>
      </c>
      <c r="J105" s="246"/>
      <c r="K105" s="317"/>
      <c r="L105" s="68">
        <v>2017</v>
      </c>
      <c r="M105" s="75"/>
      <c r="N105" s="85" t="s">
        <v>33</v>
      </c>
      <c r="Q105" s="55"/>
      <c r="R105" s="55"/>
      <c r="S105" s="55"/>
      <c r="T105" s="55"/>
      <c r="U105" s="55"/>
      <c r="V105" s="55"/>
    </row>
    <row r="106" spans="2:22" s="87" customFormat="1" ht="13.95" hidden="1" customHeight="1">
      <c r="B106" s="110">
        <v>2017</v>
      </c>
      <c r="C106" s="111"/>
      <c r="D106" s="12" t="s">
        <v>34</v>
      </c>
      <c r="E106" s="147">
        <f>'[11]Summary Feb 2017 '!$C$50</f>
        <v>39.125997110734211</v>
      </c>
      <c r="F106" s="144"/>
      <c r="G106" s="144">
        <f>'[11]Summary Feb 2017 '!$B$50</f>
        <v>46.150440044004384</v>
      </c>
      <c r="H106" s="144"/>
      <c r="I106" s="243">
        <f t="shared" si="5"/>
        <v>42.638218577369301</v>
      </c>
      <c r="J106" s="246"/>
      <c r="K106" s="317"/>
      <c r="L106" s="68">
        <v>2017</v>
      </c>
      <c r="M106" s="75"/>
      <c r="N106" s="85" t="s">
        <v>75</v>
      </c>
      <c r="Q106" s="55"/>
      <c r="R106" s="55"/>
      <c r="S106" s="55"/>
      <c r="T106" s="55"/>
      <c r="U106" s="55"/>
      <c r="V106" s="55"/>
    </row>
    <row r="107" spans="2:22" s="87" customFormat="1" ht="13.5" hidden="1" customHeight="1">
      <c r="B107" s="110">
        <v>2017</v>
      </c>
      <c r="C107" s="111"/>
      <c r="D107" s="12" t="s">
        <v>29</v>
      </c>
      <c r="E107" s="147">
        <f>'[11]Summary Mar 2017 '!$C$50</f>
        <v>42.016358580075135</v>
      </c>
      <c r="F107" s="144"/>
      <c r="G107" s="144">
        <f>'[11]Summary Mar 2017 '!$B$50</f>
        <v>43.245198902606298</v>
      </c>
      <c r="H107" s="144"/>
      <c r="I107" s="243">
        <f t="shared" si="5"/>
        <v>42.63077874134072</v>
      </c>
      <c r="J107" s="246"/>
      <c r="K107" s="522"/>
      <c r="L107" s="68">
        <v>2017</v>
      </c>
      <c r="M107" s="75"/>
      <c r="N107" s="85" t="s">
        <v>65</v>
      </c>
      <c r="Q107" s="55"/>
      <c r="R107" s="55"/>
      <c r="S107" s="55"/>
      <c r="T107" s="55"/>
      <c r="U107" s="55"/>
      <c r="V107" s="55"/>
    </row>
    <row r="108" spans="2:22" s="87" customFormat="1" ht="13.5" hidden="1" customHeight="1">
      <c r="B108" s="110">
        <v>2017</v>
      </c>
      <c r="C108" s="111"/>
      <c r="D108" s="12" t="s">
        <v>35</v>
      </c>
      <c r="E108" s="147">
        <f>'[11]Summary APR 2017 '!$C$50</f>
        <v>38.150508607198873</v>
      </c>
      <c r="F108" s="144"/>
      <c r="G108" s="144">
        <f>'[11]Summary APR 2017 '!$B$50</f>
        <v>43.474497991967894</v>
      </c>
      <c r="H108" s="144"/>
      <c r="I108" s="243">
        <f>SUM(E108:G108)/2</f>
        <v>40.812503299583383</v>
      </c>
      <c r="J108" s="246"/>
      <c r="K108" s="244"/>
      <c r="L108" s="68">
        <v>2017</v>
      </c>
      <c r="M108" s="75"/>
      <c r="N108" s="85" t="s">
        <v>76</v>
      </c>
      <c r="Q108" s="55"/>
      <c r="R108" s="55"/>
      <c r="S108" s="55"/>
      <c r="T108" s="55"/>
      <c r="U108" s="55"/>
      <c r="V108" s="55"/>
    </row>
    <row r="109" spans="2:22" s="87" customFormat="1" ht="13.5" hidden="1" customHeight="1">
      <c r="B109" s="110">
        <v>2017</v>
      </c>
      <c r="C109" s="111"/>
      <c r="D109" s="12" t="s">
        <v>4</v>
      </c>
      <c r="E109" s="147">
        <f>'[11]Summary MAY 2017 '!$C$50</f>
        <v>41.45470533254624</v>
      </c>
      <c r="F109" s="144"/>
      <c r="G109" s="144">
        <f>'[11]Summary MAY 2017 '!$B$50</f>
        <v>44.38668320926385</v>
      </c>
      <c r="H109" s="144"/>
      <c r="I109" s="243">
        <f>SUM(E109:G109)/2</f>
        <v>42.920694270905045</v>
      </c>
      <c r="J109" s="246"/>
      <c r="K109" s="244"/>
      <c r="L109" s="68">
        <v>2017</v>
      </c>
      <c r="M109" s="75"/>
      <c r="N109" s="85" t="s">
        <v>77</v>
      </c>
      <c r="Q109" s="55"/>
      <c r="R109" s="55"/>
      <c r="S109" s="55"/>
      <c r="T109" s="55"/>
      <c r="U109" s="55"/>
      <c r="V109" s="55"/>
    </row>
    <row r="110" spans="2:22" s="87" customFormat="1" ht="13.5" hidden="1" customHeight="1">
      <c r="B110" s="110">
        <v>2017</v>
      </c>
      <c r="C110" s="111"/>
      <c r="D110" s="12" t="s">
        <v>30</v>
      </c>
      <c r="E110" s="147">
        <f>'[11]Summary Jun 2017 '!$C$50</f>
        <v>39.213171625222124</v>
      </c>
      <c r="F110" s="144"/>
      <c r="G110" s="144">
        <f>'[11]Summary Jun 2017 '!$B$50</f>
        <v>38.195630081300791</v>
      </c>
      <c r="H110" s="144"/>
      <c r="I110" s="243">
        <f>SUM(E110:G110)/2</f>
        <v>38.704400853261461</v>
      </c>
      <c r="J110" s="246"/>
      <c r="K110" s="244"/>
      <c r="L110" s="68">
        <v>2017</v>
      </c>
      <c r="M110" s="75"/>
      <c r="N110" s="85" t="s">
        <v>78</v>
      </c>
      <c r="Q110" s="55"/>
      <c r="R110" s="55"/>
      <c r="S110" s="55"/>
      <c r="T110" s="55"/>
      <c r="U110" s="55"/>
      <c r="V110" s="55"/>
    </row>
    <row r="111" spans="2:22" s="87" customFormat="1" ht="13.5" hidden="1" customHeight="1">
      <c r="B111" s="110">
        <v>2017</v>
      </c>
      <c r="C111" s="111"/>
      <c r="D111" s="12" t="s">
        <v>36</v>
      </c>
      <c r="E111" s="147">
        <f>'[11]Summary JuL 2017  '!$C$50</f>
        <v>37.846094545236781</v>
      </c>
      <c r="F111" s="144"/>
      <c r="G111" s="144">
        <f>'[11]Summary JuL 2017  '!$B$50</f>
        <v>40.538545059717741</v>
      </c>
      <c r="H111" s="144"/>
      <c r="I111" s="243">
        <f>SUM(E111:G111)/2</f>
        <v>39.192319802477257</v>
      </c>
      <c r="J111" s="246"/>
      <c r="K111" s="244"/>
      <c r="L111" s="68">
        <v>2017</v>
      </c>
      <c r="M111" s="75"/>
      <c r="N111" s="85" t="s">
        <v>79</v>
      </c>
      <c r="Q111" s="55"/>
      <c r="R111" s="55"/>
      <c r="S111" s="55"/>
      <c r="T111" s="55"/>
      <c r="U111" s="55"/>
      <c r="V111" s="55"/>
    </row>
    <row r="112" spans="2:22" s="87" customFormat="1" ht="13.5" hidden="1" customHeight="1">
      <c r="B112" s="110">
        <v>2017</v>
      </c>
      <c r="C112" s="111"/>
      <c r="D112" s="12" t="s">
        <v>37</v>
      </c>
      <c r="E112" s="147">
        <f>'[11]Summary_Aug 2017'!$C$50</f>
        <v>41.602497874149478</v>
      </c>
      <c r="F112" s="144"/>
      <c r="G112" s="144">
        <f>'[11]Summary_Aug 2017'!$B$50</f>
        <v>44.070679681851026</v>
      </c>
      <c r="H112" s="144"/>
      <c r="I112" s="243">
        <f>'[11]Summary_Aug 2017'!$D$50</f>
        <v>42.836588778000248</v>
      </c>
      <c r="J112" s="246"/>
      <c r="K112" s="244"/>
      <c r="L112" s="68"/>
      <c r="M112" s="75"/>
      <c r="N112" s="85" t="str">
        <f>N100</f>
        <v>Aoû</v>
      </c>
      <c r="Q112" s="55"/>
      <c r="R112" s="55"/>
      <c r="S112" s="55"/>
      <c r="T112" s="55"/>
      <c r="U112" s="55"/>
      <c r="V112" s="55"/>
    </row>
    <row r="113" spans="2:22" s="87" customFormat="1" ht="13.5" hidden="1" customHeight="1">
      <c r="B113" s="110">
        <v>2017</v>
      </c>
      <c r="C113" s="111"/>
      <c r="D113" s="12" t="s">
        <v>31</v>
      </c>
      <c r="E113" s="147">
        <f>'[11]Summary_Sep 2017'!$C$50</f>
        <v>35.744403764010478</v>
      </c>
      <c r="F113" s="144"/>
      <c r="G113" s="144">
        <f>'[11]Summary_Sep 2017'!$B$50</f>
        <v>43.021084337349379</v>
      </c>
      <c r="H113" s="144"/>
      <c r="I113" s="243">
        <f>'[11]Summary_Sep 2017'!$D$50</f>
        <v>39.382744050679932</v>
      </c>
      <c r="J113" s="246"/>
      <c r="K113" s="244"/>
      <c r="L113" s="68">
        <v>2017</v>
      </c>
      <c r="M113" s="75"/>
      <c r="N113" s="85" t="s">
        <v>31</v>
      </c>
      <c r="Q113" s="55"/>
      <c r="R113" s="55"/>
      <c r="S113" s="55"/>
      <c r="T113" s="55"/>
      <c r="U113" s="55"/>
      <c r="V113" s="55"/>
    </row>
    <row r="114" spans="2:22" s="87" customFormat="1" ht="13.5" hidden="1" customHeight="1">
      <c r="B114" s="110">
        <v>2017</v>
      </c>
      <c r="C114" s="111"/>
      <c r="D114" s="12" t="s">
        <v>38</v>
      </c>
      <c r="E114" s="147">
        <f>'[11]Summary_Oct 2017'!$C$50</f>
        <v>39.97213174086135</v>
      </c>
      <c r="F114" s="144"/>
      <c r="G114" s="144">
        <f>'[11]Summary_Oct 2017'!$B$50</f>
        <v>42.708506944444466</v>
      </c>
      <c r="H114" s="144"/>
      <c r="I114" s="243">
        <f>'[11]Summary_Oct 2017'!$D$50</f>
        <v>41.340319342652904</v>
      </c>
      <c r="J114" s="246"/>
      <c r="K114" s="244"/>
      <c r="L114" s="68">
        <v>2017</v>
      </c>
      <c r="M114" s="75"/>
      <c r="N114" s="85" t="s">
        <v>38</v>
      </c>
      <c r="Q114" s="55"/>
      <c r="R114" s="55"/>
      <c r="S114" s="55"/>
      <c r="T114" s="55"/>
      <c r="U114" s="55"/>
      <c r="V114" s="55"/>
    </row>
    <row r="115" spans="2:22" s="87" customFormat="1" ht="13.5" hidden="1" customHeight="1">
      <c r="B115" s="110">
        <v>2017</v>
      </c>
      <c r="C115" s="111"/>
      <c r="D115" s="12" t="s">
        <v>39</v>
      </c>
      <c r="E115" s="147">
        <f>'[12]Summary_Nov 2017'!$C$50</f>
        <v>41.605538468360834</v>
      </c>
      <c r="F115" s="144"/>
      <c r="G115" s="144">
        <f>'[11]Summary_Nov 2017'!$B$50</f>
        <v>43.419522326064353</v>
      </c>
      <c r="H115" s="144"/>
      <c r="I115" s="243">
        <f>'[11]Summary_Nov 2017'!$D$50</f>
        <v>40.734654470102662</v>
      </c>
      <c r="J115" s="246"/>
      <c r="K115" s="244"/>
      <c r="L115" s="68">
        <v>2017</v>
      </c>
      <c r="M115" s="75"/>
      <c r="N115" s="85" t="s">
        <v>39</v>
      </c>
      <c r="Q115" s="55"/>
      <c r="R115" s="55"/>
      <c r="S115" s="55"/>
      <c r="T115" s="55"/>
      <c r="U115" s="55"/>
      <c r="V115" s="55"/>
    </row>
    <row r="116" spans="2:22" s="87" customFormat="1" ht="13.5" hidden="1" customHeight="1">
      <c r="B116" s="110">
        <v>2017</v>
      </c>
      <c r="C116" s="111"/>
      <c r="D116" s="12" t="s">
        <v>32</v>
      </c>
      <c r="E116" s="147">
        <f>'[11]Summary_Dec 2017'!$C$50</f>
        <v>36.51170816761794</v>
      </c>
      <c r="F116" s="144"/>
      <c r="G116" s="144">
        <f>'[11]Summary_Dec 2017'!$B$50</f>
        <v>38.135242085661126</v>
      </c>
      <c r="H116" s="144"/>
      <c r="I116" s="243">
        <f>'[11]Summary_Dec 2017'!$D$50</f>
        <v>37.323475126639536</v>
      </c>
      <c r="J116" s="246"/>
      <c r="K116" s="244"/>
      <c r="L116" s="68">
        <v>2017</v>
      </c>
      <c r="M116" s="75"/>
      <c r="N116" s="85" t="s">
        <v>32</v>
      </c>
      <c r="Q116" s="55"/>
      <c r="R116" s="55"/>
      <c r="S116" s="55"/>
      <c r="T116" s="55"/>
      <c r="U116" s="55"/>
      <c r="V116" s="55"/>
    </row>
    <row r="117" spans="2:22" s="87" customFormat="1" ht="13.5" customHeight="1">
      <c r="B117" s="110">
        <v>2018</v>
      </c>
      <c r="C117" s="111"/>
      <c r="D117" s="12" t="s">
        <v>33</v>
      </c>
      <c r="E117" s="147">
        <f>'[13]Summary Jan 2018'!$C$50</f>
        <v>36.405079250720455</v>
      </c>
      <c r="F117" s="144"/>
      <c r="G117" s="144">
        <f>'[13]Summary Jan 2018'!$B$50</f>
        <v>39.376207729468582</v>
      </c>
      <c r="H117" s="144"/>
      <c r="I117" s="243">
        <f>'[13]Summary Jan 2018'!$D$50</f>
        <v>37.890643490094519</v>
      </c>
      <c r="J117" s="246"/>
      <c r="K117" s="244"/>
      <c r="L117" s="68">
        <v>2018</v>
      </c>
      <c r="M117" s="75"/>
      <c r="N117" s="85" t="s">
        <v>33</v>
      </c>
      <c r="Q117" s="55"/>
      <c r="R117" s="55"/>
      <c r="S117" s="55"/>
      <c r="T117" s="55"/>
      <c r="U117" s="55"/>
      <c r="V117" s="55"/>
    </row>
    <row r="118" spans="2:22" s="87" customFormat="1" ht="13.95" hidden="1" customHeight="1">
      <c r="B118" s="110">
        <v>2018</v>
      </c>
      <c r="C118" s="111"/>
      <c r="D118" s="12" t="s">
        <v>34</v>
      </c>
      <c r="E118" s="147">
        <f>'[14]Summary Feb 2018'!$C$50</f>
        <v>40.062736081458333</v>
      </c>
      <c r="F118" s="144"/>
      <c r="G118" s="144">
        <f>'[14]Summary Feb 2018'!$B$50</f>
        <v>46.056967984934062</v>
      </c>
      <c r="H118" s="144"/>
      <c r="I118" s="243">
        <f>'[14]Summary Feb 2018'!$D$50</f>
        <v>43.059852033196194</v>
      </c>
      <c r="J118" s="246"/>
      <c r="K118" s="244"/>
      <c r="L118" s="68">
        <v>2018</v>
      </c>
      <c r="M118" s="75"/>
      <c r="N118" s="85" t="s">
        <v>75</v>
      </c>
      <c r="Q118" s="55"/>
      <c r="R118" s="55"/>
      <c r="S118" s="55"/>
      <c r="T118" s="55"/>
      <c r="U118" s="55"/>
      <c r="V118" s="55"/>
    </row>
    <row r="119" spans="2:22" s="87" customFormat="1" ht="13.5" hidden="1" customHeight="1">
      <c r="B119" s="110">
        <v>2018</v>
      </c>
      <c r="C119" s="111"/>
      <c r="D119" s="12" t="s">
        <v>29</v>
      </c>
      <c r="E119" s="147">
        <f>'[14]Summary Mar 2018 '!$C$50</f>
        <v>40.976993492618462</v>
      </c>
      <c r="F119" s="144"/>
      <c r="G119" s="144">
        <f>'[14]Summary Mar 2018 '!$B$50</f>
        <v>43.941798941798943</v>
      </c>
      <c r="H119" s="144"/>
      <c r="I119" s="243">
        <f>'[14]Summary Mar 2018 '!$D$50</f>
        <v>42.459396217208706</v>
      </c>
      <c r="J119" s="246"/>
      <c r="K119" s="244"/>
      <c r="L119" s="68">
        <v>2018</v>
      </c>
      <c r="M119" s="75"/>
      <c r="N119" s="85" t="s">
        <v>29</v>
      </c>
      <c r="Q119" s="55"/>
      <c r="R119" s="55"/>
      <c r="S119" s="55"/>
      <c r="T119" s="55"/>
      <c r="U119" s="55"/>
      <c r="V119" s="55"/>
    </row>
    <row r="120" spans="2:22" s="87" customFormat="1" ht="13.5" hidden="1" customHeight="1">
      <c r="B120" s="110">
        <v>2018</v>
      </c>
      <c r="C120" s="111"/>
      <c r="D120" s="12" t="s">
        <v>35</v>
      </c>
      <c r="E120" s="147">
        <f>'[14]Summary Apr 2018'!$C$50</f>
        <v>36.915194024104807</v>
      </c>
      <c r="F120" s="144"/>
      <c r="G120" s="144">
        <f>'[14]Summary Apr 2018'!$B$50</f>
        <v>40.531897926634777</v>
      </c>
      <c r="H120" s="144"/>
      <c r="I120" s="243">
        <f>AVERAGE(E120:G120)</f>
        <v>38.723545975369788</v>
      </c>
      <c r="J120" s="246"/>
      <c r="K120" s="244"/>
      <c r="L120" s="68">
        <v>2018</v>
      </c>
      <c r="M120" s="75"/>
      <c r="N120" s="85" t="s">
        <v>76</v>
      </c>
      <c r="Q120" s="55"/>
      <c r="R120" s="55"/>
      <c r="S120" s="55"/>
      <c r="T120" s="55"/>
      <c r="U120" s="55"/>
      <c r="V120" s="55"/>
    </row>
    <row r="121" spans="2:22" s="87" customFormat="1" ht="13.5" hidden="1" customHeight="1">
      <c r="B121" s="110">
        <v>2018</v>
      </c>
      <c r="C121" s="111"/>
      <c r="D121" s="12" t="s">
        <v>4</v>
      </c>
      <c r="E121" s="147">
        <f>'[14]Summary May 2018'!$C$50</f>
        <v>39.328815679733033</v>
      </c>
      <c r="F121" s="144"/>
      <c r="G121" s="144">
        <f>'[14]Summary May 2018'!$B$50</f>
        <v>48.144528437725015</v>
      </c>
      <c r="H121" s="144"/>
      <c r="I121" s="243">
        <f>'[14]Summary May 2018'!$D$50</f>
        <v>43.736672058729027</v>
      </c>
      <c r="J121" s="246"/>
      <c r="K121" s="244"/>
      <c r="L121" s="68">
        <v>2018</v>
      </c>
      <c r="M121" s="75"/>
      <c r="N121" s="85" t="s">
        <v>77</v>
      </c>
      <c r="Q121" s="55"/>
      <c r="R121" s="55"/>
      <c r="S121" s="55"/>
      <c r="T121" s="55"/>
      <c r="U121" s="55"/>
      <c r="V121" s="55"/>
    </row>
    <row r="122" spans="2:22" s="87" customFormat="1" ht="12.75" hidden="1" customHeight="1">
      <c r="B122" s="110">
        <v>2018</v>
      </c>
      <c r="C122" s="111"/>
      <c r="D122" s="12" t="s">
        <v>30</v>
      </c>
      <c r="E122" s="147">
        <f>'[14]Summary June 2018'!$C$50</f>
        <v>39.79975771862614</v>
      </c>
      <c r="F122" s="144"/>
      <c r="G122" s="144">
        <f>'[14]Summary June 2018'!$B$50</f>
        <v>43.11849957374254</v>
      </c>
      <c r="H122" s="144"/>
      <c r="I122" s="243">
        <f>'[14]Summary June 2018'!$D$50</f>
        <v>41.45912864618434</v>
      </c>
      <c r="J122" s="246"/>
      <c r="K122" s="244"/>
      <c r="L122" s="68">
        <v>2018</v>
      </c>
      <c r="M122" s="75"/>
      <c r="N122" s="85" t="s">
        <v>78</v>
      </c>
      <c r="P122" s="87" t="s">
        <v>41</v>
      </c>
      <c r="Q122" s="55"/>
      <c r="R122" s="55"/>
      <c r="S122" s="55"/>
      <c r="T122" s="55"/>
      <c r="U122" s="55"/>
      <c r="V122" s="55"/>
    </row>
    <row r="123" spans="2:22" s="87" customFormat="1" ht="13.5" hidden="1" customHeight="1">
      <c r="B123" s="110">
        <v>2018</v>
      </c>
      <c r="C123" s="111"/>
      <c r="D123" s="12" t="s">
        <v>36</v>
      </c>
      <c r="E123" s="147">
        <f>'[14]Summary July 2018'!$C$50</f>
        <v>38.371433596498221</v>
      </c>
      <c r="F123" s="144"/>
      <c r="G123" s="144">
        <f>'[14]Summary July 2018'!$B$50</f>
        <v>40.596547314577961</v>
      </c>
      <c r="H123" s="144"/>
      <c r="I123" s="243">
        <f>'[14]Summary July 2018'!$D$50</f>
        <v>39.483990455538091</v>
      </c>
      <c r="J123" s="246"/>
      <c r="K123" s="244"/>
      <c r="L123" s="68">
        <v>2018</v>
      </c>
      <c r="M123" s="75"/>
      <c r="N123" s="85" t="s">
        <v>79</v>
      </c>
      <c r="Q123" s="55"/>
      <c r="R123" s="55"/>
      <c r="S123" s="55"/>
      <c r="T123" s="55"/>
      <c r="U123" s="55"/>
      <c r="V123" s="55"/>
    </row>
    <row r="124" spans="2:22" s="87" customFormat="1" ht="12" hidden="1" customHeight="1">
      <c r="B124" s="110">
        <v>2018</v>
      </c>
      <c r="C124" s="111"/>
      <c r="D124" s="12" t="s">
        <v>237</v>
      </c>
      <c r="E124" s="147">
        <f>'[14]Summary Aug 2018 '!$C$52</f>
        <v>39.528989310009457</v>
      </c>
      <c r="F124" s="144"/>
      <c r="G124" s="144">
        <f>'[14]Summary Aug 2018 '!$B$52</f>
        <v>46.102015113350134</v>
      </c>
      <c r="H124" s="144"/>
      <c r="I124" s="243">
        <f>'[14]Summary Aug 2018 '!$D$52</f>
        <v>42.815502211679799</v>
      </c>
      <c r="J124" s="246"/>
      <c r="K124" s="244"/>
      <c r="L124" s="68"/>
      <c r="M124" s="75"/>
      <c r="N124" s="85" t="str">
        <f>N112</f>
        <v>Aoû</v>
      </c>
      <c r="Q124" s="55"/>
      <c r="R124" s="55"/>
      <c r="S124" s="55"/>
      <c r="T124" s="55"/>
      <c r="U124" s="55"/>
      <c r="V124" s="55"/>
    </row>
    <row r="125" spans="2:22" s="87" customFormat="1" ht="12" hidden="1" customHeight="1">
      <c r="B125" s="110">
        <v>2018</v>
      </c>
      <c r="C125" s="111"/>
      <c r="D125" s="12" t="s">
        <v>31</v>
      </c>
      <c r="E125" s="147">
        <f>'[14]Summary Sep 2018'!$C$51</f>
        <v>39.188181270701556</v>
      </c>
      <c r="F125" s="144"/>
      <c r="G125" s="144">
        <f>'[14]Summary Sep 2018'!$B$51</f>
        <v>42.662687265917597</v>
      </c>
      <c r="H125" s="144"/>
      <c r="I125" s="243">
        <f>'[14]Summary Sep 2018'!$D$51</f>
        <v>40.925434268309573</v>
      </c>
      <c r="J125" s="246"/>
      <c r="K125" s="244"/>
      <c r="L125" s="68"/>
      <c r="M125" s="75"/>
      <c r="N125" s="85" t="s">
        <v>31</v>
      </c>
      <c r="Q125" s="55"/>
      <c r="R125" s="55"/>
      <c r="S125" s="55"/>
      <c r="T125" s="55"/>
      <c r="U125" s="55"/>
      <c r="V125" s="55"/>
    </row>
    <row r="126" spans="2:22" s="87" customFormat="1" ht="12" hidden="1" customHeight="1">
      <c r="B126" s="110">
        <v>2018</v>
      </c>
      <c r="C126" s="111"/>
      <c r="D126" s="12" t="s">
        <v>38</v>
      </c>
      <c r="E126" s="147">
        <f>'[14]Summary Oct 2018'!$C$52</f>
        <v>39.577644791561063</v>
      </c>
      <c r="F126" s="144"/>
      <c r="G126" s="144">
        <f>'[14]Summary Oct 2018'!$B$52</f>
        <v>44.626998769987715</v>
      </c>
      <c r="H126" s="144"/>
      <c r="I126" s="243">
        <f>'[14]Summary Oct 2018'!$D$52</f>
        <v>42.102321780774389</v>
      </c>
      <c r="J126" s="246"/>
      <c r="K126" s="244"/>
      <c r="L126" s="68"/>
      <c r="M126" s="75"/>
      <c r="N126" s="85" t="s">
        <v>38</v>
      </c>
      <c r="Q126" s="55"/>
      <c r="R126" s="55"/>
      <c r="S126" s="55"/>
      <c r="T126" s="55"/>
      <c r="U126" s="55"/>
      <c r="V126" s="55"/>
    </row>
    <row r="127" spans="2:22" s="87" customFormat="1" ht="12" hidden="1" customHeight="1">
      <c r="B127" s="110">
        <v>2018</v>
      </c>
      <c r="C127" s="111"/>
      <c r="D127" s="12" t="s">
        <v>39</v>
      </c>
      <c r="E127" s="147">
        <f>'[14]Nov 2018'!$C$48</f>
        <v>40.480565068493206</v>
      </c>
      <c r="F127" s="144"/>
      <c r="G127" s="144">
        <f>'[14]Nov 2018'!$F$48</f>
        <v>44.716255868544557</v>
      </c>
      <c r="H127" s="144"/>
      <c r="I127" s="243">
        <f>'[14]Nov 2018'!$I$48</f>
        <v>42.598410468518878</v>
      </c>
      <c r="J127" s="246"/>
      <c r="K127" s="244"/>
      <c r="L127" s="68">
        <v>2018</v>
      </c>
      <c r="M127" s="75"/>
      <c r="N127" s="85" t="s">
        <v>39</v>
      </c>
      <c r="Q127" s="55"/>
      <c r="R127" s="55"/>
      <c r="S127" s="55"/>
      <c r="T127" s="55"/>
      <c r="U127" s="55"/>
      <c r="V127" s="55"/>
    </row>
    <row r="128" spans="2:22" s="87" customFormat="1" ht="12" hidden="1" customHeight="1">
      <c r="B128" s="110">
        <v>2018</v>
      </c>
      <c r="C128" s="111"/>
      <c r="D128" s="12" t="s">
        <v>32</v>
      </c>
      <c r="E128" s="147">
        <f>'[14]Dec 2018'!$C$48</f>
        <v>36.003407268840192</v>
      </c>
      <c r="F128" s="144"/>
      <c r="G128" s="144">
        <f>'[14]Dec 2018'!$F$48</f>
        <v>38.772941970310413</v>
      </c>
      <c r="H128" s="144"/>
      <c r="I128" s="243">
        <f>'[14]Dec 2018'!$I$48</f>
        <v>37.388174619575302</v>
      </c>
      <c r="J128" s="246"/>
      <c r="K128" s="244"/>
      <c r="L128" s="68"/>
      <c r="M128" s="75"/>
      <c r="N128" s="85" t="s">
        <v>32</v>
      </c>
      <c r="Q128" s="55"/>
      <c r="R128" s="55"/>
      <c r="S128" s="55"/>
      <c r="T128" s="55"/>
      <c r="U128" s="55"/>
      <c r="V128" s="55"/>
    </row>
    <row r="129" spans="2:22" s="87" customFormat="1" ht="12" customHeight="1">
      <c r="B129" s="110">
        <v>2019</v>
      </c>
      <c r="C129" s="111"/>
      <c r="D129" s="12" t="s">
        <v>261</v>
      </c>
      <c r="E129" s="147">
        <f>'[15]Jan 2019'!$C$48</f>
        <v>35.084787605346044</v>
      </c>
      <c r="F129" s="144"/>
      <c r="G129" s="144">
        <f>'[15]Jan 2019'!$F$48</f>
        <v>37.694901315789494</v>
      </c>
      <c r="H129" s="144"/>
      <c r="I129" s="243">
        <f>'[15]Jan 2019'!$I$48</f>
        <v>36.389844460567772</v>
      </c>
      <c r="J129" s="246"/>
      <c r="K129" s="244"/>
      <c r="L129" s="68">
        <v>2019</v>
      </c>
      <c r="M129" s="75"/>
      <c r="N129" s="85" t="s">
        <v>261</v>
      </c>
      <c r="Q129" s="55"/>
      <c r="R129" s="55"/>
      <c r="S129" s="55"/>
      <c r="T129" s="55"/>
      <c r="U129" s="55"/>
      <c r="V129" s="55"/>
    </row>
    <row r="130" spans="2:22" s="87" customFormat="1" ht="12" hidden="1" customHeight="1">
      <c r="B130" s="110">
        <v>2019</v>
      </c>
      <c r="C130" s="111"/>
      <c r="D130" s="12" t="s">
        <v>262</v>
      </c>
      <c r="E130" s="147">
        <f>'[16]Tab 6'!$A$4</f>
        <v>39.874739551415615</v>
      </c>
      <c r="F130" s="144"/>
      <c r="G130" s="144">
        <f>'[16]Tab 6'!$A$7</f>
        <v>44.335877862595417</v>
      </c>
      <c r="H130" s="144"/>
      <c r="I130" s="243">
        <f>'[16]Tab 6'!$A$9</f>
        <v>42.10530870700552</v>
      </c>
      <c r="J130" s="246"/>
      <c r="K130" s="244"/>
      <c r="L130" s="68">
        <v>2019</v>
      </c>
      <c r="M130" s="75"/>
      <c r="N130" s="85" t="s">
        <v>264</v>
      </c>
      <c r="Q130" s="55"/>
      <c r="R130" s="55"/>
      <c r="S130" s="55"/>
      <c r="T130" s="55"/>
      <c r="U130" s="55"/>
      <c r="V130" s="55"/>
    </row>
    <row r="131" spans="2:22" s="87" customFormat="1" ht="12" hidden="1" customHeight="1">
      <c r="B131" s="110">
        <v>2019</v>
      </c>
      <c r="C131" s="111"/>
      <c r="D131" s="12" t="s">
        <v>263</v>
      </c>
      <c r="E131" s="147">
        <f>'[27]Tab 6'!$A$3</f>
        <v>42.100594168854499</v>
      </c>
      <c r="F131" s="144"/>
      <c r="G131" s="144">
        <f>'[27]Tab 6'!$A$7</f>
        <v>44.375</v>
      </c>
      <c r="H131" s="144"/>
      <c r="I131" s="243">
        <f>AVERAGE(E131:G131)</f>
        <v>43.23779708442725</v>
      </c>
      <c r="J131" s="246"/>
      <c r="K131" s="244"/>
      <c r="L131" s="68">
        <v>2019</v>
      </c>
      <c r="M131" s="75"/>
      <c r="N131" s="85" t="s">
        <v>263</v>
      </c>
      <c r="Q131" s="55"/>
      <c r="R131" s="55"/>
      <c r="S131" s="55"/>
      <c r="T131" s="55"/>
      <c r="U131" s="55"/>
      <c r="V131" s="55"/>
    </row>
    <row r="132" spans="2:22" s="87" customFormat="1" ht="12" hidden="1" customHeight="1">
      <c r="B132" s="110">
        <v>2019</v>
      </c>
      <c r="C132" s="111"/>
      <c r="D132" s="12" t="s">
        <v>266</v>
      </c>
      <c r="E132" s="147">
        <f>'[18]Tab 6'!$B$4</f>
        <v>36.907277583041228</v>
      </c>
      <c r="F132" s="144"/>
      <c r="G132" s="144">
        <f>'[18]Tab 6'!$C$4</f>
        <v>37.148936170212764</v>
      </c>
      <c r="H132" s="144"/>
      <c r="I132" s="243">
        <f>'[18]Tab 6'!$D$4</f>
        <v>37.028106876626993</v>
      </c>
      <c r="J132" s="246"/>
      <c r="K132" s="244"/>
      <c r="L132" s="68">
        <v>2019</v>
      </c>
      <c r="M132" s="75"/>
      <c r="N132" s="85" t="s">
        <v>267</v>
      </c>
      <c r="Q132" s="55"/>
      <c r="R132" s="55"/>
      <c r="S132" s="55"/>
      <c r="T132" s="55"/>
      <c r="U132" s="55"/>
      <c r="V132" s="55"/>
    </row>
    <row r="133" spans="2:22" s="87" customFormat="1" ht="12" hidden="1" customHeight="1">
      <c r="B133" s="110">
        <v>2019</v>
      </c>
      <c r="C133" s="111"/>
      <c r="D133" s="12" t="s">
        <v>268</v>
      </c>
      <c r="E133" s="147">
        <f>[19]T5!$B$4</f>
        <v>41.276679841897234</v>
      </c>
      <c r="F133" s="144"/>
      <c r="G133" s="144">
        <f>[19]T5!$C$4</f>
        <v>44.538194444444443</v>
      </c>
      <c r="H133" s="144"/>
      <c r="I133" s="243">
        <f>[19]T5!$D$4</f>
        <v>42.907437143170839</v>
      </c>
      <c r="J133" s="246"/>
      <c r="K133" s="244"/>
      <c r="L133" s="68">
        <v>2019</v>
      </c>
      <c r="M133" s="75"/>
      <c r="N133" s="85" t="s">
        <v>269</v>
      </c>
      <c r="Q133" s="55"/>
      <c r="R133" s="55"/>
      <c r="S133" s="55"/>
      <c r="T133" s="55"/>
      <c r="U133" s="55"/>
      <c r="V133" s="55"/>
    </row>
    <row r="134" spans="2:22" s="87" customFormat="1" ht="12" hidden="1" customHeight="1">
      <c r="B134" s="110">
        <v>2019</v>
      </c>
      <c r="C134" s="111"/>
      <c r="D134" s="12" t="s">
        <v>276</v>
      </c>
      <c r="E134" s="147">
        <f>[20]T6!$B$3</f>
        <v>38.641311671782589</v>
      </c>
      <c r="F134" s="144"/>
      <c r="G134" s="144">
        <f>[20]T6!$C$3</f>
        <v>41.65292096219931</v>
      </c>
      <c r="H134" s="144"/>
      <c r="I134" s="243">
        <f>[20]T6!$D$3</f>
        <v>40.147116316990946</v>
      </c>
      <c r="J134" s="246"/>
      <c r="K134" s="244"/>
      <c r="L134" s="68">
        <v>2019</v>
      </c>
      <c r="M134" s="75"/>
      <c r="N134" s="85" t="s">
        <v>277</v>
      </c>
      <c r="Q134" s="55"/>
      <c r="R134" s="55"/>
      <c r="S134" s="55"/>
      <c r="T134" s="55"/>
      <c r="U134" s="55"/>
      <c r="V134" s="55"/>
    </row>
    <row r="135" spans="2:22" s="87" customFormat="1" ht="12" hidden="1" customHeight="1">
      <c r="B135" s="110">
        <v>2019</v>
      </c>
      <c r="C135" s="111"/>
      <c r="D135" s="12" t="s">
        <v>280</v>
      </c>
      <c r="E135" s="147">
        <f>[21]T6!$B$3</f>
        <v>38.778697933748774</v>
      </c>
      <c r="F135" s="144"/>
      <c r="G135" s="144">
        <f>[21]T6!$B$4</f>
        <v>42.64691943127962</v>
      </c>
      <c r="H135" s="144"/>
      <c r="I135" s="243">
        <f>AVERAGE(E135:G135)</f>
        <v>40.712808682514193</v>
      </c>
      <c r="J135" s="246"/>
      <c r="K135" s="244"/>
      <c r="L135" s="68">
        <v>2019</v>
      </c>
      <c r="M135" s="75"/>
      <c r="N135" s="85" t="s">
        <v>281</v>
      </c>
      <c r="Q135" s="55"/>
      <c r="R135" s="55"/>
      <c r="S135" s="55"/>
      <c r="T135" s="55"/>
      <c r="U135" s="55"/>
      <c r="V135" s="55"/>
    </row>
    <row r="136" spans="2:22" s="87" customFormat="1" ht="12" hidden="1" customHeight="1">
      <c r="B136" s="110">
        <v>2019</v>
      </c>
      <c r="C136" s="111"/>
      <c r="D136" s="12" t="s">
        <v>282</v>
      </c>
      <c r="E136" s="147">
        <f>[22]T6!$A$4</f>
        <v>41.323803191489361</v>
      </c>
      <c r="F136" s="144"/>
      <c r="G136" s="144">
        <f>[22]T6!$B$4</f>
        <v>44.530864197530867</v>
      </c>
      <c r="H136" s="144"/>
      <c r="I136" s="243">
        <f>[22]T6!$C$4</f>
        <v>42.927333694510111</v>
      </c>
      <c r="J136" s="246"/>
      <c r="K136" s="244"/>
      <c r="L136" s="68"/>
      <c r="M136" s="75"/>
      <c r="N136" s="85" t="s">
        <v>283</v>
      </c>
      <c r="Q136" s="55"/>
      <c r="R136" s="55"/>
      <c r="S136" s="55"/>
      <c r="T136" s="55"/>
      <c r="U136" s="55"/>
      <c r="V136" s="55"/>
    </row>
    <row r="137" spans="2:22" s="87" customFormat="1" ht="12" hidden="1" customHeight="1">
      <c r="B137" s="110">
        <v>2019</v>
      </c>
      <c r="C137" s="111"/>
      <c r="D137" s="12" t="s">
        <v>291</v>
      </c>
      <c r="E137" s="147">
        <f>[23]T6!$B$3</f>
        <v>38.575860863485403</v>
      </c>
      <c r="F137" s="144"/>
      <c r="G137" s="144">
        <f>[23]T6!$C$3</f>
        <v>43.058139534883722</v>
      </c>
      <c r="H137" s="144"/>
      <c r="I137" s="243">
        <f>AVERAGE(E137:G137)</f>
        <v>40.817000199184562</v>
      </c>
      <c r="J137" s="246"/>
      <c r="K137" s="244"/>
      <c r="L137" s="68"/>
      <c r="M137" s="75"/>
      <c r="N137" s="85" t="s">
        <v>291</v>
      </c>
      <c r="Q137" s="55"/>
      <c r="R137" s="55"/>
      <c r="S137" s="55"/>
      <c r="T137" s="55"/>
      <c r="U137" s="55"/>
      <c r="V137" s="55"/>
    </row>
    <row r="138" spans="2:22" s="87" customFormat="1" ht="12" hidden="1" customHeight="1">
      <c r="B138" s="110">
        <v>2019</v>
      </c>
      <c r="C138" s="111"/>
      <c r="D138" s="12" t="s">
        <v>295</v>
      </c>
      <c r="E138" s="147">
        <f>[24]Oct19!$B$49</f>
        <v>39.33339672879422</v>
      </c>
      <c r="F138" s="144"/>
      <c r="G138" s="144">
        <f>[24]Oct19!$C$49</f>
        <v>43.714285714285715</v>
      </c>
      <c r="H138" s="144"/>
      <c r="I138" s="243">
        <f>AVERAGE(E138:G138)</f>
        <v>41.523841221539968</v>
      </c>
      <c r="J138" s="246"/>
      <c r="K138" s="244"/>
      <c r="L138" s="68"/>
      <c r="M138" s="75"/>
      <c r="N138" s="85" t="s">
        <v>295</v>
      </c>
      <c r="Q138" s="55"/>
      <c r="R138" s="55"/>
      <c r="S138" s="55"/>
      <c r="T138" s="55"/>
      <c r="U138" s="55"/>
      <c r="V138" s="55"/>
    </row>
    <row r="139" spans="2:22" s="87" customFormat="1" ht="12" hidden="1" customHeight="1">
      <c r="B139" s="110">
        <v>2019</v>
      </c>
      <c r="C139" s="111"/>
      <c r="D139" s="12" t="s">
        <v>296</v>
      </c>
      <c r="E139" s="147">
        <f>[24]Nov19!$B$49</f>
        <v>41.143148547637473</v>
      </c>
      <c r="F139" s="144"/>
      <c r="G139" s="144">
        <f>[24]Nov19!$C$49</f>
        <v>46.577819877586677</v>
      </c>
      <c r="H139" s="144"/>
      <c r="I139" s="243">
        <f>[24]Nov19!$D$49</f>
        <v>43.860484212612079</v>
      </c>
      <c r="J139" s="246"/>
      <c r="K139" s="244"/>
      <c r="L139" s="68">
        <v>2019</v>
      </c>
      <c r="M139" s="75"/>
      <c r="N139" s="85" t="s">
        <v>296</v>
      </c>
      <c r="Q139" s="55"/>
      <c r="R139" s="55"/>
      <c r="S139" s="55"/>
      <c r="T139" s="55"/>
      <c r="U139" s="55"/>
      <c r="V139" s="55"/>
    </row>
    <row r="140" spans="2:22" s="87" customFormat="1" ht="12" hidden="1" customHeight="1">
      <c r="B140" s="110">
        <v>2019</v>
      </c>
      <c r="C140" s="111"/>
      <c r="D140" s="12" t="s">
        <v>298</v>
      </c>
      <c r="E140" s="147">
        <f>[24]Dec19!$B$49</f>
        <v>36.160873882820255</v>
      </c>
      <c r="F140" s="144"/>
      <c r="G140" s="144">
        <f>[24]Dec19!$C$49</f>
        <v>39.387909319899244</v>
      </c>
      <c r="H140" s="144"/>
      <c r="I140" s="243">
        <f>[24]Dec19!$D$49</f>
        <v>37.774391601359753</v>
      </c>
      <c r="J140" s="246"/>
      <c r="K140" s="244"/>
      <c r="L140" s="68">
        <v>2019</v>
      </c>
      <c r="M140" s="75"/>
      <c r="N140" s="71" t="s">
        <v>304</v>
      </c>
      <c r="Q140" s="55"/>
      <c r="R140" s="55"/>
      <c r="S140" s="55"/>
      <c r="T140" s="55"/>
      <c r="U140" s="55"/>
      <c r="V140" s="55"/>
    </row>
    <row r="141" spans="2:22" s="87" customFormat="1" ht="12" customHeight="1">
      <c r="B141" s="110">
        <v>2020</v>
      </c>
      <c r="C141" s="111"/>
      <c r="D141" s="12" t="s">
        <v>261</v>
      </c>
      <c r="E141" s="147">
        <f>[25]Jan!$B$49</f>
        <v>35.4</v>
      </c>
      <c r="F141" s="144"/>
      <c r="G141" s="144">
        <f>[25]Jan!$C$49</f>
        <v>37.1</v>
      </c>
      <c r="H141" s="144"/>
      <c r="I141" s="243">
        <f>[25]Jan!$D$49</f>
        <v>36.25</v>
      </c>
      <c r="J141" s="246"/>
      <c r="K141" s="245"/>
      <c r="L141" s="110">
        <v>2020</v>
      </c>
      <c r="M141" s="75"/>
      <c r="N141" s="85" t="s">
        <v>261</v>
      </c>
      <c r="Q141" s="55"/>
      <c r="R141" s="55"/>
      <c r="S141" s="55"/>
      <c r="T141" s="55"/>
      <c r="U141" s="55"/>
      <c r="V141" s="55"/>
    </row>
    <row r="142" spans="2:22" s="87" customFormat="1" ht="12" customHeight="1">
      <c r="B142" s="110"/>
      <c r="C142" s="111"/>
      <c r="D142" s="12" t="s">
        <v>262</v>
      </c>
      <c r="E142" s="147">
        <f>[25]Feb!$B$49</f>
        <v>41.352134152675077</v>
      </c>
      <c r="F142" s="144"/>
      <c r="G142" s="144">
        <f>[25]Feb!$C$49</f>
        <v>0</v>
      </c>
      <c r="H142" s="144"/>
      <c r="I142" s="243">
        <f>[25]Feb!$D$49</f>
        <v>41.352134152675077</v>
      </c>
      <c r="J142" s="246"/>
      <c r="K142" s="245"/>
      <c r="L142" s="110"/>
      <c r="M142" s="75"/>
      <c r="N142" s="85" t="s">
        <v>264</v>
      </c>
      <c r="Q142" s="55"/>
      <c r="R142" s="55"/>
      <c r="S142" s="55"/>
      <c r="T142" s="55"/>
      <c r="U142" s="55"/>
      <c r="V142" s="55"/>
    </row>
    <row r="143" spans="2:22" s="87" customFormat="1" ht="12" customHeight="1">
      <c r="B143" s="110"/>
      <c r="C143" s="111"/>
      <c r="D143" s="12" t="s">
        <v>303</v>
      </c>
      <c r="E143" s="147">
        <f>[25]Mar!$B$49</f>
        <v>41.773705642815592</v>
      </c>
      <c r="F143" s="144"/>
      <c r="G143" s="144">
        <v>0</v>
      </c>
      <c r="H143" s="144"/>
      <c r="I143" s="243">
        <f>[25]Mar!$D$49</f>
        <v>41.773705642815592</v>
      </c>
      <c r="J143" s="246"/>
      <c r="K143" s="244"/>
      <c r="L143" s="110"/>
      <c r="M143" s="75"/>
      <c r="N143" s="85" t="s">
        <v>263</v>
      </c>
      <c r="Q143" s="55"/>
      <c r="R143" s="55"/>
      <c r="S143" s="55"/>
      <c r="T143" s="55"/>
      <c r="U143" s="55"/>
      <c r="V143" s="55"/>
    </row>
    <row r="144" spans="2:22" s="87" customFormat="1" ht="12" customHeight="1">
      <c r="B144" s="110"/>
      <c r="C144" s="111"/>
      <c r="D144" s="12" t="s">
        <v>266</v>
      </c>
      <c r="E144" s="147">
        <f>[25]Apr!$B$49</f>
        <v>0</v>
      </c>
      <c r="F144" s="144"/>
      <c r="G144" s="144">
        <f>[25]Apr!$C$49</f>
        <v>0</v>
      </c>
      <c r="H144" s="144"/>
      <c r="I144" s="243">
        <f>[25]Apr!$D$49</f>
        <v>0</v>
      </c>
      <c r="J144" s="246"/>
      <c r="K144" s="244"/>
      <c r="L144" s="110"/>
      <c r="M144" s="75"/>
      <c r="N144" s="85" t="s">
        <v>267</v>
      </c>
      <c r="Q144" s="55"/>
      <c r="R144" s="55"/>
      <c r="S144" s="55"/>
      <c r="T144" s="55"/>
      <c r="U144" s="55"/>
      <c r="V144" s="55"/>
    </row>
    <row r="145" spans="2:22" s="87" customFormat="1" ht="12.75" customHeight="1">
      <c r="B145" s="110"/>
      <c r="C145" s="111"/>
      <c r="D145" s="12" t="s">
        <v>305</v>
      </c>
      <c r="E145" s="147">
        <f>[25]May!$B$49</f>
        <v>0</v>
      </c>
      <c r="F145" s="144"/>
      <c r="G145" s="144">
        <f>[25]May!$C$49</f>
        <v>0</v>
      </c>
      <c r="H145" s="144"/>
      <c r="I145" s="243">
        <f>[25]May!$D$49</f>
        <v>0</v>
      </c>
      <c r="J145" s="246"/>
      <c r="K145" s="245"/>
      <c r="L145" s="110"/>
      <c r="M145" s="75"/>
      <c r="N145" s="85" t="s">
        <v>269</v>
      </c>
      <c r="Q145" s="55"/>
      <c r="R145" s="55"/>
      <c r="S145" s="55"/>
      <c r="T145" s="55"/>
      <c r="U145" s="55"/>
      <c r="V145" s="55"/>
    </row>
    <row r="146" spans="2:22" s="87" customFormat="1" ht="12.75" customHeight="1">
      <c r="B146" s="110"/>
      <c r="C146" s="111"/>
      <c r="D146" s="12" t="s">
        <v>276</v>
      </c>
      <c r="E146" s="147">
        <f>[25]June!$B$49</f>
        <v>0</v>
      </c>
      <c r="F146" s="144"/>
      <c r="G146" s="144">
        <f>[25]June!$C$49</f>
        <v>0</v>
      </c>
      <c r="H146" s="144"/>
      <c r="I146" s="243">
        <f>[25]June!$D$49</f>
        <v>0</v>
      </c>
      <c r="J146" s="246"/>
      <c r="K146" s="245"/>
      <c r="L146" s="110"/>
      <c r="M146" s="75"/>
      <c r="N146" s="85" t="s">
        <v>277</v>
      </c>
      <c r="Q146" s="55"/>
      <c r="R146" s="55"/>
      <c r="S146" s="55"/>
      <c r="T146" s="55"/>
      <c r="U146" s="55"/>
      <c r="V146" s="55"/>
    </row>
    <row r="147" spans="2:22" s="87" customFormat="1" ht="12.75" customHeight="1">
      <c r="B147" s="110"/>
      <c r="C147" s="111"/>
      <c r="D147" s="12" t="s">
        <v>280</v>
      </c>
      <c r="E147" s="147">
        <f>[25]July!$B$49</f>
        <v>0</v>
      </c>
      <c r="F147" s="144"/>
      <c r="G147" s="144">
        <f>[25]July!$C$49</f>
        <v>0</v>
      </c>
      <c r="H147" s="144"/>
      <c r="I147" s="243">
        <f>[25]July!$D$49</f>
        <v>0</v>
      </c>
      <c r="J147" s="246"/>
      <c r="K147" s="244"/>
      <c r="L147" s="110"/>
      <c r="M147" s="75"/>
      <c r="N147" s="85" t="s">
        <v>281</v>
      </c>
      <c r="Q147" s="55"/>
      <c r="R147" s="55"/>
      <c r="S147" s="55"/>
      <c r="T147" s="55"/>
      <c r="U147" s="55"/>
      <c r="V147" s="55"/>
    </row>
    <row r="148" spans="2:22" s="87" customFormat="1" ht="12.75" customHeight="1">
      <c r="B148" s="110"/>
      <c r="C148" s="111"/>
      <c r="D148" s="12" t="s">
        <v>282</v>
      </c>
      <c r="E148" s="147">
        <f>[25]Aug!$B$49</f>
        <v>0</v>
      </c>
      <c r="F148" s="144"/>
      <c r="G148" s="144">
        <f>[25]Aug!$C$49</f>
        <v>0</v>
      </c>
      <c r="H148" s="144"/>
      <c r="I148" s="243">
        <f>[25]Aug!$D$49</f>
        <v>0</v>
      </c>
      <c r="J148" s="246"/>
      <c r="K148" s="244"/>
      <c r="L148" s="111"/>
      <c r="M148" s="75"/>
      <c r="N148" s="85" t="s">
        <v>283</v>
      </c>
      <c r="Q148" s="55"/>
      <c r="R148" s="55"/>
      <c r="S148" s="55"/>
      <c r="T148" s="55"/>
      <c r="U148" s="55"/>
      <c r="V148" s="55"/>
    </row>
    <row r="149" spans="2:22" s="87" customFormat="1" ht="12.75" customHeight="1">
      <c r="B149" s="110"/>
      <c r="C149" s="111"/>
      <c r="D149" s="12" t="s">
        <v>291</v>
      </c>
      <c r="E149" s="147">
        <f>[25]Sept!$B$49</f>
        <v>0</v>
      </c>
      <c r="F149" s="144"/>
      <c r="G149" s="144">
        <f>[25]Sept!$C$49</f>
        <v>0</v>
      </c>
      <c r="H149" s="144"/>
      <c r="I149" s="243">
        <f>[25]Sept!$D$49</f>
        <v>0</v>
      </c>
      <c r="J149" s="246"/>
      <c r="K149" s="244"/>
      <c r="L149" s="111"/>
      <c r="M149" s="75"/>
      <c r="N149" s="85" t="s">
        <v>291</v>
      </c>
      <c r="Q149" s="55"/>
      <c r="R149" s="55"/>
      <c r="S149" s="55"/>
      <c r="T149" s="55"/>
      <c r="U149" s="55"/>
      <c r="V149" s="55"/>
    </row>
    <row r="150" spans="2:22" s="87" customFormat="1" ht="12.75" customHeight="1">
      <c r="B150" s="110"/>
      <c r="C150" s="111"/>
      <c r="D150" s="12" t="s">
        <v>295</v>
      </c>
      <c r="E150" s="147">
        <f>[25]Oct!$B$46</f>
        <v>0</v>
      </c>
      <c r="F150" s="144"/>
      <c r="G150" s="144">
        <f>[25]Oct!$C$46</f>
        <v>0</v>
      </c>
      <c r="H150" s="144"/>
      <c r="I150" s="243">
        <f>[25]Oct!$D$46</f>
        <v>0</v>
      </c>
      <c r="J150" s="246"/>
      <c r="K150" s="245"/>
      <c r="L150" s="110"/>
      <c r="M150" s="75"/>
      <c r="N150" s="85" t="s">
        <v>295</v>
      </c>
      <c r="Q150" s="55"/>
      <c r="R150" s="55"/>
      <c r="S150" s="55"/>
      <c r="T150" s="55"/>
      <c r="U150" s="55"/>
      <c r="V150" s="55"/>
    </row>
    <row r="151" spans="2:22" s="87" customFormat="1" ht="12.75" customHeight="1">
      <c r="B151" s="110"/>
      <c r="C151" s="111"/>
      <c r="D151" s="12" t="s">
        <v>296</v>
      </c>
      <c r="E151" s="147">
        <f>[25]Nov!$B$49</f>
        <v>0</v>
      </c>
      <c r="F151" s="144"/>
      <c r="G151" s="144">
        <f>[25]Nov!$C$49</f>
        <v>0</v>
      </c>
      <c r="H151" s="144"/>
      <c r="I151" s="243">
        <f>[25]Nov!$D$49</f>
        <v>0</v>
      </c>
      <c r="J151" s="246"/>
      <c r="K151" s="244"/>
      <c r="L151" s="110"/>
      <c r="M151" s="75"/>
      <c r="N151" s="85" t="s">
        <v>296</v>
      </c>
      <c r="Q151" s="55"/>
      <c r="R151" s="55"/>
      <c r="S151" s="55"/>
      <c r="T151" s="55"/>
      <c r="U151" s="55"/>
      <c r="V151" s="55"/>
    </row>
    <row r="152" spans="2:22" s="87" customFormat="1" ht="12.75" customHeight="1">
      <c r="B152" s="110"/>
      <c r="C152" s="111"/>
      <c r="D152" s="12" t="s">
        <v>298</v>
      </c>
      <c r="E152" s="147">
        <f>[25]Dec!$B$49</f>
        <v>0</v>
      </c>
      <c r="F152" s="144"/>
      <c r="G152" s="144">
        <f>[25]Dec!$C$49</f>
        <v>0</v>
      </c>
      <c r="H152" s="144"/>
      <c r="I152" s="243">
        <f>[25]Dec!$D$49</f>
        <v>0</v>
      </c>
      <c r="J152" s="246"/>
      <c r="K152" s="245"/>
      <c r="L152" s="111"/>
      <c r="M152" s="75"/>
      <c r="N152" s="71" t="s">
        <v>298</v>
      </c>
      <c r="Q152" s="55"/>
      <c r="R152" s="55"/>
      <c r="S152" s="55"/>
      <c r="T152" s="55"/>
      <c r="U152" s="55"/>
      <c r="V152" s="55"/>
    </row>
    <row r="153" spans="2:22" s="87" customFormat="1" ht="12.75" customHeight="1">
      <c r="B153" s="320">
        <v>2021</v>
      </c>
      <c r="C153" s="240"/>
      <c r="D153" s="94" t="s">
        <v>261</v>
      </c>
      <c r="E153" s="148">
        <f>[26]Jan!$B$49</f>
        <v>0</v>
      </c>
      <c r="F153" s="149"/>
      <c r="G153" s="149">
        <f>[26]Jan!$C$49</f>
        <v>0</v>
      </c>
      <c r="H153" s="149"/>
      <c r="I153" s="293">
        <f>[26]Jan!$D$49</f>
        <v>0</v>
      </c>
      <c r="J153" s="622"/>
      <c r="K153" s="245"/>
      <c r="L153" s="240">
        <v>2021</v>
      </c>
      <c r="M153" s="96"/>
      <c r="N153" s="7" t="s">
        <v>261</v>
      </c>
      <c r="Q153" s="55"/>
      <c r="R153" s="55"/>
      <c r="S153" s="55"/>
      <c r="T153" s="55"/>
      <c r="U153" s="55"/>
      <c r="V153" s="55"/>
    </row>
    <row r="154" spans="2:22" ht="17.25" customHeight="1">
      <c r="B154" s="112" t="s">
        <v>82</v>
      </c>
      <c r="C154" s="113" t="s">
        <v>278</v>
      </c>
      <c r="D154" s="113"/>
      <c r="E154" s="135"/>
      <c r="F154" s="135"/>
      <c r="G154" s="135"/>
      <c r="H154" s="135"/>
      <c r="K154" s="55" t="str">
        <f>REPT("|",I154)</f>
        <v/>
      </c>
    </row>
    <row r="155" spans="2:22" ht="10.8">
      <c r="B155" s="268"/>
      <c r="C155" s="50"/>
      <c r="D155" s="1" t="s">
        <v>265</v>
      </c>
      <c r="E155" s="135"/>
    </row>
    <row r="156" spans="2:22" ht="13.2">
      <c r="E156" s="502">
        <f>E153/E141-1</f>
        <v>-1</v>
      </c>
      <c r="F156" s="502"/>
      <c r="G156" s="502">
        <f>G153/G141-1</f>
        <v>-1</v>
      </c>
      <c r="H156" s="502"/>
      <c r="I156" s="502">
        <f>I153/I141-1</f>
        <v>-1</v>
      </c>
      <c r="J156" s="502"/>
      <c r="K156" s="492"/>
      <c r="L156" s="417" t="s">
        <v>200</v>
      </c>
    </row>
    <row r="157" spans="2:22" ht="13.2">
      <c r="E157" s="503" t="e">
        <f>E153/E152-1</f>
        <v>#DIV/0!</v>
      </c>
      <c r="F157" s="503"/>
      <c r="G157" s="503" t="e">
        <f>G153/G152-1</f>
        <v>#DIV/0!</v>
      </c>
      <c r="H157" s="503"/>
      <c r="I157" s="503" t="e">
        <f>I153/I152-1</f>
        <v>#DIV/0!</v>
      </c>
      <c r="J157" s="490"/>
      <c r="K157" s="491"/>
      <c r="L157" s="418" t="s">
        <v>199</v>
      </c>
    </row>
    <row r="158" spans="2:22" ht="13.2">
      <c r="E158" s="493"/>
      <c r="F158" s="493"/>
      <c r="G158" s="493"/>
      <c r="H158" s="493"/>
      <c r="I158" s="493">
        <f>I153-I141</f>
        <v>-36.25</v>
      </c>
      <c r="J158" s="493"/>
      <c r="K158" s="416"/>
      <c r="L158" s="419"/>
    </row>
    <row r="159" spans="2:22" ht="13.2">
      <c r="E159" s="493"/>
      <c r="F159" s="493"/>
      <c r="G159" s="493"/>
      <c r="H159" s="493"/>
      <c r="I159" s="554">
        <f>I153-I152</f>
        <v>0</v>
      </c>
      <c r="J159" s="493"/>
      <c r="K159" s="416"/>
      <c r="L159" s="419"/>
    </row>
    <row r="167" spans="5:13">
      <c r="G167" s="136"/>
      <c r="H167" s="136"/>
      <c r="L167" s="55"/>
      <c r="M167" s="55"/>
    </row>
    <row r="169" spans="5:13">
      <c r="L169" s="55"/>
      <c r="M169" s="55"/>
    </row>
    <row r="171" spans="5:13" ht="13.2">
      <c r="E171" s="137"/>
      <c r="F171" s="137"/>
      <c r="L171" s="55"/>
      <c r="M171" s="55"/>
    </row>
    <row r="172" spans="5:13" ht="13.2">
      <c r="E172" s="137"/>
      <c r="F172" s="137"/>
      <c r="L172" s="55"/>
      <c r="M172" s="55"/>
    </row>
    <row r="173" spans="5:13" ht="13.2">
      <c r="E173" s="137"/>
      <c r="F173" s="137"/>
      <c r="L173" s="55"/>
      <c r="M173" s="55"/>
    </row>
    <row r="174" spans="5:13" ht="13.2">
      <c r="E174" s="137"/>
      <c r="F174" s="137"/>
      <c r="L174" s="55"/>
      <c r="M174" s="55"/>
    </row>
    <row r="175" spans="5:13" ht="13.2">
      <c r="E175" s="137"/>
      <c r="F175" s="137"/>
      <c r="L175" s="55"/>
      <c r="M175" s="55"/>
    </row>
    <row r="176" spans="5:13" ht="13.2">
      <c r="E176" s="137"/>
      <c r="F176" s="137"/>
      <c r="L176" s="55"/>
      <c r="M176" s="55"/>
    </row>
    <row r="177" spans="5:13" ht="13.2">
      <c r="E177" s="137"/>
      <c r="F177" s="137"/>
      <c r="L177" s="55"/>
      <c r="M177" s="55"/>
    </row>
    <row r="178" spans="5:13" ht="13.2">
      <c r="E178" s="137"/>
      <c r="F178" s="137"/>
      <c r="L178" s="55"/>
      <c r="M178" s="55"/>
    </row>
    <row r="179" spans="5:13" ht="13.2">
      <c r="E179" s="137"/>
      <c r="F179" s="137"/>
      <c r="L179" s="55"/>
      <c r="M179" s="55"/>
    </row>
    <row r="182" spans="5:13" ht="13.2">
      <c r="E182" s="137"/>
      <c r="F182" s="137"/>
      <c r="L182" s="55"/>
      <c r="M182" s="55"/>
    </row>
    <row r="183" spans="5:13" ht="13.2">
      <c r="E183" s="137"/>
      <c r="F183" s="137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1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8671875" defaultRowHeight="13.8"/>
  <cols>
    <col min="1" max="1" width="4.5546875" style="271" customWidth="1"/>
    <col min="2" max="2" width="11.5546875" style="271" customWidth="1"/>
    <col min="3" max="3" width="7.88671875" style="271" customWidth="1"/>
    <col min="4" max="4" width="10.6640625" style="271" customWidth="1"/>
    <col min="5" max="5" width="1.88671875" style="271" customWidth="1"/>
    <col min="6" max="6" width="10.6640625" style="271" customWidth="1"/>
    <col min="7" max="7" width="1.6640625" style="271" customWidth="1"/>
    <col min="8" max="8" width="12" style="271" customWidth="1"/>
    <col min="9" max="9" width="2.33203125" style="271" customWidth="1"/>
    <col min="10" max="10" width="10.6640625" style="271" customWidth="1"/>
    <col min="11" max="11" width="2.44140625" style="271" customWidth="1"/>
    <col min="12" max="12" width="10.6640625" style="271" customWidth="1"/>
    <col min="13" max="13" width="2.33203125" style="271" customWidth="1"/>
    <col min="14" max="14" width="10.6640625" style="271" customWidth="1"/>
    <col min="15" max="15" width="2.33203125" style="271" customWidth="1"/>
    <col min="16" max="16" width="10.6640625" style="271" customWidth="1"/>
    <col min="17" max="17" width="2.44140625" style="271" customWidth="1"/>
    <col min="18" max="18" width="10.109375" style="271" customWidth="1"/>
    <col min="19" max="19" width="1.5546875" style="271" customWidth="1"/>
    <col min="20" max="20" width="10.44140625" style="271" customWidth="1"/>
    <col min="21" max="21" width="8.109375" style="271" bestFit="1" customWidth="1"/>
    <col min="22" max="22" width="18" style="271" bestFit="1" customWidth="1"/>
    <col min="23" max="16384" width="10.88671875" style="271"/>
  </cols>
  <sheetData>
    <row r="1" spans="2:37" ht="21.75" customHeight="1">
      <c r="B1" s="270" t="s">
        <v>252</v>
      </c>
    </row>
    <row r="2" spans="2:37" ht="18.75" customHeight="1">
      <c r="B2" s="270" t="s">
        <v>253</v>
      </c>
    </row>
    <row r="3" spans="2:37" ht="6.75" customHeight="1">
      <c r="B3" s="270"/>
    </row>
    <row r="4" spans="2:37" ht="27">
      <c r="B4" s="272"/>
      <c r="C4" s="572"/>
      <c r="D4" s="366" t="s">
        <v>214</v>
      </c>
      <c r="E4" s="367"/>
      <c r="F4" s="367" t="s">
        <v>215</v>
      </c>
      <c r="G4" s="367"/>
      <c r="H4" s="402" t="s">
        <v>216</v>
      </c>
      <c r="I4" s="402"/>
      <c r="J4" s="402" t="s">
        <v>217</v>
      </c>
      <c r="K4" s="367"/>
      <c r="L4" s="367" t="s">
        <v>218</v>
      </c>
      <c r="M4" s="367"/>
      <c r="N4" s="367" t="s">
        <v>219</v>
      </c>
      <c r="O4" s="367"/>
      <c r="P4" s="367" t="s">
        <v>220</v>
      </c>
      <c r="Q4" s="367"/>
      <c r="R4" s="367" t="s">
        <v>14</v>
      </c>
      <c r="S4" s="575"/>
      <c r="T4" s="572"/>
      <c r="U4" s="273"/>
      <c r="AA4" s="288"/>
      <c r="AB4" s="289"/>
      <c r="AC4" s="289"/>
      <c r="AD4" s="289"/>
      <c r="AE4" s="289"/>
      <c r="AG4" s="288"/>
      <c r="AH4" s="289"/>
      <c r="AI4" s="289"/>
      <c r="AJ4" s="289"/>
      <c r="AK4" s="289"/>
    </row>
    <row r="5" spans="2:37" ht="26.4">
      <c r="B5" s="309" t="s">
        <v>73</v>
      </c>
      <c r="C5" s="573" t="s">
        <v>115</v>
      </c>
      <c r="D5" s="478"/>
      <c r="E5" s="368"/>
      <c r="F5" s="368"/>
      <c r="G5" s="368"/>
      <c r="H5" s="368" t="s">
        <v>221</v>
      </c>
      <c r="I5" s="368"/>
      <c r="J5" s="368" t="s">
        <v>222</v>
      </c>
      <c r="K5" s="369"/>
      <c r="L5" s="368" t="s">
        <v>223</v>
      </c>
      <c r="M5" s="368"/>
      <c r="N5" s="368"/>
      <c r="O5" s="368"/>
      <c r="P5" s="369" t="s">
        <v>224</v>
      </c>
      <c r="Q5" s="369"/>
      <c r="R5" s="368"/>
      <c r="S5" s="576"/>
      <c r="T5" s="571" t="s">
        <v>74</v>
      </c>
      <c r="U5" s="528" t="s">
        <v>116</v>
      </c>
    </row>
    <row r="6" spans="2:37" ht="15" hidden="1" customHeight="1">
      <c r="B6" s="310">
        <v>2014</v>
      </c>
      <c r="C6" s="574"/>
      <c r="D6" s="577">
        <f>SUM(D13:D20)</f>
        <v>6343</v>
      </c>
      <c r="E6" s="330"/>
      <c r="F6" s="330">
        <f t="shared" ref="F6:R6" si="0">SUM(F13:F20)</f>
        <v>4739</v>
      </c>
      <c r="G6" s="330"/>
      <c r="H6" s="330">
        <f t="shared" si="0"/>
        <v>2144</v>
      </c>
      <c r="I6" s="330"/>
      <c r="J6" s="330">
        <f t="shared" si="0"/>
        <v>379</v>
      </c>
      <c r="K6" s="330"/>
      <c r="L6" s="330">
        <f t="shared" si="0"/>
        <v>636</v>
      </c>
      <c r="M6" s="330"/>
      <c r="N6" s="330">
        <f t="shared" si="0"/>
        <v>521</v>
      </c>
      <c r="O6" s="330"/>
      <c r="P6" s="330">
        <f t="shared" si="0"/>
        <v>1349</v>
      </c>
      <c r="Q6" s="330"/>
      <c r="R6" s="330">
        <f t="shared" si="0"/>
        <v>16111</v>
      </c>
      <c r="S6" s="578"/>
      <c r="T6" s="572">
        <v>2014</v>
      </c>
      <c r="U6" s="331"/>
      <c r="W6" s="333"/>
    </row>
    <row r="7" spans="2:37" ht="15" hidden="1" customHeight="1">
      <c r="B7" s="310">
        <v>2015</v>
      </c>
      <c r="C7" s="574"/>
      <c r="D7" s="577">
        <f>SUM(D21:D32)</f>
        <v>7295</v>
      </c>
      <c r="E7" s="330"/>
      <c r="F7" s="330">
        <f t="shared" ref="F7:R7" si="1">SUM(F21:F32)</f>
        <v>5342</v>
      </c>
      <c r="G7" s="330"/>
      <c r="H7" s="330">
        <f t="shared" si="1"/>
        <v>3201</v>
      </c>
      <c r="I7" s="330"/>
      <c r="J7" s="330">
        <f t="shared" si="1"/>
        <v>1093</v>
      </c>
      <c r="K7" s="330"/>
      <c r="L7" s="330">
        <f t="shared" si="1"/>
        <v>945</v>
      </c>
      <c r="M7" s="330"/>
      <c r="N7" s="330">
        <f t="shared" si="1"/>
        <v>775</v>
      </c>
      <c r="O7" s="330"/>
      <c r="P7" s="330">
        <f t="shared" si="1"/>
        <v>1572</v>
      </c>
      <c r="Q7" s="330"/>
      <c r="R7" s="330">
        <f t="shared" si="1"/>
        <v>20223</v>
      </c>
      <c r="S7" s="578"/>
      <c r="T7" s="277">
        <v>2015</v>
      </c>
      <c r="U7" s="332"/>
      <c r="W7" s="333"/>
    </row>
    <row r="8" spans="2:37" ht="15" customHeight="1">
      <c r="B8" s="310">
        <v>2016</v>
      </c>
      <c r="C8" s="574"/>
      <c r="D8" s="577">
        <f>SUM(D33:D44)</f>
        <v>7774</v>
      </c>
      <c r="E8" s="330"/>
      <c r="F8" s="330">
        <f t="shared" ref="F8:R8" si="2">SUM(F33:F44)</f>
        <v>6861</v>
      </c>
      <c r="G8" s="330"/>
      <c r="H8" s="330">
        <f t="shared" si="2"/>
        <v>4328</v>
      </c>
      <c r="I8" s="330"/>
      <c r="J8" s="330">
        <f t="shared" si="2"/>
        <v>820</v>
      </c>
      <c r="K8" s="330"/>
      <c r="L8" s="330">
        <f t="shared" si="2"/>
        <v>935</v>
      </c>
      <c r="M8" s="330"/>
      <c r="N8" s="330">
        <f t="shared" si="2"/>
        <v>863</v>
      </c>
      <c r="O8" s="330"/>
      <c r="P8" s="330">
        <f t="shared" si="2"/>
        <v>1973</v>
      </c>
      <c r="Q8" s="330"/>
      <c r="R8" s="330">
        <f t="shared" si="2"/>
        <v>23554</v>
      </c>
      <c r="S8" s="578"/>
      <c r="T8" s="277">
        <v>2016</v>
      </c>
      <c r="U8" s="332"/>
      <c r="W8" s="333"/>
    </row>
    <row r="9" spans="2:37" ht="15" customHeight="1">
      <c r="B9" s="310">
        <v>2017</v>
      </c>
      <c r="C9" s="574"/>
      <c r="D9" s="577">
        <f>SUM(D45:D56)</f>
        <v>10301</v>
      </c>
      <c r="E9" s="330"/>
      <c r="F9" s="330">
        <f t="shared" ref="F9:R9" si="3">SUM(F45:F56)</f>
        <v>8840</v>
      </c>
      <c r="G9" s="330"/>
      <c r="H9" s="330">
        <f t="shared" si="3"/>
        <v>3333</v>
      </c>
      <c r="I9" s="330"/>
      <c r="J9" s="330">
        <f t="shared" si="3"/>
        <v>550</v>
      </c>
      <c r="K9" s="330"/>
      <c r="L9" s="330">
        <f t="shared" si="3"/>
        <v>1071</v>
      </c>
      <c r="M9" s="330"/>
      <c r="N9" s="330">
        <f t="shared" si="3"/>
        <v>837</v>
      </c>
      <c r="O9" s="330"/>
      <c r="P9" s="330">
        <f t="shared" si="3"/>
        <v>2416</v>
      </c>
      <c r="Q9" s="330"/>
      <c r="R9" s="330">
        <f t="shared" si="3"/>
        <v>27348</v>
      </c>
      <c r="S9" s="578"/>
      <c r="T9" s="277">
        <v>2017</v>
      </c>
      <c r="U9" s="332"/>
      <c r="W9" s="333"/>
    </row>
    <row r="10" spans="2:37" ht="15" customHeight="1">
      <c r="B10" s="310">
        <v>2018</v>
      </c>
      <c r="C10" s="574"/>
      <c r="D10" s="577">
        <f>SUM(D57:D68)</f>
        <v>11258</v>
      </c>
      <c r="E10" s="330"/>
      <c r="F10" s="330">
        <f t="shared" ref="F10:R10" si="4">SUM(F57:F68)</f>
        <v>10349</v>
      </c>
      <c r="G10" s="330"/>
      <c r="H10" s="330">
        <f t="shared" si="4"/>
        <v>4419</v>
      </c>
      <c r="I10" s="330"/>
      <c r="J10" s="330">
        <f t="shared" si="4"/>
        <v>527</v>
      </c>
      <c r="K10" s="330"/>
      <c r="L10" s="330">
        <f t="shared" si="4"/>
        <v>1220</v>
      </c>
      <c r="M10" s="330"/>
      <c r="N10" s="330">
        <f t="shared" si="4"/>
        <v>874</v>
      </c>
      <c r="O10" s="330"/>
      <c r="P10" s="330">
        <f t="shared" si="4"/>
        <v>2460</v>
      </c>
      <c r="Q10" s="330"/>
      <c r="R10" s="330">
        <f t="shared" si="4"/>
        <v>31107</v>
      </c>
      <c r="S10" s="578"/>
      <c r="T10" s="277">
        <v>2018</v>
      </c>
      <c r="U10" s="332"/>
      <c r="W10" s="333"/>
    </row>
    <row r="11" spans="2:37" ht="15" customHeight="1">
      <c r="B11" s="310">
        <v>2019</v>
      </c>
      <c r="C11" s="574" t="s">
        <v>302</v>
      </c>
      <c r="D11" s="577">
        <f>SUM(D69:D80)</f>
        <v>10848</v>
      </c>
      <c r="E11" s="330"/>
      <c r="F11" s="330">
        <f t="shared" ref="F11:R11" si="5">SUM(F69:F80)</f>
        <v>10255</v>
      </c>
      <c r="G11" s="330"/>
      <c r="H11" s="330">
        <f t="shared" si="5"/>
        <v>4751</v>
      </c>
      <c r="I11" s="330"/>
      <c r="J11" s="330">
        <f t="shared" si="5"/>
        <v>660</v>
      </c>
      <c r="K11" s="330"/>
      <c r="L11" s="330">
        <f t="shared" si="5"/>
        <v>899</v>
      </c>
      <c r="M11" s="330"/>
      <c r="N11" s="330">
        <f t="shared" si="5"/>
        <v>404</v>
      </c>
      <c r="O11" s="330"/>
      <c r="P11" s="330">
        <f t="shared" si="5"/>
        <v>2442</v>
      </c>
      <c r="Q11" s="330"/>
      <c r="R11" s="330">
        <f t="shared" si="5"/>
        <v>30259</v>
      </c>
      <c r="S11" s="578"/>
      <c r="T11" s="277">
        <v>2019</v>
      </c>
      <c r="U11" s="332" t="s">
        <v>302</v>
      </c>
      <c r="W11" s="333"/>
    </row>
    <row r="12" spans="2:37" ht="15" customHeight="1">
      <c r="B12" s="310">
        <v>2020</v>
      </c>
      <c r="C12" s="574" t="s">
        <v>302</v>
      </c>
      <c r="D12" s="577">
        <f>SUM(D81:D92)</f>
        <v>2283</v>
      </c>
      <c r="E12" s="330"/>
      <c r="F12" s="330">
        <f>SUM(F81:F92)</f>
        <v>2489</v>
      </c>
      <c r="G12" s="330"/>
      <c r="H12" s="330">
        <f t="shared" ref="H12:R12" si="6">SUM(H81:H92)</f>
        <v>634</v>
      </c>
      <c r="I12" s="330"/>
      <c r="J12" s="330">
        <f t="shared" si="6"/>
        <v>64</v>
      </c>
      <c r="K12" s="330"/>
      <c r="L12" s="330">
        <f t="shared" si="6"/>
        <v>205</v>
      </c>
      <c r="M12" s="330"/>
      <c r="N12" s="330">
        <f t="shared" si="6"/>
        <v>47</v>
      </c>
      <c r="O12" s="330"/>
      <c r="P12" s="330">
        <f t="shared" si="6"/>
        <v>512</v>
      </c>
      <c r="Q12" s="330"/>
      <c r="R12" s="330">
        <f t="shared" si="6"/>
        <v>6234</v>
      </c>
      <c r="S12" s="578"/>
      <c r="T12" s="277">
        <v>2020</v>
      </c>
      <c r="U12" s="332" t="s">
        <v>302</v>
      </c>
      <c r="W12" s="333"/>
    </row>
    <row r="13" spans="2:37" hidden="1">
      <c r="B13" s="310">
        <v>2014</v>
      </c>
      <c r="C13" s="574" t="s">
        <v>4</v>
      </c>
      <c r="D13" s="569">
        <v>424</v>
      </c>
      <c r="E13" s="283"/>
      <c r="F13" s="283">
        <v>352</v>
      </c>
      <c r="G13" s="283"/>
      <c r="H13" s="283">
        <v>148</v>
      </c>
      <c r="I13" s="283"/>
      <c r="J13" s="283">
        <v>62</v>
      </c>
      <c r="K13" s="283"/>
      <c r="L13" s="283">
        <v>36</v>
      </c>
      <c r="M13" s="283"/>
      <c r="N13" s="546">
        <v>33</v>
      </c>
      <c r="O13" s="546"/>
      <c r="P13" s="274">
        <v>80</v>
      </c>
      <c r="Q13" s="274"/>
      <c r="R13" s="274">
        <f>SUM(D13:P13)</f>
        <v>1135</v>
      </c>
      <c r="S13" s="579"/>
      <c r="T13" s="276">
        <v>2014</v>
      </c>
      <c r="U13" s="118" t="s">
        <v>77</v>
      </c>
    </row>
    <row r="14" spans="2:37" hidden="1">
      <c r="B14" s="310">
        <v>2014</v>
      </c>
      <c r="C14" s="574" t="s">
        <v>30</v>
      </c>
      <c r="D14" s="569">
        <v>866</v>
      </c>
      <c r="E14" s="283"/>
      <c r="F14" s="283">
        <v>694</v>
      </c>
      <c r="G14" s="283"/>
      <c r="H14" s="283">
        <v>307</v>
      </c>
      <c r="I14" s="283"/>
      <c r="J14" s="283">
        <v>92</v>
      </c>
      <c r="K14" s="283"/>
      <c r="L14" s="283">
        <v>62</v>
      </c>
      <c r="M14" s="283"/>
      <c r="N14" s="546">
        <v>66</v>
      </c>
      <c r="O14" s="546"/>
      <c r="P14" s="274">
        <v>155</v>
      </c>
      <c r="Q14" s="274"/>
      <c r="R14" s="274">
        <f t="shared" ref="R14:R21" si="7">SUM(D14:P14)</f>
        <v>2242</v>
      </c>
      <c r="S14" s="579"/>
      <c r="T14" s="276">
        <v>2014</v>
      </c>
      <c r="U14" s="118" t="s">
        <v>78</v>
      </c>
    </row>
    <row r="15" spans="2:37" hidden="1">
      <c r="B15" s="310">
        <v>2014</v>
      </c>
      <c r="C15" s="574" t="s">
        <v>36</v>
      </c>
      <c r="D15" s="569">
        <v>1293</v>
      </c>
      <c r="E15" s="283"/>
      <c r="F15" s="283">
        <v>983</v>
      </c>
      <c r="G15" s="283"/>
      <c r="H15" s="283">
        <v>355</v>
      </c>
      <c r="I15" s="283"/>
      <c r="J15" s="283">
        <v>78</v>
      </c>
      <c r="K15" s="283"/>
      <c r="L15" s="283">
        <v>109</v>
      </c>
      <c r="M15" s="283"/>
      <c r="N15" s="546">
        <v>78</v>
      </c>
      <c r="O15" s="546"/>
      <c r="P15" s="274">
        <v>230</v>
      </c>
      <c r="Q15" s="274"/>
      <c r="R15" s="274">
        <f t="shared" si="7"/>
        <v>3126</v>
      </c>
      <c r="S15" s="579"/>
      <c r="T15" s="276">
        <v>2014</v>
      </c>
      <c r="U15" s="118" t="s">
        <v>79</v>
      </c>
      <c r="Z15" s="286"/>
    </row>
    <row r="16" spans="2:37" hidden="1">
      <c r="B16" s="310">
        <v>2014</v>
      </c>
      <c r="C16" s="574" t="s">
        <v>37</v>
      </c>
      <c r="D16" s="569">
        <v>1248</v>
      </c>
      <c r="E16" s="283"/>
      <c r="F16" s="283">
        <v>815</v>
      </c>
      <c r="G16" s="283"/>
      <c r="H16" s="283">
        <v>405</v>
      </c>
      <c r="I16" s="283"/>
      <c r="J16" s="283">
        <v>26</v>
      </c>
      <c r="K16" s="283"/>
      <c r="L16" s="283">
        <v>134</v>
      </c>
      <c r="M16" s="283"/>
      <c r="N16" s="283">
        <v>131</v>
      </c>
      <c r="O16" s="283"/>
      <c r="P16" s="274">
        <v>226</v>
      </c>
      <c r="Q16" s="274"/>
      <c r="R16" s="274">
        <f t="shared" si="7"/>
        <v>2985</v>
      </c>
      <c r="S16" s="579"/>
      <c r="T16" s="276">
        <v>2014</v>
      </c>
      <c r="U16" s="118" t="s">
        <v>80</v>
      </c>
    </row>
    <row r="17" spans="2:35" hidden="1">
      <c r="B17" s="310">
        <v>2014</v>
      </c>
      <c r="C17" s="574" t="s">
        <v>31</v>
      </c>
      <c r="D17" s="569">
        <v>715</v>
      </c>
      <c r="E17" s="283"/>
      <c r="F17" s="283">
        <v>510</v>
      </c>
      <c r="G17" s="283"/>
      <c r="H17" s="283">
        <v>257</v>
      </c>
      <c r="I17" s="283"/>
      <c r="J17" s="283">
        <v>63</v>
      </c>
      <c r="K17" s="283"/>
      <c r="L17" s="283">
        <v>118</v>
      </c>
      <c r="M17" s="283"/>
      <c r="N17" s="283">
        <v>86</v>
      </c>
      <c r="O17" s="283"/>
      <c r="P17" s="274">
        <v>189</v>
      </c>
      <c r="Q17" s="274"/>
      <c r="R17" s="274">
        <f t="shared" si="7"/>
        <v>1938</v>
      </c>
      <c r="S17" s="579"/>
      <c r="T17" s="276">
        <v>2014</v>
      </c>
      <c r="U17" s="118" t="s">
        <v>31</v>
      </c>
    </row>
    <row r="18" spans="2:35" hidden="1">
      <c r="B18" s="310">
        <v>2014</v>
      </c>
      <c r="C18" s="574" t="s">
        <v>38</v>
      </c>
      <c r="D18" s="569">
        <v>884</v>
      </c>
      <c r="E18" s="283"/>
      <c r="F18" s="283">
        <v>670</v>
      </c>
      <c r="G18" s="283"/>
      <c r="H18" s="283">
        <v>228</v>
      </c>
      <c r="I18" s="283"/>
      <c r="J18" s="283">
        <v>37</v>
      </c>
      <c r="K18" s="283"/>
      <c r="L18" s="283">
        <v>82</v>
      </c>
      <c r="M18" s="283"/>
      <c r="N18" s="283">
        <v>57</v>
      </c>
      <c r="O18" s="283"/>
      <c r="P18" s="274">
        <v>258</v>
      </c>
      <c r="Q18" s="274"/>
      <c r="R18" s="274">
        <f t="shared" si="7"/>
        <v>2216</v>
      </c>
      <c r="S18" s="579"/>
      <c r="T18" s="276">
        <v>2014</v>
      </c>
      <c r="U18" s="118" t="s">
        <v>38</v>
      </c>
    </row>
    <row r="19" spans="2:35" hidden="1">
      <c r="B19" s="310">
        <v>2014</v>
      </c>
      <c r="C19" s="574" t="s">
        <v>39</v>
      </c>
      <c r="D19" s="569">
        <v>499</v>
      </c>
      <c r="E19" s="283"/>
      <c r="F19" s="283">
        <v>366</v>
      </c>
      <c r="G19" s="283"/>
      <c r="H19" s="283">
        <v>255</v>
      </c>
      <c r="I19" s="283"/>
      <c r="J19" s="283">
        <v>8</v>
      </c>
      <c r="K19" s="283"/>
      <c r="L19" s="283">
        <v>65</v>
      </c>
      <c r="M19" s="283"/>
      <c r="N19" s="283">
        <v>51</v>
      </c>
      <c r="O19" s="283"/>
      <c r="P19" s="274">
        <v>145</v>
      </c>
      <c r="Q19" s="274"/>
      <c r="R19" s="274">
        <f t="shared" si="7"/>
        <v>1389</v>
      </c>
      <c r="S19" s="579"/>
      <c r="T19" s="276">
        <v>2014</v>
      </c>
      <c r="U19" s="118" t="s">
        <v>39</v>
      </c>
    </row>
    <row r="20" spans="2:35" hidden="1">
      <c r="B20" s="310">
        <v>2014</v>
      </c>
      <c r="C20" s="574" t="s">
        <v>32</v>
      </c>
      <c r="D20" s="569">
        <v>414</v>
      </c>
      <c r="E20" s="283"/>
      <c r="F20" s="283">
        <v>349</v>
      </c>
      <c r="G20" s="283"/>
      <c r="H20" s="283">
        <v>189</v>
      </c>
      <c r="I20" s="283"/>
      <c r="J20" s="283">
        <v>13</v>
      </c>
      <c r="K20" s="283"/>
      <c r="L20" s="283">
        <v>30</v>
      </c>
      <c r="M20" s="283"/>
      <c r="N20" s="283">
        <v>19</v>
      </c>
      <c r="O20" s="283"/>
      <c r="P20" s="274">
        <v>66</v>
      </c>
      <c r="Q20" s="274"/>
      <c r="R20" s="274">
        <f t="shared" si="7"/>
        <v>1080</v>
      </c>
      <c r="S20" s="579"/>
      <c r="T20" s="276">
        <v>2014</v>
      </c>
      <c r="U20" s="118" t="s">
        <v>32</v>
      </c>
    </row>
    <row r="21" spans="2:35" hidden="1">
      <c r="B21" s="529">
        <v>2015</v>
      </c>
      <c r="C21" s="631" t="s">
        <v>33</v>
      </c>
      <c r="D21" s="580">
        <v>611</v>
      </c>
      <c r="E21" s="530"/>
      <c r="F21" s="530">
        <v>420</v>
      </c>
      <c r="G21" s="530"/>
      <c r="H21" s="530">
        <v>261</v>
      </c>
      <c r="I21" s="530"/>
      <c r="J21" s="530">
        <v>15</v>
      </c>
      <c r="K21" s="530"/>
      <c r="L21" s="530">
        <v>56</v>
      </c>
      <c r="M21" s="530"/>
      <c r="N21" s="530">
        <v>22</v>
      </c>
      <c r="O21" s="530"/>
      <c r="P21" s="531">
        <v>103</v>
      </c>
      <c r="Q21" s="531"/>
      <c r="R21" s="531">
        <f t="shared" si="7"/>
        <v>1488</v>
      </c>
      <c r="S21" s="581"/>
      <c r="T21" s="572">
        <v>2015</v>
      </c>
      <c r="U21" s="532" t="s">
        <v>33</v>
      </c>
    </row>
    <row r="22" spans="2:35" ht="13.95" hidden="1" customHeight="1">
      <c r="B22" s="310">
        <v>2015</v>
      </c>
      <c r="C22" s="574" t="s">
        <v>34</v>
      </c>
      <c r="D22" s="569">
        <f>'[28]Main Islands visited'!$I$3</f>
        <v>264</v>
      </c>
      <c r="E22" s="283"/>
      <c r="F22" s="283">
        <f>'[28]Main Islands visited'!$H$3</f>
        <v>208</v>
      </c>
      <c r="G22" s="283"/>
      <c r="H22" s="283">
        <f>'[28]Main Islands visited'!$D$3</f>
        <v>46</v>
      </c>
      <c r="I22" s="283"/>
      <c r="J22" s="283">
        <f>'[28]Main Islands visited'!$G$3</f>
        <v>11</v>
      </c>
      <c r="K22" s="283"/>
      <c r="L22" s="283">
        <f>'[28]Main Islands visited'!$E$3</f>
        <v>27</v>
      </c>
      <c r="M22" s="283"/>
      <c r="N22" s="283">
        <f>'[28]Main Islands visited'!$C$3</f>
        <v>25</v>
      </c>
      <c r="O22" s="283"/>
      <c r="P22" s="274">
        <f>'[28]Main Islands visited'!$F$3</f>
        <v>65</v>
      </c>
      <c r="Q22" s="274"/>
      <c r="R22" s="274">
        <f t="shared" ref="R22:R27" si="8">SUM(D22:P22)</f>
        <v>646</v>
      </c>
      <c r="S22" s="579"/>
      <c r="T22" s="276">
        <v>2015</v>
      </c>
      <c r="U22" s="118" t="s">
        <v>75</v>
      </c>
    </row>
    <row r="23" spans="2:35" hidden="1">
      <c r="B23" s="310">
        <v>2015</v>
      </c>
      <c r="C23" s="574" t="s">
        <v>29</v>
      </c>
      <c r="D23" s="569">
        <f>'[28]Main Islands visited'!$I$4</f>
        <v>257</v>
      </c>
      <c r="E23" s="283"/>
      <c r="F23" s="283">
        <f>'[28]Main Islands visited'!$H$4</f>
        <v>249</v>
      </c>
      <c r="G23" s="283"/>
      <c r="H23" s="283">
        <f>'[28]Main Islands visited'!$D$4</f>
        <v>139</v>
      </c>
      <c r="I23" s="283"/>
      <c r="J23" s="283">
        <f>'[28]Main Islands visited'!$G$4</f>
        <v>16</v>
      </c>
      <c r="K23" s="283"/>
      <c r="L23" s="283">
        <f>'[28]Main Islands visited'!$E$4</f>
        <v>42</v>
      </c>
      <c r="M23" s="283"/>
      <c r="N23" s="283">
        <f>'[28]Main Islands visited'!$C$4</f>
        <v>12</v>
      </c>
      <c r="O23" s="283"/>
      <c r="P23" s="274">
        <f>'[28]Main Islands visited'!$F$4</f>
        <v>68</v>
      </c>
      <c r="Q23" s="274"/>
      <c r="R23" s="274">
        <f t="shared" si="8"/>
        <v>783</v>
      </c>
      <c r="S23" s="579"/>
      <c r="T23" s="276">
        <v>2015</v>
      </c>
      <c r="U23" s="118" t="s">
        <v>29</v>
      </c>
    </row>
    <row r="24" spans="2:35" hidden="1">
      <c r="B24" s="310">
        <v>2015</v>
      </c>
      <c r="C24" s="574" t="s">
        <v>35</v>
      </c>
      <c r="D24" s="569">
        <v>352</v>
      </c>
      <c r="E24" s="283"/>
      <c r="F24" s="283">
        <f>'[28]Main Islands visited'!$H$5</f>
        <v>327</v>
      </c>
      <c r="G24" s="283"/>
      <c r="H24" s="283">
        <v>254</v>
      </c>
      <c r="I24" s="283"/>
      <c r="J24" s="283">
        <f>'[28]Main Islands visited'!$G$5</f>
        <v>59</v>
      </c>
      <c r="K24" s="283"/>
      <c r="L24" s="283">
        <v>30</v>
      </c>
      <c r="M24" s="283"/>
      <c r="N24" s="283">
        <f>'[28]Main Islands visited'!$C$5</f>
        <v>38</v>
      </c>
      <c r="O24" s="283"/>
      <c r="P24" s="274">
        <v>136</v>
      </c>
      <c r="Q24" s="274"/>
      <c r="R24" s="274">
        <f t="shared" si="8"/>
        <v>1196</v>
      </c>
      <c r="S24" s="579"/>
      <c r="T24" s="276">
        <v>2015</v>
      </c>
      <c r="U24" s="118" t="s">
        <v>76</v>
      </c>
    </row>
    <row r="25" spans="2:35" ht="14.4" hidden="1">
      <c r="B25" s="310">
        <v>2015</v>
      </c>
      <c r="C25" s="574" t="s">
        <v>4</v>
      </c>
      <c r="D25" s="569">
        <f>'[29]Main Islands visited'!$I$6</f>
        <v>356</v>
      </c>
      <c r="E25" s="283"/>
      <c r="F25" s="283">
        <f>'[29]Main Islands visited'!$H$6</f>
        <v>366</v>
      </c>
      <c r="G25" s="283"/>
      <c r="H25" s="283">
        <f>'[29]Main Islands visited'!$D$6</f>
        <v>258</v>
      </c>
      <c r="I25" s="283"/>
      <c r="J25" s="283">
        <f>'[29]Main Islands visited'!$G$6</f>
        <v>38</v>
      </c>
      <c r="K25" s="283"/>
      <c r="L25" s="283">
        <f>'[29]Main Islands visited'!$E$6</f>
        <v>31</v>
      </c>
      <c r="M25" s="283"/>
      <c r="N25" s="283">
        <f>'[29]Main Islands visited'!$C$6</f>
        <v>39</v>
      </c>
      <c r="O25" s="283"/>
      <c r="P25" s="274">
        <f>'[29]Main Islands visited'!$F$6</f>
        <v>130</v>
      </c>
      <c r="Q25" s="274"/>
      <c r="R25" s="274">
        <f t="shared" si="8"/>
        <v>1218</v>
      </c>
      <c r="S25" s="579"/>
      <c r="T25" s="276">
        <v>2015</v>
      </c>
      <c r="U25" s="118" t="s">
        <v>77</v>
      </c>
      <c r="AA25" s="288"/>
      <c r="AB25" s="289"/>
      <c r="AC25" s="289"/>
      <c r="AD25" s="289"/>
      <c r="AE25" s="289"/>
      <c r="AF25" s="289"/>
      <c r="AG25" s="289"/>
      <c r="AH25" s="289"/>
      <c r="AI25" s="289"/>
    </row>
    <row r="26" spans="2:35" ht="14.4" hidden="1">
      <c r="B26" s="310">
        <v>2015</v>
      </c>
      <c r="C26" s="574" t="s">
        <v>30</v>
      </c>
      <c r="D26" s="569">
        <f>'[29]Main Islands visited'!$I$7</f>
        <v>461</v>
      </c>
      <c r="E26" s="283"/>
      <c r="F26" s="283">
        <f>'[29]Main Islands visited'!$H$7</f>
        <v>559</v>
      </c>
      <c r="G26" s="283"/>
      <c r="H26" s="283">
        <f>'[29]Main Islands visited'!$D$7</f>
        <v>339</v>
      </c>
      <c r="I26" s="283"/>
      <c r="J26" s="283">
        <f>'[29]Main Islands visited'!$G$7</f>
        <v>75</v>
      </c>
      <c r="K26" s="283"/>
      <c r="L26" s="283">
        <f>'[29]Main Islands visited'!$E$7</f>
        <v>90</v>
      </c>
      <c r="M26" s="283"/>
      <c r="N26" s="283">
        <f>'[29]Main Islands visited'!$C$7</f>
        <v>58</v>
      </c>
      <c r="O26" s="283"/>
      <c r="P26" s="274">
        <f>'[29]Main Islands visited'!$F$7</f>
        <v>206</v>
      </c>
      <c r="Q26" s="274"/>
      <c r="R26" s="274">
        <f t="shared" si="8"/>
        <v>1788</v>
      </c>
      <c r="S26" s="579"/>
      <c r="T26" s="276">
        <v>2015</v>
      </c>
      <c r="U26" s="118" t="s">
        <v>78</v>
      </c>
      <c r="AA26" s="288"/>
      <c r="AB26" s="289"/>
      <c r="AC26" s="289"/>
      <c r="AD26" s="289"/>
      <c r="AE26" s="289"/>
      <c r="AF26" s="289"/>
      <c r="AG26" s="323"/>
      <c r="AH26" s="323"/>
      <c r="AI26" s="289"/>
    </row>
    <row r="27" spans="2:35" hidden="1">
      <c r="B27" s="310">
        <v>2015</v>
      </c>
      <c r="C27" s="574" t="s">
        <v>36</v>
      </c>
      <c r="D27" s="569">
        <f>'[29]Main Islands visited'!$I$8</f>
        <v>634</v>
      </c>
      <c r="E27" s="283"/>
      <c r="F27" s="283">
        <f>'[29]Main Islands visited'!$H$8</f>
        <v>663</v>
      </c>
      <c r="G27" s="283"/>
      <c r="H27" s="283">
        <f>'[29]Main Islands visited'!$D$8</f>
        <v>534</v>
      </c>
      <c r="I27" s="283"/>
      <c r="J27" s="283">
        <f>'[29]Main Islands visited'!$G$8</f>
        <v>43</v>
      </c>
      <c r="K27" s="283"/>
      <c r="L27" s="283">
        <f>'[29]Main Islands visited'!$E$8</f>
        <v>87</v>
      </c>
      <c r="M27" s="283"/>
      <c r="N27" s="283">
        <f>'[29]Main Islands visited'!$C$8</f>
        <v>79</v>
      </c>
      <c r="O27" s="283"/>
      <c r="P27" s="274">
        <f>'[29]Main Islands visited'!$F$8</f>
        <v>256</v>
      </c>
      <c r="Q27" s="274"/>
      <c r="R27" s="274">
        <f t="shared" si="8"/>
        <v>2296</v>
      </c>
      <c r="S27" s="579"/>
      <c r="T27" s="276">
        <v>2015</v>
      </c>
      <c r="U27" s="118" t="s">
        <v>79</v>
      </c>
    </row>
    <row r="28" spans="2:35" hidden="1">
      <c r="B28" s="310">
        <v>2015</v>
      </c>
      <c r="C28" s="574" t="s">
        <v>37</v>
      </c>
      <c r="D28" s="569">
        <f>'[29]Main Islands visited'!$I$9</f>
        <v>649</v>
      </c>
      <c r="E28" s="283"/>
      <c r="F28" s="283">
        <f>'[29]Main Islands visited'!$H$9</f>
        <v>659</v>
      </c>
      <c r="G28" s="283"/>
      <c r="H28" s="283">
        <f>'[29]Main Islands visited'!$D$9</f>
        <v>324</v>
      </c>
      <c r="I28" s="283"/>
      <c r="J28" s="283">
        <f>'[29]Main Islands visited'!$G$9</f>
        <v>24</v>
      </c>
      <c r="K28" s="283"/>
      <c r="L28" s="283">
        <f>'[29]Main Islands visited'!$E$9</f>
        <v>149</v>
      </c>
      <c r="M28" s="283"/>
      <c r="N28" s="283">
        <f>'[29]Main Islands visited'!$C$9</f>
        <v>95</v>
      </c>
      <c r="O28" s="283"/>
      <c r="P28" s="274">
        <f>'[29]Main Islands visited'!$F$9</f>
        <v>236</v>
      </c>
      <c r="Q28" s="274"/>
      <c r="R28" s="274">
        <f>'[29]Main Islands visited'!$B$9</f>
        <v>2136</v>
      </c>
      <c r="S28" s="579"/>
      <c r="T28" s="276">
        <v>2015</v>
      </c>
      <c r="U28" s="118" t="s">
        <v>80</v>
      </c>
    </row>
    <row r="29" spans="2:35" ht="15" hidden="1" customHeight="1">
      <c r="B29" s="310">
        <v>2015</v>
      </c>
      <c r="C29" s="574" t="s">
        <v>31</v>
      </c>
      <c r="D29" s="569">
        <f>'[29]Main Islands visited'!$I$10</f>
        <v>515</v>
      </c>
      <c r="E29" s="283"/>
      <c r="F29" s="283">
        <f>'[29]Main Islands visited'!$H$10</f>
        <v>458</v>
      </c>
      <c r="G29" s="283"/>
      <c r="H29" s="283">
        <f>'[29]Main Islands visited'!$D$10</f>
        <v>395</v>
      </c>
      <c r="I29" s="283"/>
      <c r="J29" s="283">
        <f>'[29]Main Islands visited'!$G$10</f>
        <v>14</v>
      </c>
      <c r="K29" s="283"/>
      <c r="L29" s="283">
        <f>'[29]Main Islands visited'!$E$10</f>
        <v>88</v>
      </c>
      <c r="M29" s="283"/>
      <c r="N29" s="283">
        <f>'[29]Main Islands visited'!$C$10</f>
        <v>54</v>
      </c>
      <c r="O29" s="283"/>
      <c r="P29" s="283">
        <f>'[29]Main Islands visited'!$F$10</f>
        <v>139</v>
      </c>
      <c r="Q29" s="283"/>
      <c r="R29" s="283">
        <f>'[29]Main Islands visited'!$B$10</f>
        <v>1663</v>
      </c>
      <c r="S29" s="570"/>
      <c r="T29" s="276">
        <v>2015</v>
      </c>
      <c r="U29" s="118" t="s">
        <v>31</v>
      </c>
    </row>
    <row r="30" spans="2:35" ht="15" hidden="1" customHeight="1">
      <c r="B30" s="310">
        <v>2015</v>
      </c>
      <c r="C30" s="574" t="s">
        <v>38</v>
      </c>
      <c r="D30" s="569">
        <v>650</v>
      </c>
      <c r="E30" s="283"/>
      <c r="F30" s="283">
        <v>649</v>
      </c>
      <c r="G30" s="283"/>
      <c r="H30" s="283">
        <v>543</v>
      </c>
      <c r="I30" s="283"/>
      <c r="J30" s="283">
        <v>24</v>
      </c>
      <c r="K30" s="283"/>
      <c r="L30" s="283">
        <v>76</v>
      </c>
      <c r="M30" s="283"/>
      <c r="N30" s="283">
        <v>116</v>
      </c>
      <c r="O30" s="283"/>
      <c r="P30" s="283">
        <v>214</v>
      </c>
      <c r="Q30" s="283"/>
      <c r="R30" s="283">
        <f>SUM(D30:P30)</f>
        <v>2272</v>
      </c>
      <c r="S30" s="570"/>
      <c r="T30" s="276">
        <v>2015</v>
      </c>
      <c r="U30" s="118" t="s">
        <v>38</v>
      </c>
      <c r="W30" s="324"/>
      <c r="X30" s="324"/>
    </row>
    <row r="31" spans="2:35" hidden="1">
      <c r="B31" s="310">
        <v>2015</v>
      </c>
      <c r="C31" s="574" t="s">
        <v>39</v>
      </c>
      <c r="D31" s="569">
        <f>'[30]Main Islands visited'!$K$21</f>
        <v>1472</v>
      </c>
      <c r="E31" s="283"/>
      <c r="F31" s="283">
        <f>'[30]Main Islands visited'!$J$21</f>
        <v>415</v>
      </c>
      <c r="G31" s="283"/>
      <c r="H31" s="283">
        <f>'[30]Main Islands visited'!$F$21</f>
        <v>65</v>
      </c>
      <c r="I31" s="283"/>
      <c r="J31" s="283">
        <f>'[30]Main Islands visited'!$I$21</f>
        <v>441</v>
      </c>
      <c r="K31" s="283"/>
      <c r="L31" s="283">
        <f>'[30]Main Islands visited'!$G$21</f>
        <v>142</v>
      </c>
      <c r="M31" s="283"/>
      <c r="N31" s="283">
        <v>63</v>
      </c>
      <c r="O31" s="283"/>
      <c r="P31" s="283">
        <f>'[30]Main Islands visited'!$H$21</f>
        <v>9</v>
      </c>
      <c r="Q31" s="283"/>
      <c r="R31" s="283">
        <f>SUM(D31:P31)</f>
        <v>2607</v>
      </c>
      <c r="S31" s="570"/>
      <c r="T31" s="276">
        <v>2015</v>
      </c>
      <c r="U31" s="118" t="s">
        <v>39</v>
      </c>
    </row>
    <row r="32" spans="2:35" ht="15" hidden="1" customHeight="1">
      <c r="B32" s="310">
        <v>2015</v>
      </c>
      <c r="C32" s="574" t="s">
        <v>32</v>
      </c>
      <c r="D32" s="569">
        <f>'[30]Main Islands visited'!$K$22</f>
        <v>1074</v>
      </c>
      <c r="E32" s="283"/>
      <c r="F32" s="283">
        <f>'[30]Main Islands visited'!$J$22</f>
        <v>369</v>
      </c>
      <c r="G32" s="283"/>
      <c r="H32" s="283">
        <f>'[30]Main Islands visited'!$F$22</f>
        <v>43</v>
      </c>
      <c r="I32" s="283"/>
      <c r="J32" s="283">
        <f>'[30]Main Islands visited'!$I$22</f>
        <v>333</v>
      </c>
      <c r="K32" s="283"/>
      <c r="L32" s="283">
        <f>'[30]Main Islands visited'!$G$22</f>
        <v>127</v>
      </c>
      <c r="M32" s="283"/>
      <c r="N32" s="283">
        <f>'[30]Main Islands visited'!$E$22</f>
        <v>174</v>
      </c>
      <c r="O32" s="283"/>
      <c r="P32" s="283">
        <f>'[30]Main Islands visited'!$H$22</f>
        <v>10</v>
      </c>
      <c r="Q32" s="283"/>
      <c r="R32" s="283">
        <f>SUM(D32:P32)</f>
        <v>2130</v>
      </c>
      <c r="S32" s="570"/>
      <c r="T32" s="276">
        <v>2015</v>
      </c>
      <c r="U32" s="118" t="s">
        <v>32</v>
      </c>
    </row>
    <row r="33" spans="2:21" ht="15" customHeight="1">
      <c r="B33" s="310">
        <v>2016</v>
      </c>
      <c r="C33" s="574" t="s">
        <v>33</v>
      </c>
      <c r="D33" s="569">
        <f>'[30]Main Islands visited'!$K$24</f>
        <v>814</v>
      </c>
      <c r="E33" s="283"/>
      <c r="F33" s="283">
        <f>'[30]Main Islands visited'!$J$24</f>
        <v>222</v>
      </c>
      <c r="G33" s="283"/>
      <c r="H33" s="283">
        <f>'[30]Main Islands visited'!$F$24</f>
        <v>33</v>
      </c>
      <c r="I33" s="283"/>
      <c r="J33" s="283">
        <f>'[30]Main Islands visited'!$I$24</f>
        <v>303</v>
      </c>
      <c r="K33" s="283"/>
      <c r="L33" s="283">
        <f>'[30]Main Islands visited'!$G$24</f>
        <v>66</v>
      </c>
      <c r="M33" s="283"/>
      <c r="N33" s="283">
        <f>'[30]Main Islands visited'!$E$24</f>
        <v>161</v>
      </c>
      <c r="O33" s="283"/>
      <c r="P33" s="283">
        <f>'[30]Main Islands visited'!$H$24</f>
        <v>15</v>
      </c>
      <c r="Q33" s="283"/>
      <c r="R33" s="283">
        <f>SUM(D33:P33)</f>
        <v>1614</v>
      </c>
      <c r="S33" s="570"/>
      <c r="T33" s="276">
        <v>2016</v>
      </c>
      <c r="U33" s="118" t="s">
        <v>33</v>
      </c>
    </row>
    <row r="34" spans="2:21" ht="13.95" hidden="1" customHeight="1">
      <c r="B34" s="310">
        <v>2016</v>
      </c>
      <c r="C34" s="574" t="s">
        <v>34</v>
      </c>
      <c r="D34" s="569">
        <f>'[31]Main islands visited'!$E$71</f>
        <v>359</v>
      </c>
      <c r="E34" s="283"/>
      <c r="F34" s="283">
        <f>'[31]Main islands visited'!$E$66</f>
        <v>342</v>
      </c>
      <c r="G34" s="283"/>
      <c r="H34" s="283">
        <f>'[31]Main islands visited'!$E$68</f>
        <v>200</v>
      </c>
      <c r="I34" s="283"/>
      <c r="J34" s="283">
        <f>'[31]Main islands visited'!$E$69</f>
        <v>13</v>
      </c>
      <c r="K34" s="283"/>
      <c r="L34" s="283">
        <f>'[31]Main islands visited'!$E$70</f>
        <v>44</v>
      </c>
      <c r="M34" s="283"/>
      <c r="N34" s="283">
        <f>'[31]Main islands visited'!$E$67</f>
        <v>29</v>
      </c>
      <c r="O34" s="283"/>
      <c r="P34" s="283">
        <f>'[31]Main islands visited'!$E$65</f>
        <v>69</v>
      </c>
      <c r="Q34" s="283"/>
      <c r="R34" s="283">
        <f>D34+F34+H34+J34+L34+N34+P34</f>
        <v>1056</v>
      </c>
      <c r="S34" s="570"/>
      <c r="T34" s="276">
        <v>2016</v>
      </c>
      <c r="U34" s="118" t="s">
        <v>75</v>
      </c>
    </row>
    <row r="35" spans="2:21" ht="15" hidden="1" customHeight="1">
      <c r="B35" s="310">
        <v>2016</v>
      </c>
      <c r="C35" s="574" t="s">
        <v>29</v>
      </c>
      <c r="D35" s="569">
        <f>'[30]Main Islands visited'!$J$26</f>
        <v>100</v>
      </c>
      <c r="E35" s="283"/>
      <c r="F35" s="283">
        <f>'[30]Main Islands visited'!$I$26</f>
        <v>108</v>
      </c>
      <c r="G35" s="283"/>
      <c r="H35" s="283">
        <f>'[30]Main Islands visited'!$E$26</f>
        <v>83</v>
      </c>
      <c r="I35" s="283"/>
      <c r="J35" s="283">
        <f>'[30]Main Islands visited'!$H$26</f>
        <v>5</v>
      </c>
      <c r="K35" s="283"/>
      <c r="L35" s="283">
        <f>'[30]Main Islands visited'!$F$26</f>
        <v>24</v>
      </c>
      <c r="M35" s="283"/>
      <c r="N35" s="283">
        <f>'[30]Main Islands visited'!$D$26</f>
        <v>7</v>
      </c>
      <c r="O35" s="283"/>
      <c r="P35" s="283">
        <f>'[30]Main Islands visited'!$G$26</f>
        <v>32</v>
      </c>
      <c r="Q35" s="283"/>
      <c r="R35" s="283">
        <f>D35+F35+H35+J35+L35+N35+P35</f>
        <v>359</v>
      </c>
      <c r="S35" s="570"/>
      <c r="T35" s="276">
        <v>2016</v>
      </c>
      <c r="U35" s="118" t="s">
        <v>29</v>
      </c>
    </row>
    <row r="36" spans="2:21" ht="15" hidden="1" customHeight="1">
      <c r="B36" s="310">
        <v>2016</v>
      </c>
      <c r="C36" s="574" t="s">
        <v>35</v>
      </c>
      <c r="D36" s="569">
        <f>'[30]Main Islands visited'!$J$27</f>
        <v>576</v>
      </c>
      <c r="E36" s="283"/>
      <c r="F36" s="283">
        <f>'[30]Main Islands visited'!$I$27</f>
        <v>552</v>
      </c>
      <c r="G36" s="283"/>
      <c r="H36" s="283">
        <f>'[30]Main Islands visited'!$E$27</f>
        <v>321</v>
      </c>
      <c r="I36" s="283"/>
      <c r="J36" s="283">
        <f>'[30]Main Islands visited'!$H$27</f>
        <v>54</v>
      </c>
      <c r="K36" s="283"/>
      <c r="L36" s="283">
        <f>'[30]Main Islands visited'!$F$27</f>
        <v>54</v>
      </c>
      <c r="M36" s="283"/>
      <c r="N36" s="283">
        <f>'[30]Main Islands visited'!$D$27</f>
        <v>39</v>
      </c>
      <c r="O36" s="283"/>
      <c r="P36" s="283">
        <f>'[30]Main Islands visited'!$G$27</f>
        <v>110</v>
      </c>
      <c r="Q36" s="283"/>
      <c r="R36" s="283">
        <f>SUM(D36:P36)</f>
        <v>1706</v>
      </c>
      <c r="S36" s="570"/>
      <c r="T36" s="276">
        <v>2016</v>
      </c>
      <c r="U36" s="118" t="s">
        <v>76</v>
      </c>
    </row>
    <row r="37" spans="2:21" hidden="1">
      <c r="B37" s="310">
        <v>2016</v>
      </c>
      <c r="C37" s="574" t="s">
        <v>4</v>
      </c>
      <c r="D37" s="569">
        <f>'[30]Main Islands visited'!$J$28</f>
        <v>578</v>
      </c>
      <c r="E37" s="283"/>
      <c r="F37" s="283">
        <f>'[30]Main Islands visited'!$I$28</f>
        <v>529</v>
      </c>
      <c r="G37" s="283"/>
      <c r="H37" s="283">
        <f>'[30]Main Islands visited'!$E$28</f>
        <v>270</v>
      </c>
      <c r="I37" s="283"/>
      <c r="J37" s="283">
        <f>'[30]Main Islands visited'!$H$28</f>
        <v>87</v>
      </c>
      <c r="K37" s="283"/>
      <c r="L37" s="283">
        <f>'[30]Main Islands visited'!$F$28</f>
        <v>49</v>
      </c>
      <c r="M37" s="283"/>
      <c r="N37" s="283">
        <f>'[30]Main Islands visited'!$D$28</f>
        <v>81</v>
      </c>
      <c r="O37" s="283"/>
      <c r="P37" s="283">
        <f>'[30]Main Islands visited'!$G$28</f>
        <v>147</v>
      </c>
      <c r="Q37" s="283"/>
      <c r="R37" s="283">
        <f>SUM(D37:P37)</f>
        <v>1741</v>
      </c>
      <c r="S37" s="570"/>
      <c r="T37" s="276">
        <v>2016</v>
      </c>
      <c r="U37" s="118" t="s">
        <v>77</v>
      </c>
    </row>
    <row r="38" spans="2:21" ht="15" hidden="1" customHeight="1">
      <c r="B38" s="310">
        <v>2016</v>
      </c>
      <c r="C38" s="574" t="s">
        <v>30</v>
      </c>
      <c r="D38" s="569">
        <f>'[30]Main Islands visited'!$J$29</f>
        <v>800</v>
      </c>
      <c r="E38" s="283"/>
      <c r="F38" s="283">
        <f>'[30]Main Islands visited'!$I$29</f>
        <v>745</v>
      </c>
      <c r="G38" s="283"/>
      <c r="H38" s="283">
        <f>'[30]Main Islands visited'!$E$29</f>
        <v>490</v>
      </c>
      <c r="I38" s="283"/>
      <c r="J38" s="283">
        <f>'[30]Main Islands visited'!$H$29</f>
        <v>190</v>
      </c>
      <c r="K38" s="283"/>
      <c r="L38" s="283">
        <f>'[30]Main Islands visited'!$F$29</f>
        <v>113</v>
      </c>
      <c r="M38" s="283"/>
      <c r="N38" s="283">
        <f>'[30]Main Islands visited'!$D$29</f>
        <v>97</v>
      </c>
      <c r="O38" s="283"/>
      <c r="P38" s="283">
        <f>'[30]Main Islands visited'!$G$29</f>
        <v>238</v>
      </c>
      <c r="Q38" s="283"/>
      <c r="R38" s="283">
        <f>SUM(D38:P38)</f>
        <v>2673</v>
      </c>
      <c r="S38" s="570"/>
      <c r="T38" s="276">
        <v>2016</v>
      </c>
      <c r="U38" s="118" t="s">
        <v>78</v>
      </c>
    </row>
    <row r="39" spans="2:21" hidden="1">
      <c r="B39" s="310">
        <v>2016</v>
      </c>
      <c r="C39" s="574" t="s">
        <v>36</v>
      </c>
      <c r="D39" s="569">
        <f>'[30]Main Islands visited'!$J$30</f>
        <v>1225</v>
      </c>
      <c r="E39" s="283"/>
      <c r="F39" s="283">
        <f>'[30]Main Islands visited'!$I$30</f>
        <v>1244</v>
      </c>
      <c r="G39" s="283"/>
      <c r="H39" s="283">
        <f>'[30]Main Islands visited'!$E$30</f>
        <v>954</v>
      </c>
      <c r="I39" s="283"/>
      <c r="J39" s="283">
        <f>'[30]Main Islands visited'!$H$30</f>
        <v>53</v>
      </c>
      <c r="K39" s="283"/>
      <c r="L39" s="283">
        <f>'[30]Main Islands visited'!$F$30</f>
        <v>132</v>
      </c>
      <c r="M39" s="283"/>
      <c r="N39" s="283">
        <f>'[30]Main Islands visited'!$D$30</f>
        <v>104</v>
      </c>
      <c r="O39" s="283"/>
      <c r="P39" s="283">
        <f>'[30]Main Islands visited'!$G$30</f>
        <v>371</v>
      </c>
      <c r="Q39" s="283"/>
      <c r="R39" s="283">
        <f>SUM(D39:P39)</f>
        <v>4083</v>
      </c>
      <c r="S39" s="570"/>
      <c r="T39" s="276">
        <v>2016</v>
      </c>
      <c r="U39" s="118" t="s">
        <v>79</v>
      </c>
    </row>
    <row r="40" spans="2:21" ht="15" hidden="1" customHeight="1">
      <c r="B40" s="310">
        <v>2016</v>
      </c>
      <c r="C40" s="574" t="s">
        <v>37</v>
      </c>
      <c r="D40" s="569">
        <v>1073</v>
      </c>
      <c r="E40" s="283"/>
      <c r="F40" s="283">
        <v>1003</v>
      </c>
      <c r="G40" s="283"/>
      <c r="H40" s="283">
        <v>547</v>
      </c>
      <c r="I40" s="283"/>
      <c r="J40" s="283">
        <v>45</v>
      </c>
      <c r="K40" s="283"/>
      <c r="L40" s="283">
        <v>145</v>
      </c>
      <c r="M40" s="283"/>
      <c r="N40" s="283">
        <v>99</v>
      </c>
      <c r="O40" s="283"/>
      <c r="P40" s="283">
        <v>297</v>
      </c>
      <c r="Q40" s="283"/>
      <c r="R40" s="364">
        <v>3209</v>
      </c>
      <c r="S40" s="570"/>
      <c r="T40" s="276">
        <v>2016</v>
      </c>
      <c r="U40" s="118" t="s">
        <v>80</v>
      </c>
    </row>
    <row r="41" spans="2:21" ht="15" hidden="1" customHeight="1">
      <c r="B41" s="310">
        <v>2016</v>
      </c>
      <c r="C41" s="574" t="s">
        <v>31</v>
      </c>
      <c r="D41" s="569">
        <v>821</v>
      </c>
      <c r="E41" s="283"/>
      <c r="F41" s="283">
        <v>830</v>
      </c>
      <c r="G41" s="283"/>
      <c r="H41" s="283">
        <v>620</v>
      </c>
      <c r="I41" s="283"/>
      <c r="J41" s="283">
        <v>23</v>
      </c>
      <c r="K41" s="283">
        <v>45</v>
      </c>
      <c r="L41" s="283">
        <v>45</v>
      </c>
      <c r="M41" s="283"/>
      <c r="N41" s="283">
        <v>129</v>
      </c>
      <c r="O41" s="283"/>
      <c r="P41" s="283">
        <v>324</v>
      </c>
      <c r="Q41" s="283"/>
      <c r="R41" s="283">
        <v>2792</v>
      </c>
      <c r="S41" s="570"/>
      <c r="T41" s="276">
        <v>2016</v>
      </c>
      <c r="U41" s="118" t="s">
        <v>31</v>
      </c>
    </row>
    <row r="42" spans="2:21" ht="15" hidden="1" customHeight="1">
      <c r="B42" s="310">
        <v>2016</v>
      </c>
      <c r="C42" s="574" t="s">
        <v>38</v>
      </c>
      <c r="D42" s="569">
        <f>'[30]Main Islands visited'!$J$33</f>
        <v>363</v>
      </c>
      <c r="E42" s="283"/>
      <c r="F42" s="283">
        <f>'[30]Main Islands visited'!$I$33</f>
        <v>334</v>
      </c>
      <c r="G42" s="283"/>
      <c r="H42" s="283">
        <f>'[30]Main Islands visited'!$E$33</f>
        <v>250</v>
      </c>
      <c r="I42" s="283"/>
      <c r="J42" s="283">
        <f>'[30]Main Islands visited'!$H$33</f>
        <v>11</v>
      </c>
      <c r="K42" s="283"/>
      <c r="L42" s="283">
        <f>'[30]Main Islands visited'!$F$33</f>
        <v>41</v>
      </c>
      <c r="M42" s="283"/>
      <c r="N42" s="283">
        <f>'[30]Main Islands visited'!$D$33</f>
        <v>40</v>
      </c>
      <c r="O42" s="283"/>
      <c r="P42" s="283">
        <f>'[30]Main Islands visited'!$G$33</f>
        <v>145</v>
      </c>
      <c r="Q42" s="283"/>
      <c r="R42" s="283">
        <f t="shared" ref="R42:R51" si="9">SUM(D42:P42)</f>
        <v>1184</v>
      </c>
      <c r="S42" s="570"/>
      <c r="T42" s="276">
        <v>2016</v>
      </c>
      <c r="U42" s="118" t="s">
        <v>38</v>
      </c>
    </row>
    <row r="43" spans="2:21" ht="15" hidden="1" customHeight="1">
      <c r="B43" s="310">
        <v>2016</v>
      </c>
      <c r="C43" s="574" t="s">
        <v>39</v>
      </c>
      <c r="D43" s="569">
        <f>'[30]Main Islands visited'!$J$34</f>
        <v>498</v>
      </c>
      <c r="E43" s="283"/>
      <c r="F43" s="283">
        <f>'[30]Main Islands visited'!$I$34</f>
        <v>550</v>
      </c>
      <c r="G43" s="283"/>
      <c r="H43" s="283">
        <f>'[30]Main Islands visited'!$E$34</f>
        <v>304</v>
      </c>
      <c r="I43" s="283"/>
      <c r="J43" s="283">
        <f>'[30]Main Islands visited'!$H$34</f>
        <v>21</v>
      </c>
      <c r="K43" s="283"/>
      <c r="L43" s="283">
        <f>'[30]Main Islands visited'!$F$34</f>
        <v>55</v>
      </c>
      <c r="M43" s="283"/>
      <c r="N43" s="283">
        <f>'[30]Main Islands visited'!$D$34</f>
        <v>43</v>
      </c>
      <c r="O43" s="283"/>
      <c r="P43" s="283">
        <f>'[30]Main Islands visited'!$G$34</f>
        <v>134</v>
      </c>
      <c r="Q43" s="283"/>
      <c r="R43" s="283">
        <f t="shared" si="9"/>
        <v>1605</v>
      </c>
      <c r="S43" s="570"/>
      <c r="T43" s="276">
        <v>2016</v>
      </c>
      <c r="U43" s="118" t="s">
        <v>39</v>
      </c>
    </row>
    <row r="44" spans="2:21" ht="15" hidden="1" customHeight="1">
      <c r="B44" s="310">
        <v>2016</v>
      </c>
      <c r="C44" s="574" t="s">
        <v>32</v>
      </c>
      <c r="D44" s="569">
        <f>'[30]Main Islands visited'!$J$35</f>
        <v>567</v>
      </c>
      <c r="E44" s="283"/>
      <c r="F44" s="283">
        <f>'[30]Main Islands visited'!$I$35</f>
        <v>402</v>
      </c>
      <c r="G44" s="283"/>
      <c r="H44" s="283">
        <f>'[30]Main Islands visited'!$E$35</f>
        <v>256</v>
      </c>
      <c r="I44" s="283"/>
      <c r="J44" s="283">
        <f>'[30]Main Islands visited'!$H$35</f>
        <v>15</v>
      </c>
      <c r="K44" s="283"/>
      <c r="L44" s="283">
        <f>'[30]Main Islands visited'!$F$35</f>
        <v>167</v>
      </c>
      <c r="M44" s="283"/>
      <c r="N44" s="283">
        <f>'[30]Main Islands visited'!$D$35</f>
        <v>34</v>
      </c>
      <c r="O44" s="283"/>
      <c r="P44" s="283">
        <f>'[30]Main Islands visited'!$G$35</f>
        <v>91</v>
      </c>
      <c r="Q44" s="283"/>
      <c r="R44" s="283">
        <f t="shared" si="9"/>
        <v>1532</v>
      </c>
      <c r="S44" s="570"/>
      <c r="T44" s="276">
        <v>2016</v>
      </c>
      <c r="U44" s="118" t="s">
        <v>32</v>
      </c>
    </row>
    <row r="45" spans="2:21" ht="15" customHeight="1">
      <c r="B45" s="310">
        <v>2017</v>
      </c>
      <c r="C45" s="574" t="s">
        <v>33</v>
      </c>
      <c r="D45" s="569">
        <f>'[30]Main Islands visited'!$J$38</f>
        <v>737</v>
      </c>
      <c r="E45" s="283"/>
      <c r="F45" s="283">
        <f>'[30]Main Islands visited'!$I$38</f>
        <v>710</v>
      </c>
      <c r="G45" s="283"/>
      <c r="H45" s="283">
        <f>'[30]Main Islands visited'!$E$38</f>
        <v>141</v>
      </c>
      <c r="I45" s="283"/>
      <c r="J45" s="283">
        <f>'[30]Main Islands visited'!$H$38</f>
        <v>20</v>
      </c>
      <c r="K45" s="283"/>
      <c r="L45" s="283">
        <f>'[30]Main Islands visited'!$F$38</f>
        <v>70</v>
      </c>
      <c r="M45" s="283"/>
      <c r="N45" s="283">
        <f>'[30]Main Islands visited'!$D$38</f>
        <v>46</v>
      </c>
      <c r="O45" s="283"/>
      <c r="P45" s="283">
        <f>'[30]Main Islands visited'!$G$38</f>
        <v>65</v>
      </c>
      <c r="Q45" s="283"/>
      <c r="R45" s="283">
        <f t="shared" si="9"/>
        <v>1789</v>
      </c>
      <c r="S45" s="570"/>
      <c r="T45" s="276">
        <v>2017</v>
      </c>
      <c r="U45" s="118" t="s">
        <v>33</v>
      </c>
    </row>
    <row r="46" spans="2:21" ht="13.95" hidden="1" customHeight="1">
      <c r="B46" s="310">
        <v>2017</v>
      </c>
      <c r="C46" s="574" t="s">
        <v>34</v>
      </c>
      <c r="D46" s="569">
        <f>'[30]Main Islands visited'!$J$39</f>
        <v>349</v>
      </c>
      <c r="E46" s="283"/>
      <c r="F46" s="283">
        <f>'[30]Main Islands visited'!$I$39</f>
        <v>311</v>
      </c>
      <c r="G46" s="283"/>
      <c r="H46" s="283">
        <f>'[30]Main Islands visited'!$E$39</f>
        <v>65</v>
      </c>
      <c r="I46" s="283"/>
      <c r="J46" s="283">
        <f>'[30]Main Islands visited'!$H$39</f>
        <v>11</v>
      </c>
      <c r="K46" s="283"/>
      <c r="L46" s="283">
        <f>'[30]Main Islands visited'!$F$39</f>
        <v>36</v>
      </c>
      <c r="M46" s="283"/>
      <c r="N46" s="283">
        <f>'[30]Main Islands visited'!$D$39</f>
        <v>21</v>
      </c>
      <c r="O46" s="283"/>
      <c r="P46" s="283">
        <f>'[30]Main Islands visited'!$G$39</f>
        <v>72</v>
      </c>
      <c r="Q46" s="283"/>
      <c r="R46" s="283">
        <f t="shared" si="9"/>
        <v>865</v>
      </c>
      <c r="S46" s="570"/>
      <c r="T46" s="276">
        <v>2017</v>
      </c>
      <c r="U46" s="118" t="s">
        <v>75</v>
      </c>
    </row>
    <row r="47" spans="2:21" ht="15" hidden="1" customHeight="1">
      <c r="B47" s="310">
        <v>2017</v>
      </c>
      <c r="C47" s="574" t="s">
        <v>29</v>
      </c>
      <c r="D47" s="569">
        <f>'[30]Main Islands visited'!$J$40</f>
        <v>479</v>
      </c>
      <c r="E47" s="283"/>
      <c r="F47" s="283">
        <f>'[30]Main Islands visited'!$I$40</f>
        <v>513</v>
      </c>
      <c r="G47" s="283"/>
      <c r="H47" s="283">
        <f>'[30]Main Islands visited'!$E$40</f>
        <v>212</v>
      </c>
      <c r="I47" s="283"/>
      <c r="J47" s="283">
        <f>'[30]Main Islands visited'!$H$40</f>
        <v>4</v>
      </c>
      <c r="K47" s="283"/>
      <c r="L47" s="283">
        <f>'[30]Main Islands visited'!$F$40</f>
        <v>59</v>
      </c>
      <c r="M47" s="283"/>
      <c r="N47" s="283">
        <f>'[30]Main Islands visited'!$D$40</f>
        <v>51</v>
      </c>
      <c r="O47" s="283"/>
      <c r="P47" s="283">
        <f>'[30]Main Islands visited'!$G$40</f>
        <v>76</v>
      </c>
      <c r="Q47" s="283"/>
      <c r="R47" s="283">
        <f t="shared" si="9"/>
        <v>1394</v>
      </c>
      <c r="S47" s="570"/>
      <c r="T47" s="276">
        <v>2017</v>
      </c>
      <c r="U47" s="118" t="s">
        <v>29</v>
      </c>
    </row>
    <row r="48" spans="2:21" ht="15" hidden="1" customHeight="1">
      <c r="B48" s="310">
        <v>2017</v>
      </c>
      <c r="C48" s="574" t="s">
        <v>35</v>
      </c>
      <c r="D48" s="569">
        <f>'[30]Main Islands visited'!$J$41</f>
        <v>850</v>
      </c>
      <c r="E48" s="283"/>
      <c r="F48" s="283">
        <f>'[30]Main Islands visited'!$I$41</f>
        <v>618</v>
      </c>
      <c r="G48" s="283"/>
      <c r="H48" s="283">
        <f>'[30]Main Islands visited'!$E$41</f>
        <v>410</v>
      </c>
      <c r="I48" s="283"/>
      <c r="J48" s="283">
        <f>'[30]Main Islands visited'!$H$41</f>
        <v>76</v>
      </c>
      <c r="K48" s="283"/>
      <c r="L48" s="283">
        <f>'[30]Main Islands visited'!$F$41</f>
        <v>64</v>
      </c>
      <c r="M48" s="283"/>
      <c r="N48" s="283">
        <f>'[30]Main Islands visited'!$D$41</f>
        <v>54</v>
      </c>
      <c r="O48" s="283"/>
      <c r="P48" s="283">
        <f>'[30]Main Islands visited'!$G$41</f>
        <v>163</v>
      </c>
      <c r="Q48" s="283"/>
      <c r="R48" s="283">
        <f t="shared" si="9"/>
        <v>2235</v>
      </c>
      <c r="S48" s="570"/>
      <c r="T48" s="276">
        <v>2017</v>
      </c>
      <c r="U48" s="118" t="s">
        <v>76</v>
      </c>
    </row>
    <row r="49" spans="2:21" ht="15.75" hidden="1" customHeight="1">
      <c r="B49" s="310">
        <v>2017</v>
      </c>
      <c r="C49" s="574" t="s">
        <v>4</v>
      </c>
      <c r="D49" s="569">
        <f>'[30]Main Islands visited'!$J$42</f>
        <v>758</v>
      </c>
      <c r="E49" s="283"/>
      <c r="F49" s="283">
        <f>'[30]Main Islands visited'!$I$42</f>
        <v>688</v>
      </c>
      <c r="G49" s="283"/>
      <c r="H49" s="283">
        <f>'[30]Main Islands visited'!$E$42</f>
        <v>334</v>
      </c>
      <c r="I49" s="283"/>
      <c r="J49" s="283">
        <f>'[30]Main Islands visited'!$H$42</f>
        <v>147</v>
      </c>
      <c r="K49" s="283"/>
      <c r="L49" s="283">
        <f>'[30]Main Islands visited'!$F$42</f>
        <v>65</v>
      </c>
      <c r="M49" s="283"/>
      <c r="N49" s="283">
        <f>'[30]Main Islands visited'!$D$42</f>
        <v>73</v>
      </c>
      <c r="O49" s="283"/>
      <c r="P49" s="283">
        <f>'[30]Main Islands visited'!$G$42</f>
        <v>169</v>
      </c>
      <c r="Q49" s="283"/>
      <c r="R49" s="283">
        <f t="shared" si="9"/>
        <v>2234</v>
      </c>
      <c r="S49" s="570"/>
      <c r="T49" s="276">
        <v>2017</v>
      </c>
      <c r="U49" s="118" t="s">
        <v>77</v>
      </c>
    </row>
    <row r="50" spans="2:21" ht="12.9" hidden="1" customHeight="1">
      <c r="B50" s="310">
        <v>2017</v>
      </c>
      <c r="C50" s="574" t="s">
        <v>30</v>
      </c>
      <c r="D50" s="569">
        <f>'[32]Main Islands visited'!$J$43</f>
        <v>970</v>
      </c>
      <c r="E50" s="283"/>
      <c r="F50" s="283">
        <f>'[32]Main Islands visited'!$I$43</f>
        <v>814</v>
      </c>
      <c r="G50" s="283"/>
      <c r="H50" s="283">
        <f>'[32]Main Islands visited'!$E$43</f>
        <v>412</v>
      </c>
      <c r="I50" s="283"/>
      <c r="J50" s="283">
        <f>'[32]Main Islands visited'!$H$43</f>
        <v>108</v>
      </c>
      <c r="K50" s="283"/>
      <c r="L50" s="283">
        <f>'[32]Main Islands visited'!$F$43</f>
        <v>99</v>
      </c>
      <c r="M50" s="283"/>
      <c r="N50" s="283">
        <f>'[32]Main Islands visited'!$D$43</f>
        <v>90</v>
      </c>
      <c r="O50" s="283"/>
      <c r="P50" s="283">
        <f>'[32]Main Islands visited'!$G$43</f>
        <v>282</v>
      </c>
      <c r="Q50" s="283"/>
      <c r="R50" s="283">
        <f t="shared" si="9"/>
        <v>2775</v>
      </c>
      <c r="S50" s="570"/>
      <c r="T50" s="276">
        <v>2017</v>
      </c>
      <c r="U50" s="118" t="s">
        <v>78</v>
      </c>
    </row>
    <row r="51" spans="2:21" ht="12.9" hidden="1" customHeight="1">
      <c r="B51" s="310">
        <v>2017</v>
      </c>
      <c r="C51" s="574" t="s">
        <v>36</v>
      </c>
      <c r="D51" s="569">
        <f>'[32]Main Islands visited'!$J$44</f>
        <v>1433</v>
      </c>
      <c r="E51" s="335"/>
      <c r="F51" s="283">
        <f>'[32]Main Islands visited'!$I$44</f>
        <v>1352</v>
      </c>
      <c r="G51" s="335"/>
      <c r="H51" s="283">
        <f>'[32]Main Islands visited'!$E$44</f>
        <v>542</v>
      </c>
      <c r="I51" s="335"/>
      <c r="J51" s="335">
        <f>'[30]Main Islands visited'!$H$44</f>
        <v>42</v>
      </c>
      <c r="K51" s="283"/>
      <c r="L51" s="283">
        <f>'[32]Main Islands visited'!$F$44</f>
        <v>119</v>
      </c>
      <c r="M51" s="335"/>
      <c r="N51" s="283">
        <f>'[32]Main Islands visited'!$D$44</f>
        <v>115</v>
      </c>
      <c r="O51" s="335"/>
      <c r="P51" s="283">
        <f>'[32]Main Islands visited'!$G$44</f>
        <v>384</v>
      </c>
      <c r="Q51" s="335"/>
      <c r="R51" s="283">
        <f t="shared" si="9"/>
        <v>3987</v>
      </c>
      <c r="S51" s="582"/>
      <c r="T51" s="276">
        <v>2017</v>
      </c>
      <c r="U51" s="118" t="s">
        <v>79</v>
      </c>
    </row>
    <row r="52" spans="2:21" ht="12.9" hidden="1" customHeight="1">
      <c r="B52" s="310">
        <v>2017</v>
      </c>
      <c r="C52" s="574" t="s">
        <v>37</v>
      </c>
      <c r="D52" s="233">
        <f>'[33]Main Islands visited'!$J$45</f>
        <v>994</v>
      </c>
      <c r="E52" s="234"/>
      <c r="F52" s="234">
        <f>'[33]Main Islands visited'!$I$45</f>
        <v>753</v>
      </c>
      <c r="G52" s="234"/>
      <c r="H52" s="234">
        <f>'[33]Main Islands visited'!$E$45</f>
        <v>262</v>
      </c>
      <c r="I52" s="234"/>
      <c r="J52" s="234">
        <f>'[33]Main Islands visited'!$H$45</f>
        <v>21</v>
      </c>
      <c r="K52" s="234"/>
      <c r="L52" s="234">
        <f>'[33]Main Islands visited'!$F$45</f>
        <v>117</v>
      </c>
      <c r="M52" s="234"/>
      <c r="N52" s="234">
        <f>'[33]Main Islands visited'!$D$45</f>
        <v>99</v>
      </c>
      <c r="O52" s="234"/>
      <c r="P52" s="234">
        <f>'[33]Main Islands visited'!$G$45</f>
        <v>264</v>
      </c>
      <c r="Q52" s="336"/>
      <c r="R52" s="283">
        <f t="shared" ref="R52:R57" si="10">SUM(D52:P52)</f>
        <v>2510</v>
      </c>
      <c r="S52" s="570"/>
      <c r="T52" s="276">
        <v>2017</v>
      </c>
      <c r="U52" s="118" t="s">
        <v>80</v>
      </c>
    </row>
    <row r="53" spans="2:21" hidden="1">
      <c r="B53" s="310">
        <v>2017</v>
      </c>
      <c r="C53" s="574" t="s">
        <v>31</v>
      </c>
      <c r="D53" s="233">
        <f>'[33]Main Islands visited'!$J$46</f>
        <v>1058</v>
      </c>
      <c r="E53" s="234"/>
      <c r="F53" s="234">
        <f>'[33]Main Islands visited'!$I$46</f>
        <v>861</v>
      </c>
      <c r="G53" s="234"/>
      <c r="H53" s="234">
        <f>'[30]Main Islands visited'!$E$46</f>
        <v>275</v>
      </c>
      <c r="I53" s="234"/>
      <c r="J53" s="234">
        <f>'[30]Main Islands visited'!$H$46</f>
        <v>43</v>
      </c>
      <c r="K53" s="234"/>
      <c r="L53" s="234">
        <f>'[30]Main Islands visited'!$F$46</f>
        <v>117</v>
      </c>
      <c r="M53" s="234"/>
      <c r="N53" s="234">
        <f>'[30]Main Islands visited'!$D$46</f>
        <v>74</v>
      </c>
      <c r="O53" s="234"/>
      <c r="P53" s="234">
        <f>'[30]Main Islands visited'!$G$46</f>
        <v>322</v>
      </c>
      <c r="Q53" s="283"/>
      <c r="R53" s="283">
        <f t="shared" si="10"/>
        <v>2750</v>
      </c>
      <c r="S53" s="570"/>
      <c r="T53" s="276">
        <v>2017</v>
      </c>
      <c r="U53" s="118" t="s">
        <v>31</v>
      </c>
    </row>
    <row r="54" spans="2:21" ht="12.9" hidden="1" customHeight="1">
      <c r="B54" s="310">
        <v>2017</v>
      </c>
      <c r="C54" s="574" t="s">
        <v>38</v>
      </c>
      <c r="D54" s="569">
        <f>'[30]Main Islands visited'!$J$47</f>
        <v>1085</v>
      </c>
      <c r="E54" s="283"/>
      <c r="F54" s="283">
        <f>'[30]Main Islands visited'!$I$47</f>
        <v>878</v>
      </c>
      <c r="G54" s="283"/>
      <c r="H54" s="283">
        <f>'[30]Main Islands visited'!$E$47</f>
        <v>318</v>
      </c>
      <c r="I54" s="283"/>
      <c r="J54" s="283">
        <f>'[30]Main Islands visited'!$H$47</f>
        <v>41</v>
      </c>
      <c r="K54" s="283"/>
      <c r="L54" s="283">
        <f>'[30]Main Islands visited'!$F$47</f>
        <v>157</v>
      </c>
      <c r="M54" s="283"/>
      <c r="N54" s="283">
        <f>'[30]Main Islands visited'!$D$47</f>
        <v>120</v>
      </c>
      <c r="O54" s="283"/>
      <c r="P54" s="283">
        <f>'[30]Main Islands visited'!$G$47</f>
        <v>298</v>
      </c>
      <c r="Q54" s="283"/>
      <c r="R54" s="283">
        <f t="shared" si="10"/>
        <v>2897</v>
      </c>
      <c r="S54" s="570"/>
      <c r="T54" s="276">
        <v>2017</v>
      </c>
      <c r="U54" s="118" t="s">
        <v>38</v>
      </c>
    </row>
    <row r="55" spans="2:21" ht="12.9" hidden="1" customHeight="1">
      <c r="B55" s="310">
        <v>2017</v>
      </c>
      <c r="C55" s="574" t="s">
        <v>39</v>
      </c>
      <c r="D55" s="569">
        <f>'[30]Main Islands visited'!$J$48</f>
        <v>750</v>
      </c>
      <c r="E55" s="283"/>
      <c r="F55" s="283">
        <f>'[30]Main Islands visited'!$I$48</f>
        <v>685</v>
      </c>
      <c r="G55" s="283"/>
      <c r="H55" s="283">
        <f>'[30]Main Islands visited'!$E$48</f>
        <v>231</v>
      </c>
      <c r="I55" s="283"/>
      <c r="J55" s="283">
        <f>'[30]Main Islands visited'!$H$48</f>
        <v>9</v>
      </c>
      <c r="K55" s="283"/>
      <c r="L55" s="283">
        <f>'[30]Main Islands visited'!$F$48</f>
        <v>76</v>
      </c>
      <c r="M55" s="283"/>
      <c r="N55" s="283">
        <f>'[30]Main Islands visited'!$D$48</f>
        <v>66</v>
      </c>
      <c r="O55" s="283"/>
      <c r="P55" s="283">
        <f>'[30]Main Islands visited'!$G$48</f>
        <v>192</v>
      </c>
      <c r="Q55" s="283"/>
      <c r="R55" s="283">
        <f t="shared" si="10"/>
        <v>2009</v>
      </c>
      <c r="S55" s="570"/>
      <c r="T55" s="276">
        <v>2017</v>
      </c>
      <c r="U55" s="118" t="s">
        <v>39</v>
      </c>
    </row>
    <row r="56" spans="2:21" ht="12.9" hidden="1" customHeight="1">
      <c r="B56" s="310">
        <v>2017</v>
      </c>
      <c r="C56" s="574" t="s">
        <v>32</v>
      </c>
      <c r="D56" s="569">
        <f>'[30]Main Islands visited'!$J$49</f>
        <v>838</v>
      </c>
      <c r="E56" s="283"/>
      <c r="F56" s="283">
        <f>'[30]Main Islands visited'!$I$49</f>
        <v>657</v>
      </c>
      <c r="G56" s="283"/>
      <c r="H56" s="283">
        <f>'[30]Main Islands visited'!$E$49</f>
        <v>131</v>
      </c>
      <c r="I56" s="283"/>
      <c r="J56" s="283">
        <f>'[30]Main Islands visited'!$H$49</f>
        <v>28</v>
      </c>
      <c r="K56" s="283"/>
      <c r="L56" s="283">
        <f>'[30]Main Islands visited'!$F$49</f>
        <v>92</v>
      </c>
      <c r="M56" s="283"/>
      <c r="N56" s="283">
        <f>'[30]Main Islands visited'!$D$49</f>
        <v>28</v>
      </c>
      <c r="O56" s="283"/>
      <c r="P56" s="283">
        <f>'[30]Main Islands visited'!$G$49</f>
        <v>129</v>
      </c>
      <c r="Q56" s="283"/>
      <c r="R56" s="283">
        <f t="shared" si="10"/>
        <v>1903</v>
      </c>
      <c r="S56" s="570"/>
      <c r="T56" s="276">
        <v>2017</v>
      </c>
      <c r="U56" s="118" t="s">
        <v>32</v>
      </c>
    </row>
    <row r="57" spans="2:21">
      <c r="B57" s="310">
        <v>2018</v>
      </c>
      <c r="C57" s="574" t="s">
        <v>33</v>
      </c>
      <c r="D57" s="569">
        <f>'[33]Main Islands visited'!$J$54</f>
        <v>1080</v>
      </c>
      <c r="E57" s="283"/>
      <c r="F57" s="283">
        <f>'[33]Main Islands visited'!$I$54</f>
        <v>1109</v>
      </c>
      <c r="G57" s="283"/>
      <c r="H57" s="283">
        <f>'[33]Main Islands visited'!$E$54</f>
        <v>220</v>
      </c>
      <c r="I57" s="283"/>
      <c r="J57" s="283">
        <f>'[33]Main Islands visited'!$H$54</f>
        <v>7</v>
      </c>
      <c r="K57" s="283"/>
      <c r="L57" s="283">
        <f>'[33]Main Islands visited'!$F$54</f>
        <v>76</v>
      </c>
      <c r="M57" s="283"/>
      <c r="N57" s="283">
        <f>'[33]Main Islands visited'!$D$54</f>
        <v>76</v>
      </c>
      <c r="O57" s="283"/>
      <c r="P57" s="283">
        <f>'[33]Main Islands visited'!$G$54</f>
        <v>148</v>
      </c>
      <c r="Q57" s="283"/>
      <c r="R57" s="283">
        <f t="shared" si="10"/>
        <v>2716</v>
      </c>
      <c r="S57" s="570"/>
      <c r="T57" s="276">
        <v>2018</v>
      </c>
      <c r="U57" s="118" t="s">
        <v>33</v>
      </c>
    </row>
    <row r="58" spans="2:21" ht="13.95" hidden="1" customHeight="1">
      <c r="B58" s="310">
        <v>2018</v>
      </c>
      <c r="C58" s="574" t="s">
        <v>34</v>
      </c>
      <c r="D58" s="569">
        <f>'[33]Main Islands visited'!$J$55</f>
        <v>607</v>
      </c>
      <c r="E58" s="283"/>
      <c r="F58" s="283">
        <f>'[33]Main Islands visited'!$I$55</f>
        <v>494</v>
      </c>
      <c r="G58" s="283"/>
      <c r="H58" s="283">
        <f>'[33]Main Islands visited'!$E$55</f>
        <v>147</v>
      </c>
      <c r="I58" s="283"/>
      <c r="J58" s="283">
        <f>'[33]Main Islands visited'!$H$55</f>
        <v>21</v>
      </c>
      <c r="K58" s="283"/>
      <c r="L58" s="283">
        <f>'[33]Main Islands visited'!$F$55</f>
        <v>60</v>
      </c>
      <c r="M58" s="283"/>
      <c r="N58" s="283">
        <f>'[33]Main Islands visited'!$D$55</f>
        <v>17</v>
      </c>
      <c r="O58" s="283"/>
      <c r="P58" s="283">
        <f>'[33]Main Islands visited'!$G$55</f>
        <v>64</v>
      </c>
      <c r="Q58" s="283"/>
      <c r="R58" s="283">
        <f t="shared" ref="R58:R63" si="11">SUM(D58:P58)</f>
        <v>1410</v>
      </c>
      <c r="S58" s="570"/>
      <c r="T58" s="276">
        <v>2018</v>
      </c>
      <c r="U58" s="118" t="s">
        <v>75</v>
      </c>
    </row>
    <row r="59" spans="2:21" ht="12.9" hidden="1" customHeight="1">
      <c r="B59" s="310">
        <v>2018</v>
      </c>
      <c r="C59" s="574" t="s">
        <v>29</v>
      </c>
      <c r="D59" s="569">
        <f>'[33]Main Islands visited'!$J$56</f>
        <v>404</v>
      </c>
      <c r="E59" s="283"/>
      <c r="F59" s="283">
        <f>'[33]Main Islands visited'!$I$56</f>
        <v>428</v>
      </c>
      <c r="G59" s="283"/>
      <c r="H59" s="283">
        <f>'[33]Main Islands visited'!$E$56</f>
        <v>130</v>
      </c>
      <c r="I59" s="283"/>
      <c r="J59" s="283">
        <f>'[33]Main Islands visited'!$H$56</f>
        <v>10</v>
      </c>
      <c r="K59" s="283"/>
      <c r="L59" s="283">
        <f>'[33]Main Islands visited'!$F$56</f>
        <v>33</v>
      </c>
      <c r="M59" s="283"/>
      <c r="N59" s="283">
        <f>'[33]Main Islands visited'!$D$56</f>
        <v>27</v>
      </c>
      <c r="O59" s="283"/>
      <c r="P59" s="283">
        <f>'[33]Main Islands visited'!$G$56</f>
        <v>118</v>
      </c>
      <c r="Q59" s="283"/>
      <c r="R59" s="283">
        <f t="shared" si="11"/>
        <v>1150</v>
      </c>
      <c r="S59" s="570"/>
      <c r="T59" s="276">
        <v>2018</v>
      </c>
      <c r="U59" s="118" t="s">
        <v>29</v>
      </c>
    </row>
    <row r="60" spans="2:21" ht="12.9" hidden="1" customHeight="1">
      <c r="B60" s="310">
        <v>2018</v>
      </c>
      <c r="C60" s="574" t="s">
        <v>35</v>
      </c>
      <c r="D60" s="569">
        <f>'[33]Main Islands visited'!$J$57</f>
        <v>872</v>
      </c>
      <c r="E60" s="283"/>
      <c r="F60" s="283">
        <f>'[33]Main Islands visited'!$I$57</f>
        <v>660</v>
      </c>
      <c r="G60" s="283"/>
      <c r="H60" s="283">
        <f>'[33]Main Islands visited'!$E$57</f>
        <v>417</v>
      </c>
      <c r="I60" s="283"/>
      <c r="J60" s="283">
        <f>'[33]Main Islands visited'!$H$57</f>
        <v>63</v>
      </c>
      <c r="K60" s="283"/>
      <c r="L60" s="283">
        <f>'[33]Main Islands visited'!$F$57</f>
        <v>59</v>
      </c>
      <c r="M60" s="283"/>
      <c r="N60" s="283">
        <f>'[33]Main Islands visited'!$D$57</f>
        <v>56</v>
      </c>
      <c r="O60" s="283"/>
      <c r="P60" s="283">
        <f>'[33]Main Islands visited'!$G$57</f>
        <v>217</v>
      </c>
      <c r="Q60" s="283"/>
      <c r="R60" s="283">
        <f t="shared" si="11"/>
        <v>2344</v>
      </c>
      <c r="S60" s="570"/>
      <c r="T60" s="276">
        <v>2018</v>
      </c>
      <c r="U60" s="118" t="s">
        <v>76</v>
      </c>
    </row>
    <row r="61" spans="2:21" ht="12.9" hidden="1" customHeight="1">
      <c r="B61" s="310">
        <v>2018</v>
      </c>
      <c r="C61" s="574" t="s">
        <v>4</v>
      </c>
      <c r="D61" s="569">
        <f>'[33]Main Islands visited'!$J$58</f>
        <v>963</v>
      </c>
      <c r="E61" s="283"/>
      <c r="F61" s="283">
        <f>'[33]Main Islands visited'!$I$58</f>
        <v>855</v>
      </c>
      <c r="G61" s="283"/>
      <c r="H61" s="283">
        <f>'[33]Main Islands visited'!$E$58</f>
        <v>508</v>
      </c>
      <c r="I61" s="283"/>
      <c r="J61" s="283">
        <f>'[33]Main Islands visited'!$H$58</f>
        <v>135</v>
      </c>
      <c r="K61" s="283"/>
      <c r="L61" s="283">
        <f>'[33]Main Islands visited'!$F$58</f>
        <v>114</v>
      </c>
      <c r="M61" s="283"/>
      <c r="N61" s="283">
        <f>'[33]Main Islands visited'!$D$58</f>
        <v>79</v>
      </c>
      <c r="O61" s="283"/>
      <c r="P61" s="283">
        <f>'[33]Main Islands visited'!$G$58</f>
        <v>209</v>
      </c>
      <c r="Q61" s="283"/>
      <c r="R61" s="283">
        <f t="shared" si="11"/>
        <v>2863</v>
      </c>
      <c r="S61" s="570"/>
      <c r="T61" s="276">
        <v>2018</v>
      </c>
      <c r="U61" s="118" t="s">
        <v>77</v>
      </c>
    </row>
    <row r="62" spans="2:21" ht="12.9" hidden="1" customHeight="1">
      <c r="B62" s="310">
        <v>2018</v>
      </c>
      <c r="C62" s="574" t="s">
        <v>30</v>
      </c>
      <c r="D62" s="569">
        <f>'[33]Main Islands visited'!$J$59</f>
        <v>932</v>
      </c>
      <c r="E62" s="283"/>
      <c r="F62" s="283">
        <f>'[33]Main Islands visited'!$I$59</f>
        <v>836</v>
      </c>
      <c r="G62" s="283"/>
      <c r="H62" s="283">
        <f>'[33]Main Islands visited'!$E$59</f>
        <v>263</v>
      </c>
      <c r="I62" s="283"/>
      <c r="J62" s="283">
        <f>'[33]Main Islands visited'!$H$59</f>
        <v>102</v>
      </c>
      <c r="K62" s="283"/>
      <c r="L62" s="283">
        <f>'[33]Main Islands visited'!$F$59</f>
        <v>117</v>
      </c>
      <c r="M62" s="283"/>
      <c r="N62" s="283">
        <f>'[33]Main Islands visited'!$D$59</f>
        <v>71</v>
      </c>
      <c r="O62" s="283"/>
      <c r="P62" s="283">
        <f>'[33]Main Islands visited'!$G$59</f>
        <v>169</v>
      </c>
      <c r="Q62" s="283"/>
      <c r="R62" s="283">
        <f t="shared" si="11"/>
        <v>2490</v>
      </c>
      <c r="S62" s="570"/>
      <c r="T62" s="276">
        <v>2018</v>
      </c>
      <c r="U62" s="118" t="s">
        <v>78</v>
      </c>
    </row>
    <row r="63" spans="2:21" ht="12.9" hidden="1" customHeight="1">
      <c r="B63" s="310">
        <v>2018</v>
      </c>
      <c r="C63" s="574" t="s">
        <v>36</v>
      </c>
      <c r="D63" s="569">
        <f>'[34]Main Islands visited'!$J$60</f>
        <v>1565</v>
      </c>
      <c r="E63" s="283"/>
      <c r="F63" s="283">
        <f>'[34]Main Islands visited'!$I$60</f>
        <v>1566</v>
      </c>
      <c r="G63" s="283"/>
      <c r="H63" s="283">
        <f>'[34]Main Islands visited'!$E$60</f>
        <v>628</v>
      </c>
      <c r="I63" s="283"/>
      <c r="J63" s="283">
        <f>'[34]Main Islands visited'!$H$60</f>
        <v>81</v>
      </c>
      <c r="K63" s="283"/>
      <c r="L63" s="283">
        <f>'[34]Main Islands visited'!$F$60</f>
        <v>145</v>
      </c>
      <c r="M63" s="283"/>
      <c r="N63" s="283">
        <f>'[34]Main Islands visited'!$D$60</f>
        <v>133</v>
      </c>
      <c r="O63" s="283"/>
      <c r="P63" s="283">
        <f>'[34]Main Islands visited'!$G$60</f>
        <v>335</v>
      </c>
      <c r="Q63" s="283"/>
      <c r="R63" s="283">
        <f t="shared" si="11"/>
        <v>4453</v>
      </c>
      <c r="S63" s="570"/>
      <c r="T63" s="276">
        <v>2018</v>
      </c>
      <c r="U63" s="118" t="s">
        <v>79</v>
      </c>
    </row>
    <row r="64" spans="2:21" ht="12.75" hidden="1" customHeight="1">
      <c r="B64" s="310">
        <v>2018</v>
      </c>
      <c r="C64" s="574" t="s">
        <v>237</v>
      </c>
      <c r="D64" s="569">
        <f>'[34]Main Islands visited'!$J$61</f>
        <v>1465</v>
      </c>
      <c r="E64" s="283"/>
      <c r="F64" s="283">
        <f>'[34]Main Islands visited'!$I$61</f>
        <v>1303</v>
      </c>
      <c r="G64" s="283"/>
      <c r="H64" s="283">
        <f>'[34]Main Islands visited'!$E$61</f>
        <v>544</v>
      </c>
      <c r="I64" s="283"/>
      <c r="J64" s="283">
        <f>'[34]Main Islands visited'!$H$61</f>
        <v>31</v>
      </c>
      <c r="K64" s="283"/>
      <c r="L64" s="283">
        <f>'[34]Main Islands visited'!$F$61</f>
        <v>206</v>
      </c>
      <c r="M64" s="283"/>
      <c r="N64" s="283">
        <f>'[34]Main Islands visited'!$D$61</f>
        <v>126</v>
      </c>
      <c r="O64" s="283"/>
      <c r="P64" s="283">
        <f>'[34]Main Islands visited'!$G$61</f>
        <v>247</v>
      </c>
      <c r="Q64" s="283"/>
      <c r="R64" s="283">
        <f t="shared" ref="R64:R72" si="12">SUM(D64:P64)</f>
        <v>3922</v>
      </c>
      <c r="S64" s="570"/>
      <c r="T64" s="276">
        <v>2018</v>
      </c>
      <c r="U64" s="363" t="str">
        <f>U52</f>
        <v>Aoû</v>
      </c>
    </row>
    <row r="65" spans="2:21" hidden="1">
      <c r="B65" s="310">
        <v>2018</v>
      </c>
      <c r="C65" s="574" t="s">
        <v>31</v>
      </c>
      <c r="D65" s="569">
        <f>'[35]Main Islands visited'!$J$63</f>
        <v>1031</v>
      </c>
      <c r="E65" s="283"/>
      <c r="F65" s="283">
        <f>'[35]Main Islands visited'!$I$63</f>
        <v>910</v>
      </c>
      <c r="G65" s="283"/>
      <c r="H65" s="283">
        <f>'[35]Main Islands visited'!$E$63</f>
        <v>611</v>
      </c>
      <c r="I65" s="283"/>
      <c r="J65" s="283">
        <f>'[35]Main Islands visited'!$H$63</f>
        <v>13</v>
      </c>
      <c r="K65" s="283"/>
      <c r="L65" s="283">
        <f>'[35]Main Islands visited'!$F$63</f>
        <v>144</v>
      </c>
      <c r="M65" s="283"/>
      <c r="N65" s="283">
        <f>'[35]Main Islands visited'!$D$63</f>
        <v>98</v>
      </c>
      <c r="O65" s="283"/>
      <c r="P65" s="283">
        <f>'[35]Main Islands visited'!$G$63</f>
        <v>345</v>
      </c>
      <c r="Q65" s="283"/>
      <c r="R65" s="283">
        <f t="shared" si="12"/>
        <v>3152</v>
      </c>
      <c r="S65" s="570"/>
      <c r="T65" s="276">
        <v>2018</v>
      </c>
      <c r="U65" s="363" t="s">
        <v>31</v>
      </c>
    </row>
    <row r="66" spans="2:21" ht="12.75" hidden="1" customHeight="1">
      <c r="B66" s="310">
        <v>2018</v>
      </c>
      <c r="C66" s="574" t="s">
        <v>38</v>
      </c>
      <c r="D66" s="569">
        <f>'[35]Main Islands visited'!$J$64</f>
        <v>1221</v>
      </c>
      <c r="E66" s="283"/>
      <c r="F66" s="283">
        <f>'[35]Main Islands visited'!$I$64</f>
        <v>1146</v>
      </c>
      <c r="G66" s="283"/>
      <c r="H66" s="283">
        <f>'[35]Main Islands visited'!$E$64</f>
        <v>586</v>
      </c>
      <c r="I66" s="283"/>
      <c r="J66" s="283">
        <f>'[35]Main Islands visited'!$H$64</f>
        <v>33</v>
      </c>
      <c r="K66" s="283"/>
      <c r="L66" s="283">
        <f>'[35]Main Islands visited'!$F$64</f>
        <v>160</v>
      </c>
      <c r="M66" s="283"/>
      <c r="N66" s="283">
        <f>'[35]Main Islands visited'!$D$64</f>
        <v>130</v>
      </c>
      <c r="O66" s="283"/>
      <c r="P66" s="283">
        <f>'[35]Main Islands visited'!$G$64</f>
        <v>413</v>
      </c>
      <c r="Q66" s="283"/>
      <c r="R66" s="283">
        <f t="shared" si="12"/>
        <v>3689</v>
      </c>
      <c r="S66" s="570"/>
      <c r="T66" s="276">
        <v>2018</v>
      </c>
      <c r="U66" s="363" t="s">
        <v>38</v>
      </c>
    </row>
    <row r="67" spans="2:21" ht="12.75" hidden="1" customHeight="1">
      <c r="B67" s="310">
        <v>2018</v>
      </c>
      <c r="C67" s="574" t="s">
        <v>39</v>
      </c>
      <c r="D67" s="569">
        <f>'[35]Main Islands visited'!$J$65</f>
        <v>755</v>
      </c>
      <c r="E67" s="283"/>
      <c r="F67" s="283">
        <f>'[35]Main Islands visited'!$I$65</f>
        <v>707</v>
      </c>
      <c r="G67" s="283"/>
      <c r="H67" s="283">
        <f>'[35]Main Islands visited'!$E$65</f>
        <v>289</v>
      </c>
      <c r="I67" s="283"/>
      <c r="J67" s="283">
        <f>'[35]Main Islands visited'!$H$65</f>
        <v>27</v>
      </c>
      <c r="K67" s="283"/>
      <c r="L67" s="283">
        <f>'[35]Main Islands visited'!$F$65</f>
        <v>75</v>
      </c>
      <c r="M67" s="283"/>
      <c r="N67" s="283">
        <f>'[35]Main Islands visited'!$D$65</f>
        <v>54</v>
      </c>
      <c r="O67" s="283"/>
      <c r="P67" s="283">
        <f>'[35]Main Islands visited'!$G$65</f>
        <v>135</v>
      </c>
      <c r="Q67" s="283"/>
      <c r="R67" s="283">
        <f t="shared" si="12"/>
        <v>2042</v>
      </c>
      <c r="S67" s="570"/>
      <c r="T67" s="276">
        <v>2018</v>
      </c>
      <c r="U67" s="363" t="s">
        <v>39</v>
      </c>
    </row>
    <row r="68" spans="2:21" ht="12.75" hidden="1" customHeight="1">
      <c r="B68" s="310">
        <v>2018</v>
      </c>
      <c r="C68" s="574" t="s">
        <v>32</v>
      </c>
      <c r="D68" s="569">
        <f>'[35]Main Islands visited'!$J$66</f>
        <v>363</v>
      </c>
      <c r="E68" s="283"/>
      <c r="F68" s="283">
        <f>'[35]Main Islands visited'!$I$66</f>
        <v>335</v>
      </c>
      <c r="G68" s="283"/>
      <c r="H68" s="283">
        <f>'[35]Main Islands visited'!$E$66</f>
        <v>76</v>
      </c>
      <c r="I68" s="283"/>
      <c r="J68" s="283">
        <f>'[35]Main Islands visited'!$H$66</f>
        <v>4</v>
      </c>
      <c r="K68" s="283"/>
      <c r="L68" s="283">
        <f>'[35]Main Islands visited'!$F$66</f>
        <v>31</v>
      </c>
      <c r="M68" s="283"/>
      <c r="N68" s="283">
        <f>'[35]Main Islands visited'!$D$66</f>
        <v>7</v>
      </c>
      <c r="O68" s="283"/>
      <c r="P68" s="283">
        <f>'[35]Main Islands visited'!$G$66</f>
        <v>60</v>
      </c>
      <c r="Q68" s="283"/>
      <c r="R68" s="283">
        <f t="shared" si="12"/>
        <v>876</v>
      </c>
      <c r="S68" s="570"/>
      <c r="T68" s="276">
        <v>2018</v>
      </c>
      <c r="U68" s="363" t="s">
        <v>32</v>
      </c>
    </row>
    <row r="69" spans="2:21" ht="12.75" customHeight="1">
      <c r="B69" s="310">
        <v>2019</v>
      </c>
      <c r="C69" s="574" t="s">
        <v>261</v>
      </c>
      <c r="D69" s="569">
        <f>779</f>
        <v>779</v>
      </c>
      <c r="E69" s="283"/>
      <c r="F69" s="283">
        <v>873</v>
      </c>
      <c r="G69" s="283"/>
      <c r="H69" s="283">
        <v>192</v>
      </c>
      <c r="I69" s="283"/>
      <c r="J69" s="283">
        <v>13</v>
      </c>
      <c r="K69" s="283"/>
      <c r="L69" s="283">
        <v>60</v>
      </c>
      <c r="M69" s="283"/>
      <c r="N69" s="283">
        <v>4</v>
      </c>
      <c r="O69" s="283"/>
      <c r="P69" s="283">
        <v>158</v>
      </c>
      <c r="Q69" s="283"/>
      <c r="R69" s="283">
        <f t="shared" si="12"/>
        <v>2079</v>
      </c>
      <c r="S69" s="570"/>
      <c r="T69" s="276">
        <v>2019</v>
      </c>
      <c r="U69" s="85" t="s">
        <v>261</v>
      </c>
    </row>
    <row r="70" spans="2:21" ht="12" hidden="1" customHeight="1">
      <c r="B70" s="310">
        <v>2019</v>
      </c>
      <c r="C70" s="574" t="s">
        <v>262</v>
      </c>
      <c r="D70" s="569">
        <f>'[36]Tab 7'!$G$20</f>
        <v>503</v>
      </c>
      <c r="E70" s="283"/>
      <c r="F70" s="283">
        <f>'[36]Tab 7'!$G$19:$G$19</f>
        <v>375</v>
      </c>
      <c r="G70" s="283"/>
      <c r="H70" s="283">
        <f>'[36]Tab 7'!$G$15</f>
        <v>236</v>
      </c>
      <c r="I70" s="283"/>
      <c r="J70" s="283">
        <f>'[36]Tab 7'!$G$18</f>
        <v>7</v>
      </c>
      <c r="K70" s="283"/>
      <c r="L70" s="283">
        <f>'[36]Tab 7'!$G$16</f>
        <v>41</v>
      </c>
      <c r="M70" s="283"/>
      <c r="N70" s="283">
        <f>'[36]Tab 7'!$G$14</f>
        <v>8</v>
      </c>
      <c r="O70" s="283"/>
      <c r="P70" s="283">
        <f>1222-SUM(D70:N70)</f>
        <v>52</v>
      </c>
      <c r="Q70" s="283"/>
      <c r="R70" s="283">
        <f t="shared" si="12"/>
        <v>1222</v>
      </c>
      <c r="S70" s="570"/>
      <c r="T70" s="276">
        <v>2019</v>
      </c>
      <c r="U70" s="85" t="s">
        <v>264</v>
      </c>
    </row>
    <row r="71" spans="2:21" ht="12" hidden="1" customHeight="1">
      <c r="B71" s="310">
        <v>2019</v>
      </c>
      <c r="C71" s="574" t="s">
        <v>263</v>
      </c>
      <c r="D71" s="569">
        <f>'[37]Tab 7'!$B$2</f>
        <v>487</v>
      </c>
      <c r="E71" s="283"/>
      <c r="F71" s="283">
        <f>'[37]Tab 7'!$B$3</f>
        <v>482</v>
      </c>
      <c r="G71" s="283"/>
      <c r="H71" s="283">
        <f>'[37]Tab 7'!$B$4</f>
        <v>292</v>
      </c>
      <c r="I71" s="283"/>
      <c r="J71" s="283">
        <f>'[37]Tab 7'!$B$5</f>
        <v>20</v>
      </c>
      <c r="K71" s="283"/>
      <c r="L71" s="283">
        <f>'[37]Tab 7'!$B$6</f>
        <v>60</v>
      </c>
      <c r="M71" s="283"/>
      <c r="N71" s="283">
        <f>'[37]Tab 7'!$B$7</f>
        <v>29</v>
      </c>
      <c r="O71" s="283"/>
      <c r="P71" s="283">
        <f>'[37]Tab 7'!$B$8</f>
        <v>172</v>
      </c>
      <c r="Q71" s="283"/>
      <c r="R71" s="283">
        <f t="shared" si="12"/>
        <v>1542</v>
      </c>
      <c r="S71" s="570"/>
      <c r="T71" s="276">
        <v>2019</v>
      </c>
      <c r="U71" s="85" t="s">
        <v>263</v>
      </c>
    </row>
    <row r="72" spans="2:21" ht="12" hidden="1" customHeight="1">
      <c r="B72" s="310">
        <v>2019</v>
      </c>
      <c r="C72" s="574" t="s">
        <v>266</v>
      </c>
      <c r="D72" s="569">
        <f>[38]T7!$B$34</f>
        <v>1012</v>
      </c>
      <c r="E72" s="283"/>
      <c r="F72" s="283">
        <f>[38]T7!$B$13</f>
        <v>906</v>
      </c>
      <c r="G72" s="283"/>
      <c r="H72" s="283">
        <f>SUM([38]T7!$B$23:$B$31)</f>
        <v>531</v>
      </c>
      <c r="I72" s="283"/>
      <c r="J72" s="283">
        <f>[38]T7!$B$18</f>
        <v>102</v>
      </c>
      <c r="K72" s="283"/>
      <c r="L72" s="283">
        <f>[38]T7!$B$21</f>
        <v>86</v>
      </c>
      <c r="M72" s="283"/>
      <c r="N72" s="283">
        <f>[38]T7!$B$19</f>
        <v>37</v>
      </c>
      <c r="O72" s="283"/>
      <c r="P72" s="283">
        <f>SUM([38]T7!$B$4:$B$12)+SUM([38]T7!$B$14:$B$17)+[38]T7!$B$20+[38]T7!$B$22+[38]T7!$B$32+[38]T7!$B$33</f>
        <v>234</v>
      </c>
      <c r="Q72" s="283"/>
      <c r="R72" s="283">
        <f t="shared" si="12"/>
        <v>2908</v>
      </c>
      <c r="S72" s="570"/>
      <c r="T72" s="276">
        <v>2019</v>
      </c>
      <c r="U72" s="85" t="s">
        <v>267</v>
      </c>
    </row>
    <row r="73" spans="2:21" ht="12" hidden="1" customHeight="1">
      <c r="B73" s="310">
        <v>2019</v>
      </c>
      <c r="C73" s="574" t="s">
        <v>268</v>
      </c>
      <c r="D73" s="569">
        <f>[39]T7!$L$21</f>
        <v>922</v>
      </c>
      <c r="E73" s="283"/>
      <c r="F73" s="283">
        <f>[39]T7!$L$20</f>
        <v>950</v>
      </c>
      <c r="G73" s="283"/>
      <c r="H73" s="283">
        <f>[39]T7!$L$16</f>
        <v>352</v>
      </c>
      <c r="I73" s="283"/>
      <c r="J73" s="283">
        <f>[39]T7!$L$19</f>
        <v>153</v>
      </c>
      <c r="K73" s="283"/>
      <c r="L73" s="283">
        <f>[39]T7!$L$17</f>
        <v>74</v>
      </c>
      <c r="M73" s="283"/>
      <c r="N73" s="283">
        <f>[39]T7!$L$15</f>
        <v>50</v>
      </c>
      <c r="O73" s="283"/>
      <c r="P73" s="283">
        <f>[39]T7!$L$18</f>
        <v>201</v>
      </c>
      <c r="Q73" s="283"/>
      <c r="R73" s="283">
        <f>SUM(D73:P73)</f>
        <v>2702</v>
      </c>
      <c r="S73" s="570"/>
      <c r="T73" s="276">
        <v>2019</v>
      </c>
      <c r="U73" s="85" t="s">
        <v>269</v>
      </c>
    </row>
    <row r="74" spans="2:21" ht="12" hidden="1" customHeight="1">
      <c r="B74" s="310">
        <v>2019</v>
      </c>
      <c r="C74" s="574" t="s">
        <v>276</v>
      </c>
      <c r="D74" s="569">
        <f>[40]T7!$F$9</f>
        <v>910</v>
      </c>
      <c r="E74" s="283"/>
      <c r="F74" s="283">
        <f>[40]T7!$F$8</f>
        <v>796</v>
      </c>
      <c r="G74" s="283"/>
      <c r="H74" s="283">
        <f>[40]T7!$F$4</f>
        <v>385</v>
      </c>
      <c r="I74" s="283"/>
      <c r="J74" s="283">
        <f>[40]T7!$F$7</f>
        <v>109</v>
      </c>
      <c r="K74" s="283"/>
      <c r="L74" s="283">
        <f>[40]T7!$F$5</f>
        <v>82</v>
      </c>
      <c r="M74" s="283"/>
      <c r="N74" s="283">
        <f>[40]T7!$F$3</f>
        <v>70</v>
      </c>
      <c r="O74" s="283"/>
      <c r="P74" s="283">
        <f>[40]T7!$F$6</f>
        <v>174</v>
      </c>
      <c r="Q74" s="283"/>
      <c r="R74" s="283">
        <f>SUM(D74:P74)</f>
        <v>2526</v>
      </c>
      <c r="S74" s="570"/>
      <c r="T74" s="276">
        <v>2019</v>
      </c>
      <c r="U74" s="85" t="s">
        <v>277</v>
      </c>
    </row>
    <row r="75" spans="2:21" ht="12" hidden="1" customHeight="1">
      <c r="B75" s="310">
        <v>2019</v>
      </c>
      <c r="C75" s="574" t="s">
        <v>280</v>
      </c>
      <c r="D75" s="569">
        <v>1594</v>
      </c>
      <c r="E75" s="283"/>
      <c r="F75" s="283">
        <v>1584</v>
      </c>
      <c r="G75" s="283"/>
      <c r="H75" s="283">
        <v>906</v>
      </c>
      <c r="I75" s="283"/>
      <c r="J75" s="283">
        <v>65</v>
      </c>
      <c r="K75" s="283"/>
      <c r="L75" s="283">
        <v>123</v>
      </c>
      <c r="M75" s="283"/>
      <c r="N75" s="283">
        <v>50</v>
      </c>
      <c r="O75" s="283"/>
      <c r="P75" s="283">
        <v>414</v>
      </c>
      <c r="Q75" s="283"/>
      <c r="R75" s="283">
        <v>4736</v>
      </c>
      <c r="S75" s="570"/>
      <c r="T75" s="276">
        <v>2019</v>
      </c>
      <c r="U75" s="85" t="s">
        <v>281</v>
      </c>
    </row>
    <row r="76" spans="2:21" ht="12" hidden="1" customHeight="1">
      <c r="B76" s="310">
        <v>2019</v>
      </c>
      <c r="C76" s="574" t="s">
        <v>282</v>
      </c>
      <c r="D76" s="569">
        <f>[41]T7!$G$12</f>
        <v>1012</v>
      </c>
      <c r="E76" s="283"/>
      <c r="F76" s="283">
        <f>[41]T7!$G$11</f>
        <v>906</v>
      </c>
      <c r="G76" s="283"/>
      <c r="H76" s="283">
        <f>[41]T7!$G$7</f>
        <v>531</v>
      </c>
      <c r="I76" s="283"/>
      <c r="J76" s="283">
        <f>[41]T7!$G$10</f>
        <v>102</v>
      </c>
      <c r="K76" s="283"/>
      <c r="L76" s="283">
        <f>[41]T7!$G$8</f>
        <v>86</v>
      </c>
      <c r="M76" s="283"/>
      <c r="N76" s="283">
        <f>[41]T7!$G$6</f>
        <v>37</v>
      </c>
      <c r="O76" s="283"/>
      <c r="P76" s="283">
        <f>[41]T7!$G$9</f>
        <v>234</v>
      </c>
      <c r="Q76" s="283"/>
      <c r="R76" s="283">
        <f t="shared" ref="R76:R81" si="13">SUM(D76:P76)</f>
        <v>2908</v>
      </c>
      <c r="S76" s="570"/>
      <c r="T76" s="276"/>
      <c r="U76" s="85" t="s">
        <v>283</v>
      </c>
    </row>
    <row r="77" spans="2:21" ht="12" hidden="1" customHeight="1">
      <c r="B77" s="310">
        <v>2019</v>
      </c>
      <c r="C77" s="574" t="s">
        <v>291</v>
      </c>
      <c r="D77" s="569">
        <f>[42]T7!$F$8</f>
        <v>1020</v>
      </c>
      <c r="E77" s="283"/>
      <c r="F77" s="283">
        <f>[42]T7!$F$7</f>
        <v>993</v>
      </c>
      <c r="G77" s="283"/>
      <c r="H77" s="283">
        <f>[42]T7!$F$4</f>
        <v>376</v>
      </c>
      <c r="I77" s="283"/>
      <c r="J77" s="283">
        <f>[42]T7!$F$6</f>
        <v>25</v>
      </c>
      <c r="K77" s="283"/>
      <c r="L77" s="283">
        <f>[42]T7!$F$9</f>
        <v>80</v>
      </c>
      <c r="M77" s="283"/>
      <c r="N77" s="283">
        <f>[42]T7!$F$3</f>
        <v>35</v>
      </c>
      <c r="O77" s="283"/>
      <c r="P77" s="283">
        <f>[42]T7!$F$5</f>
        <v>238</v>
      </c>
      <c r="Q77" s="283"/>
      <c r="R77" s="283">
        <f t="shared" si="13"/>
        <v>2767</v>
      </c>
      <c r="S77" s="570"/>
      <c r="T77" s="276"/>
      <c r="U77" s="85" t="s">
        <v>291</v>
      </c>
    </row>
    <row r="78" spans="2:21" ht="12" hidden="1" customHeight="1">
      <c r="B78" s="310">
        <v>2019</v>
      </c>
      <c r="C78" s="574" t="s">
        <v>295</v>
      </c>
      <c r="D78" s="569">
        <f>[43]T7!$G$19</f>
        <v>1040</v>
      </c>
      <c r="E78" s="283"/>
      <c r="F78" s="283">
        <f>[43]T7!$G$18</f>
        <v>1045</v>
      </c>
      <c r="G78" s="283"/>
      <c r="H78" s="283">
        <f>[43]T7!$G$14</f>
        <v>418</v>
      </c>
      <c r="I78" s="283"/>
      <c r="J78" s="283">
        <f>[43]T7!$G$17</f>
        <v>29</v>
      </c>
      <c r="K78" s="283"/>
      <c r="L78" s="283">
        <f>[43]T7!$G$15</f>
        <v>80</v>
      </c>
      <c r="M78" s="283"/>
      <c r="N78" s="283">
        <f>[43]T7!$G$13</f>
        <v>37</v>
      </c>
      <c r="O78" s="283"/>
      <c r="P78" s="283">
        <f>[43]T7!$G$16</f>
        <v>308</v>
      </c>
      <c r="Q78" s="283"/>
      <c r="R78" s="283">
        <f t="shared" si="13"/>
        <v>2957</v>
      </c>
      <c r="S78" s="570"/>
      <c r="T78" s="276">
        <v>2019</v>
      </c>
      <c r="U78" s="85" t="s">
        <v>295</v>
      </c>
    </row>
    <row r="79" spans="2:21" ht="12" hidden="1" customHeight="1">
      <c r="B79" s="310">
        <v>2019</v>
      </c>
      <c r="C79" s="574" t="s">
        <v>296</v>
      </c>
      <c r="D79" s="569">
        <f>[44]T7!$B$8</f>
        <v>852</v>
      </c>
      <c r="E79" s="283"/>
      <c r="F79" s="283">
        <f>[44]T7!$B$4</f>
        <v>705</v>
      </c>
      <c r="G79" s="283"/>
      <c r="H79" s="283">
        <f>[44]T7!$B$9</f>
        <v>282</v>
      </c>
      <c r="I79" s="283"/>
      <c r="J79" s="283">
        <f>[44]T7!$B$5</f>
        <v>17</v>
      </c>
      <c r="K79" s="283"/>
      <c r="L79" s="283">
        <f>[44]T7!$B$7</f>
        <v>64</v>
      </c>
      <c r="M79" s="283"/>
      <c r="N79" s="283">
        <f>[44]T7!$B$6</f>
        <v>21</v>
      </c>
      <c r="O79" s="283"/>
      <c r="P79" s="283">
        <f>[44]T7!$B$10</f>
        <v>124</v>
      </c>
      <c r="Q79" s="283"/>
      <c r="R79" s="283">
        <f t="shared" si="13"/>
        <v>2065</v>
      </c>
      <c r="S79" s="570"/>
      <c r="T79" s="276">
        <v>2019</v>
      </c>
      <c r="U79" s="85" t="s">
        <v>296</v>
      </c>
    </row>
    <row r="80" spans="2:21" ht="12" hidden="1" customHeight="1">
      <c r="B80" s="310">
        <v>2019</v>
      </c>
      <c r="C80" s="574" t="s">
        <v>298</v>
      </c>
      <c r="D80" s="569">
        <f>[45]T7!$F$9</f>
        <v>717</v>
      </c>
      <c r="E80" s="283"/>
      <c r="F80" s="283">
        <f>[45]T7!$F$8</f>
        <v>640</v>
      </c>
      <c r="G80" s="283"/>
      <c r="H80" s="283">
        <f>[45]T7!$F$4</f>
        <v>250</v>
      </c>
      <c r="I80" s="283"/>
      <c r="J80" s="283">
        <f>[45]T7!$F$7</f>
        <v>18</v>
      </c>
      <c r="K80" s="283"/>
      <c r="L80" s="283">
        <f>[45]T7!$F$5</f>
        <v>63</v>
      </c>
      <c r="M80" s="283"/>
      <c r="N80" s="283">
        <f>[45]T7!$F$3</f>
        <v>26</v>
      </c>
      <c r="O80" s="283"/>
      <c r="P80" s="283">
        <f>[45]T7!$F$6</f>
        <v>133</v>
      </c>
      <c r="Q80" s="283"/>
      <c r="R80" s="283">
        <f t="shared" si="13"/>
        <v>1847</v>
      </c>
      <c r="S80" s="570"/>
      <c r="T80" s="276">
        <v>2019</v>
      </c>
      <c r="U80" s="85" t="s">
        <v>298</v>
      </c>
    </row>
    <row r="81" spans="2:21" ht="13.5" customHeight="1">
      <c r="B81" s="310">
        <v>2020</v>
      </c>
      <c r="C81" s="574" t="s">
        <v>261</v>
      </c>
      <c r="D81" s="569">
        <f>'[46]Main Islands'!$B$8</f>
        <v>1338</v>
      </c>
      <c r="E81" s="283"/>
      <c r="F81" s="283">
        <f>'[46]Main Islands'!$B$7</f>
        <v>1211</v>
      </c>
      <c r="G81" s="283"/>
      <c r="H81" s="283">
        <f>'[46]Main Islands'!$B$3</f>
        <v>350</v>
      </c>
      <c r="I81" s="283"/>
      <c r="J81" s="283">
        <f>'[46]Main Islands'!$B$6</f>
        <v>30</v>
      </c>
      <c r="K81" s="283"/>
      <c r="L81" s="283">
        <f>'[46]Main Islands'!$B$4</f>
        <v>78</v>
      </c>
      <c r="M81" s="283"/>
      <c r="N81" s="283">
        <f>'[46]Main Islands'!$B$2</f>
        <v>26</v>
      </c>
      <c r="O81" s="283"/>
      <c r="P81" s="283">
        <f>'[46]Main Islands'!$B$5</f>
        <v>258</v>
      </c>
      <c r="Q81" s="283"/>
      <c r="R81" s="283">
        <f t="shared" si="13"/>
        <v>3291</v>
      </c>
      <c r="S81" s="570"/>
      <c r="T81" s="276">
        <v>2020</v>
      </c>
      <c r="U81" s="363" t="s">
        <v>261</v>
      </c>
    </row>
    <row r="82" spans="2:21" ht="12" customHeight="1">
      <c r="B82" s="334"/>
      <c r="C82" s="574" t="s">
        <v>262</v>
      </c>
      <c r="D82" s="569">
        <f>'[47]Main Islands'!$B$11</f>
        <v>592</v>
      </c>
      <c r="E82" s="283"/>
      <c r="F82" s="283">
        <f>'[47]Main Islands'!$B$10</f>
        <v>666</v>
      </c>
      <c r="G82" s="283"/>
      <c r="H82" s="283">
        <f>'[47]Main Islands'!$B$6</f>
        <v>115</v>
      </c>
      <c r="I82" s="283"/>
      <c r="J82" s="283">
        <f>'[47]Main Islands'!$B$9</f>
        <v>16</v>
      </c>
      <c r="K82" s="283"/>
      <c r="L82" s="283">
        <f>'[47]Main Islands'!$B$7</f>
        <v>54</v>
      </c>
      <c r="M82" s="283"/>
      <c r="N82" s="283">
        <f>'[47]Main Islands'!$B$5</f>
        <v>15</v>
      </c>
      <c r="O82" s="283"/>
      <c r="P82" s="283">
        <f>'[47]Main Islands'!$B$8</f>
        <v>96</v>
      </c>
      <c r="Q82" s="283"/>
      <c r="R82" s="283">
        <f t="shared" ref="R82:R87" si="14">SUM(D82:P82)</f>
        <v>1554</v>
      </c>
      <c r="S82" s="570"/>
      <c r="T82" s="276"/>
      <c r="U82" s="363" t="s">
        <v>264</v>
      </c>
    </row>
    <row r="83" spans="2:21" ht="12" customHeight="1">
      <c r="B83" s="334"/>
      <c r="C83" s="574" t="s">
        <v>303</v>
      </c>
      <c r="D83" s="569">
        <f>'[48]Main Islands'!$B$11</f>
        <v>304</v>
      </c>
      <c r="E83" s="283"/>
      <c r="F83" s="283">
        <f>'[48]Main Islands'!$B$10</f>
        <v>496</v>
      </c>
      <c r="G83" s="283"/>
      <c r="H83" s="283">
        <f>'[48]Main Islands'!$B$6</f>
        <v>167</v>
      </c>
      <c r="I83" s="283"/>
      <c r="J83" s="283">
        <f>'[48]Main Islands'!$B$9</f>
        <v>14</v>
      </c>
      <c r="K83" s="283"/>
      <c r="L83" s="283">
        <f>'[48]Main Islands'!$B$7</f>
        <v>52</v>
      </c>
      <c r="M83" s="283"/>
      <c r="N83" s="283">
        <f>'[48]Main Islands'!$B$5</f>
        <v>5</v>
      </c>
      <c r="O83" s="283"/>
      <c r="P83" s="283">
        <f>'[48]Main Islands'!$B$8</f>
        <v>129</v>
      </c>
      <c r="Q83" s="283"/>
      <c r="R83" s="283">
        <f t="shared" si="14"/>
        <v>1167</v>
      </c>
      <c r="S83" s="570"/>
      <c r="T83" s="276"/>
      <c r="U83" s="363" t="s">
        <v>263</v>
      </c>
    </row>
    <row r="84" spans="2:21" ht="12" customHeight="1">
      <c r="B84" s="334"/>
      <c r="C84" s="574" t="s">
        <v>266</v>
      </c>
      <c r="D84" s="569">
        <f>'[49]Main Islands'!$B$28</f>
        <v>35</v>
      </c>
      <c r="E84" s="283"/>
      <c r="F84" s="283">
        <f>'[49]Main Islands'!$B$27</f>
        <v>79</v>
      </c>
      <c r="G84" s="283"/>
      <c r="H84" s="283">
        <f>'[49]Main Islands'!$B$24</f>
        <v>1</v>
      </c>
      <c r="I84" s="283"/>
      <c r="J84" s="283">
        <v>0</v>
      </c>
      <c r="K84" s="283"/>
      <c r="L84" s="283">
        <f>'[49]Main Islands'!$B$25</f>
        <v>17</v>
      </c>
      <c r="M84" s="283"/>
      <c r="N84" s="283">
        <f>'[49]Main Islands'!$B$23</f>
        <v>1</v>
      </c>
      <c r="O84" s="283"/>
      <c r="P84" s="283">
        <f>'[49]Main Islands'!$B$26</f>
        <v>18</v>
      </c>
      <c r="Q84" s="283"/>
      <c r="R84" s="283">
        <f t="shared" si="14"/>
        <v>151</v>
      </c>
      <c r="S84" s="570"/>
      <c r="T84" s="276"/>
      <c r="U84" s="85" t="s">
        <v>267</v>
      </c>
    </row>
    <row r="85" spans="2:21" ht="12" customHeight="1">
      <c r="B85" s="334"/>
      <c r="C85" s="574" t="s">
        <v>268</v>
      </c>
      <c r="D85" s="569">
        <f>'[50]Main island '!$B$7</f>
        <v>4</v>
      </c>
      <c r="E85" s="283"/>
      <c r="F85" s="283">
        <f>'[50]Main island '!$B$6</f>
        <v>13</v>
      </c>
      <c r="G85" s="283"/>
      <c r="H85" s="283" t="s">
        <v>309</v>
      </c>
      <c r="I85" s="283"/>
      <c r="J85" s="283">
        <v>0</v>
      </c>
      <c r="K85" s="283"/>
      <c r="L85" s="283">
        <f>'[50]Main island '!$B$4</f>
        <v>2</v>
      </c>
      <c r="M85" s="283"/>
      <c r="N85" s="283">
        <v>0</v>
      </c>
      <c r="O85" s="283"/>
      <c r="P85" s="283">
        <f>'[50]Main island '!$B$5</f>
        <v>7</v>
      </c>
      <c r="Q85" s="283"/>
      <c r="R85" s="283">
        <f t="shared" si="14"/>
        <v>26</v>
      </c>
      <c r="S85" s="570"/>
      <c r="T85" s="276"/>
      <c r="U85" s="363" t="s">
        <v>269</v>
      </c>
    </row>
    <row r="86" spans="2:21" ht="12" customHeight="1">
      <c r="B86" s="334"/>
      <c r="C86" s="574" t="s">
        <v>276</v>
      </c>
      <c r="D86" s="569">
        <f>'[51]Main Islands'!$B$10</f>
        <v>10</v>
      </c>
      <c r="E86" s="283"/>
      <c r="F86" s="283">
        <f>'[51]Main Islands'!$B$9</f>
        <v>19</v>
      </c>
      <c r="G86" s="283"/>
      <c r="H86" s="283">
        <f>'[51]Main Islands'!$B$5</f>
        <v>1</v>
      </c>
      <c r="I86" s="283"/>
      <c r="J86" s="283">
        <f>'[51]Main Islands'!$B$8</f>
        <v>4</v>
      </c>
      <c r="K86" s="283"/>
      <c r="L86" s="283">
        <f>'[51]Main Islands'!$B$6</f>
        <v>1</v>
      </c>
      <c r="M86" s="283"/>
      <c r="N86" s="283">
        <v>0</v>
      </c>
      <c r="O86" s="283"/>
      <c r="P86" s="283">
        <f>'[51]Main Islands'!$B$7</f>
        <v>4</v>
      </c>
      <c r="Q86" s="283"/>
      <c r="R86" s="283">
        <f t="shared" si="14"/>
        <v>39</v>
      </c>
      <c r="S86" s="570"/>
      <c r="T86" s="276"/>
      <c r="U86" s="363" t="s">
        <v>277</v>
      </c>
    </row>
    <row r="87" spans="2:21" ht="12" customHeight="1">
      <c r="B87" s="334"/>
      <c r="C87" s="574" t="s">
        <v>280</v>
      </c>
      <c r="D87" s="569">
        <v>0</v>
      </c>
      <c r="E87" s="283"/>
      <c r="F87" s="283">
        <f>'[52]MAIN ISLANDS'!$B$5</f>
        <v>5</v>
      </c>
      <c r="G87" s="283"/>
      <c r="H87" s="283">
        <v>0</v>
      </c>
      <c r="I87" s="283"/>
      <c r="J87" s="283">
        <v>0</v>
      </c>
      <c r="K87" s="283"/>
      <c r="L87" s="283">
        <f>'[52]MAIN ISLANDS'!$B$4</f>
        <v>1</v>
      </c>
      <c r="M87" s="283"/>
      <c r="N87" s="283">
        <v>0</v>
      </c>
      <c r="O87" s="283"/>
      <c r="P87" s="283">
        <v>0</v>
      </c>
      <c r="Q87" s="283"/>
      <c r="R87" s="283">
        <f t="shared" si="14"/>
        <v>6</v>
      </c>
      <c r="S87" s="570"/>
      <c r="T87" s="276"/>
      <c r="U87" s="363" t="s">
        <v>281</v>
      </c>
    </row>
    <row r="88" spans="2:21" ht="12" customHeight="1">
      <c r="B88" s="334"/>
      <c r="C88" s="574" t="s">
        <v>282</v>
      </c>
      <c r="D88" s="569">
        <v>0</v>
      </c>
      <c r="E88" s="283"/>
      <c r="F88" s="283">
        <v>0</v>
      </c>
      <c r="G88" s="283"/>
      <c r="H88" s="283">
        <v>0</v>
      </c>
      <c r="I88" s="283"/>
      <c r="J88" s="283">
        <v>0</v>
      </c>
      <c r="K88" s="283"/>
      <c r="L88" s="283">
        <v>0</v>
      </c>
      <c r="M88" s="283"/>
      <c r="N88" s="283">
        <v>0</v>
      </c>
      <c r="O88" s="283"/>
      <c r="P88" s="283">
        <v>0</v>
      </c>
      <c r="Q88" s="283"/>
      <c r="R88" s="283">
        <v>0</v>
      </c>
      <c r="S88" s="570"/>
      <c r="T88" s="276"/>
      <c r="U88" s="85" t="s">
        <v>283</v>
      </c>
    </row>
    <row r="89" spans="2:21" ht="12" customHeight="1">
      <c r="B89" s="334"/>
      <c r="C89" s="574" t="s">
        <v>291</v>
      </c>
      <c r="D89" s="569">
        <v>0</v>
      </c>
      <c r="E89" s="283"/>
      <c r="F89" s="283">
        <v>0</v>
      </c>
      <c r="G89" s="283"/>
      <c r="H89" s="283">
        <v>0</v>
      </c>
      <c r="I89" s="283"/>
      <c r="J89" s="283">
        <v>0</v>
      </c>
      <c r="K89" s="283"/>
      <c r="L89" s="283">
        <v>0</v>
      </c>
      <c r="M89" s="283"/>
      <c r="N89" s="283">
        <v>0</v>
      </c>
      <c r="O89" s="283"/>
      <c r="P89" s="283">
        <v>0</v>
      </c>
      <c r="Q89" s="283"/>
      <c r="R89" s="283">
        <v>0</v>
      </c>
      <c r="S89" s="570"/>
      <c r="T89" s="276"/>
      <c r="U89" s="85" t="s">
        <v>291</v>
      </c>
    </row>
    <row r="90" spans="2:21" ht="12" customHeight="1">
      <c r="B90" s="334"/>
      <c r="C90" s="574" t="s">
        <v>295</v>
      </c>
      <c r="D90" s="569">
        <v>0</v>
      </c>
      <c r="E90" s="283"/>
      <c r="F90" s="283">
        <v>0</v>
      </c>
      <c r="G90" s="283"/>
      <c r="H90" s="283">
        <v>0</v>
      </c>
      <c r="I90" s="283"/>
      <c r="J90" s="283">
        <v>0</v>
      </c>
      <c r="K90" s="283"/>
      <c r="L90" s="283">
        <v>0</v>
      </c>
      <c r="M90" s="283"/>
      <c r="N90" s="283">
        <v>0</v>
      </c>
      <c r="O90" s="283"/>
      <c r="P90" s="283">
        <v>0</v>
      </c>
      <c r="Q90" s="283"/>
      <c r="R90" s="283">
        <f>SUM(D90:P90)</f>
        <v>0</v>
      </c>
      <c r="S90" s="570"/>
      <c r="T90" s="276"/>
      <c r="U90" s="85" t="s">
        <v>295</v>
      </c>
    </row>
    <row r="91" spans="2:21" ht="12" customHeight="1">
      <c r="B91" s="334"/>
      <c r="C91" s="574" t="s">
        <v>296</v>
      </c>
      <c r="D91" s="569">
        <v>0</v>
      </c>
      <c r="E91" s="283"/>
      <c r="F91" s="283">
        <v>0</v>
      </c>
      <c r="G91" s="283"/>
      <c r="H91" s="283">
        <v>0</v>
      </c>
      <c r="I91" s="283"/>
      <c r="J91" s="283">
        <v>0</v>
      </c>
      <c r="K91" s="283"/>
      <c r="L91" s="283">
        <v>0</v>
      </c>
      <c r="M91" s="283"/>
      <c r="N91" s="283">
        <v>0</v>
      </c>
      <c r="O91" s="283"/>
      <c r="P91" s="283">
        <v>0</v>
      </c>
      <c r="Q91" s="283"/>
      <c r="R91" s="283">
        <v>0</v>
      </c>
      <c r="S91" s="570"/>
      <c r="T91" s="276"/>
      <c r="U91" s="85" t="s">
        <v>296</v>
      </c>
    </row>
    <row r="92" spans="2:21" ht="12" customHeight="1">
      <c r="B92" s="334"/>
      <c r="C92" s="574" t="s">
        <v>298</v>
      </c>
      <c r="D92" s="569">
        <v>0</v>
      </c>
      <c r="E92" s="283"/>
      <c r="F92" s="283">
        <v>0</v>
      </c>
      <c r="G92" s="283"/>
      <c r="H92" s="283">
        <v>0</v>
      </c>
      <c r="I92" s="283">
        <v>0</v>
      </c>
      <c r="J92" s="283">
        <v>0</v>
      </c>
      <c r="K92" s="283"/>
      <c r="L92" s="283">
        <v>0</v>
      </c>
      <c r="M92" s="283"/>
      <c r="N92" s="283">
        <v>0</v>
      </c>
      <c r="O92" s="283"/>
      <c r="P92" s="283">
        <v>0</v>
      </c>
      <c r="Q92" s="283"/>
      <c r="R92" s="283">
        <v>0</v>
      </c>
      <c r="S92" s="570"/>
      <c r="T92" s="276"/>
      <c r="U92" s="85" t="s">
        <v>298</v>
      </c>
    </row>
    <row r="93" spans="2:21" ht="12" customHeight="1">
      <c r="B93" s="329">
        <v>2021</v>
      </c>
      <c r="C93" s="573" t="s">
        <v>261</v>
      </c>
      <c r="D93" s="583">
        <v>0</v>
      </c>
      <c r="E93" s="322"/>
      <c r="F93" s="322">
        <v>0</v>
      </c>
      <c r="G93" s="322"/>
      <c r="H93" s="322">
        <v>0</v>
      </c>
      <c r="I93" s="322"/>
      <c r="J93" s="322">
        <v>0</v>
      </c>
      <c r="K93" s="322"/>
      <c r="L93" s="322">
        <v>0</v>
      </c>
      <c r="M93" s="322"/>
      <c r="N93" s="322">
        <v>0</v>
      </c>
      <c r="O93" s="322"/>
      <c r="P93" s="322">
        <v>0</v>
      </c>
      <c r="Q93" s="322"/>
      <c r="R93" s="322">
        <v>0</v>
      </c>
      <c r="S93" s="632"/>
      <c r="T93" s="571">
        <v>2021</v>
      </c>
      <c r="U93" s="90" t="s">
        <v>261</v>
      </c>
    </row>
    <row r="94" spans="2:21">
      <c r="B94" s="275" t="s">
        <v>279</v>
      </c>
      <c r="C94" s="113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</row>
    <row r="95" spans="2:21">
      <c r="B95" s="277" t="s">
        <v>225</v>
      </c>
      <c r="C95" s="365" t="s">
        <v>238</v>
      </c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</row>
    <row r="96" spans="2:21">
      <c r="B96" s="268"/>
      <c r="C96" s="1" t="s">
        <v>265</v>
      </c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</row>
    <row r="97" spans="4:22">
      <c r="D97" s="481">
        <f>D93/D81-1</f>
        <v>-1</v>
      </c>
      <c r="E97" s="481"/>
      <c r="F97" s="481">
        <f>F93/F81-1</f>
        <v>-1</v>
      </c>
      <c r="G97" s="481"/>
      <c r="H97" s="481">
        <f t="shared" ref="H97:R97" si="15">H93/H81-1</f>
        <v>-1</v>
      </c>
      <c r="I97" s="481"/>
      <c r="J97" s="481">
        <f t="shared" si="15"/>
        <v>-1</v>
      </c>
      <c r="K97" s="481"/>
      <c r="L97" s="481">
        <f t="shared" si="15"/>
        <v>-1</v>
      </c>
      <c r="M97" s="481"/>
      <c r="N97" s="481">
        <f t="shared" si="15"/>
        <v>-1</v>
      </c>
      <c r="O97" s="481"/>
      <c r="P97" s="481">
        <f t="shared" si="15"/>
        <v>-1</v>
      </c>
      <c r="Q97" s="481"/>
      <c r="R97" s="481">
        <f t="shared" si="15"/>
        <v>-1</v>
      </c>
      <c r="S97" s="481"/>
      <c r="T97" s="482" t="s">
        <v>293</v>
      </c>
      <c r="U97" s="483"/>
      <c r="V97" s="279"/>
    </row>
    <row r="98" spans="4:22">
      <c r="D98" s="484" t="e">
        <f>D93/D92-1</f>
        <v>#DIV/0!</v>
      </c>
      <c r="E98" s="484"/>
      <c r="F98" s="484" t="e">
        <f t="shared" ref="F98:R98" si="16">F93/F92-1</f>
        <v>#DIV/0!</v>
      </c>
      <c r="G98" s="484"/>
      <c r="H98" s="484" t="e">
        <f t="shared" si="16"/>
        <v>#DIV/0!</v>
      </c>
      <c r="I98" s="484"/>
      <c r="J98" s="484" t="e">
        <f>J93/J92-1</f>
        <v>#DIV/0!</v>
      </c>
      <c r="K98" s="484"/>
      <c r="L98" s="484" t="e">
        <f t="shared" si="16"/>
        <v>#DIV/0!</v>
      </c>
      <c r="M98" s="484"/>
      <c r="N98" s="484" t="e">
        <f t="shared" si="16"/>
        <v>#DIV/0!</v>
      </c>
      <c r="O98" s="484"/>
      <c r="P98" s="484" t="e">
        <f t="shared" si="16"/>
        <v>#DIV/0!</v>
      </c>
      <c r="Q98" s="484"/>
      <c r="R98" s="484" t="e">
        <f t="shared" si="16"/>
        <v>#DIV/0!</v>
      </c>
      <c r="S98" s="484"/>
      <c r="T98" s="485" t="s">
        <v>294</v>
      </c>
      <c r="U98" s="483"/>
      <c r="V98" s="279"/>
    </row>
    <row r="99" spans="4:22">
      <c r="D99" s="486" t="e">
        <f>(D93/$R93)*100</f>
        <v>#DIV/0!</v>
      </c>
      <c r="E99" s="486"/>
      <c r="F99" s="486" t="e">
        <f t="shared" ref="F99:R99" si="17">(F93/$R93)*100</f>
        <v>#DIV/0!</v>
      </c>
      <c r="G99" s="486"/>
      <c r="H99" s="486" t="e">
        <f t="shared" si="17"/>
        <v>#DIV/0!</v>
      </c>
      <c r="I99" s="486"/>
      <c r="J99" s="486" t="e">
        <f t="shared" si="17"/>
        <v>#DIV/0!</v>
      </c>
      <c r="K99" s="486"/>
      <c r="L99" s="486" t="e">
        <f t="shared" si="17"/>
        <v>#DIV/0!</v>
      </c>
      <c r="M99" s="486"/>
      <c r="N99" s="486" t="e">
        <f t="shared" si="17"/>
        <v>#DIV/0!</v>
      </c>
      <c r="O99" s="486"/>
      <c r="P99" s="486" t="e">
        <f t="shared" si="17"/>
        <v>#DIV/0!</v>
      </c>
      <c r="Q99" s="486"/>
      <c r="R99" s="486" t="e">
        <f t="shared" si="17"/>
        <v>#DIV/0!</v>
      </c>
      <c r="S99" s="486"/>
      <c r="T99" s="487" t="s">
        <v>226</v>
      </c>
      <c r="U99" s="487"/>
      <c r="V99" s="280"/>
    </row>
    <row r="100" spans="4:22">
      <c r="D100" s="488" t="e">
        <f>D93/$R$93</f>
        <v>#DIV/0!</v>
      </c>
      <c r="E100" s="488"/>
      <c r="F100" s="488" t="e">
        <f>F93/$R$93</f>
        <v>#DIV/0!</v>
      </c>
      <c r="G100" s="488"/>
      <c r="H100" s="488" t="e">
        <f>H93/$R$93</f>
        <v>#DIV/0!</v>
      </c>
      <c r="I100" s="488"/>
      <c r="J100" s="488" t="e">
        <f>J93/$R$93</f>
        <v>#DIV/0!</v>
      </c>
      <c r="K100" s="488"/>
      <c r="L100" s="488" t="e">
        <f>L93/$R$93</f>
        <v>#DIV/0!</v>
      </c>
      <c r="M100" s="488"/>
      <c r="N100" s="488" t="e">
        <f>N93/$R$93</f>
        <v>#DIV/0!</v>
      </c>
      <c r="O100" s="488"/>
      <c r="P100" s="488" t="e">
        <f>P93/$R$93</f>
        <v>#DIV/0!</v>
      </c>
      <c r="Q100" s="488"/>
      <c r="R100" s="488" t="e">
        <f>R93/$R$93</f>
        <v>#DIV/0!</v>
      </c>
      <c r="S100" s="488"/>
      <c r="T100" s="487" t="s">
        <v>229</v>
      </c>
      <c r="U100" s="489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3.2"/>
  <cols>
    <col min="1" max="1" width="6.88671875" customWidth="1"/>
    <col min="2" max="2" width="24.5546875" customWidth="1"/>
    <col min="3" max="3" width="2" customWidth="1"/>
    <col min="4" max="4" width="18.33203125" customWidth="1"/>
    <col min="5" max="5" width="7.6640625" customWidth="1"/>
    <col min="6" max="6" width="14.6640625" customWidth="1"/>
    <col min="7" max="7" width="7.6640625" customWidth="1"/>
    <col min="8" max="8" width="14.6640625" customWidth="1"/>
    <col min="9" max="9" width="7.6640625" customWidth="1"/>
    <col min="10" max="10" width="14.6640625" customWidth="1"/>
    <col min="11" max="11" width="7.6640625" customWidth="1"/>
    <col min="12" max="12" width="11.88671875" customWidth="1"/>
  </cols>
  <sheetData>
    <row r="2" spans="2:12" ht="13.8">
      <c r="B2" s="379" t="s">
        <v>259</v>
      </c>
      <c r="C2" s="379"/>
    </row>
    <row r="3" spans="2:12" ht="13.8">
      <c r="B3" s="379" t="s">
        <v>260</v>
      </c>
      <c r="C3" s="379"/>
    </row>
    <row r="4" spans="2:12" ht="5.25" customHeight="1">
      <c r="B4" s="378"/>
      <c r="C4" s="378"/>
    </row>
    <row r="5" spans="2:12" ht="26.4">
      <c r="B5" s="366" t="s">
        <v>243</v>
      </c>
      <c r="C5" s="391"/>
      <c r="D5" s="402" t="s">
        <v>180</v>
      </c>
      <c r="E5" s="367"/>
      <c r="F5" s="367" t="s">
        <v>162</v>
      </c>
      <c r="G5" s="367"/>
      <c r="H5" s="367" t="s">
        <v>168</v>
      </c>
      <c r="I5" s="367"/>
      <c r="J5" s="367" t="s">
        <v>244</v>
      </c>
      <c r="K5" s="391"/>
      <c r="L5" s="976" t="s">
        <v>198</v>
      </c>
    </row>
    <row r="6" spans="2:12" ht="26.4">
      <c r="B6" s="420" t="s">
        <v>249</v>
      </c>
      <c r="C6" s="401"/>
      <c r="D6" s="403" t="s">
        <v>245</v>
      </c>
      <c r="E6" s="400" t="s">
        <v>211</v>
      </c>
      <c r="F6" s="400" t="s">
        <v>97</v>
      </c>
      <c r="G6" s="400" t="s">
        <v>211</v>
      </c>
      <c r="H6" s="400" t="s">
        <v>247</v>
      </c>
      <c r="I6" s="400" t="s">
        <v>211</v>
      </c>
      <c r="J6" s="400" t="s">
        <v>248</v>
      </c>
      <c r="K6" s="401" t="s">
        <v>211</v>
      </c>
      <c r="L6" s="977"/>
    </row>
    <row r="7" spans="2:12" ht="6.75" customHeight="1">
      <c r="B7" s="425"/>
      <c r="C7" s="394"/>
      <c r="D7" s="392"/>
      <c r="E7" s="392"/>
      <c r="F7" s="392"/>
      <c r="G7" s="392"/>
      <c r="H7" s="392"/>
      <c r="I7" s="392"/>
      <c r="J7" s="392"/>
      <c r="K7" s="393"/>
      <c r="L7" s="394"/>
    </row>
    <row r="8" spans="2:12" ht="30" customHeight="1">
      <c r="B8" s="420" t="s">
        <v>256</v>
      </c>
      <c r="C8" s="401"/>
      <c r="D8" s="434">
        <v>0</v>
      </c>
      <c r="E8" s="405" t="e">
        <f>D8/L8</f>
        <v>#DIV/0!</v>
      </c>
      <c r="F8" s="404">
        <v>0</v>
      </c>
      <c r="G8" s="405" t="e">
        <f>F8/L8</f>
        <v>#DIV/0!</v>
      </c>
      <c r="H8" s="404">
        <v>0</v>
      </c>
      <c r="I8" s="405" t="e">
        <f>H8/L8</f>
        <v>#DIV/0!</v>
      </c>
      <c r="J8" s="404">
        <v>0</v>
      </c>
      <c r="K8" s="406" t="e">
        <f>J8/L8</f>
        <v>#DIV/0!</v>
      </c>
      <c r="L8" s="407">
        <f>SUM(J8+H8+F8+D8)</f>
        <v>0</v>
      </c>
    </row>
    <row r="9" spans="2:12" ht="30" customHeight="1">
      <c r="B9" s="421" t="s">
        <v>257</v>
      </c>
      <c r="C9" s="422"/>
      <c r="D9" s="434">
        <v>0</v>
      </c>
      <c r="E9" s="405" t="e">
        <f t="shared" ref="E9:E16" si="0">D9/L9</f>
        <v>#DIV/0!</v>
      </c>
      <c r="F9" s="404">
        <v>0</v>
      </c>
      <c r="G9" s="405" t="e">
        <f t="shared" ref="G9:G15" si="1">F9/L9</f>
        <v>#DIV/0!</v>
      </c>
      <c r="H9" s="404">
        <v>0</v>
      </c>
      <c r="I9" s="405" t="e">
        <f t="shared" ref="I9:I16" si="2">H9/L9</f>
        <v>#DIV/0!</v>
      </c>
      <c r="J9" s="404">
        <v>0</v>
      </c>
      <c r="K9" s="406" t="e">
        <f t="shared" ref="K9:K16" si="3">J9/L9</f>
        <v>#DIV/0!</v>
      </c>
      <c r="L9" s="407">
        <f t="shared" ref="L9:L16" si="4">SUM(J9+H9+F9+D9)</f>
        <v>0</v>
      </c>
    </row>
    <row r="10" spans="2:12" ht="30" customHeight="1">
      <c r="B10" s="421" t="s">
        <v>271</v>
      </c>
      <c r="C10" s="422"/>
      <c r="D10" s="434">
        <v>0</v>
      </c>
      <c r="E10" s="405" t="e">
        <f t="shared" si="0"/>
        <v>#DIV/0!</v>
      </c>
      <c r="F10" s="404">
        <v>0</v>
      </c>
      <c r="G10" s="405" t="e">
        <f t="shared" si="1"/>
        <v>#DIV/0!</v>
      </c>
      <c r="H10" s="404">
        <v>0</v>
      </c>
      <c r="I10" s="405" t="e">
        <f t="shared" si="2"/>
        <v>#DIV/0!</v>
      </c>
      <c r="J10" s="404">
        <v>0</v>
      </c>
      <c r="K10" s="406" t="e">
        <f t="shared" si="3"/>
        <v>#DIV/0!</v>
      </c>
      <c r="L10" s="407">
        <f t="shared" si="4"/>
        <v>0</v>
      </c>
    </row>
    <row r="11" spans="2:12" ht="30" customHeight="1">
      <c r="B11" s="420" t="s">
        <v>258</v>
      </c>
      <c r="C11" s="401"/>
      <c r="D11" s="434">
        <v>0</v>
      </c>
      <c r="E11" s="405" t="e">
        <f t="shared" si="0"/>
        <v>#DIV/0!</v>
      </c>
      <c r="F11" s="404">
        <v>0</v>
      </c>
      <c r="G11" s="405" t="e">
        <f t="shared" si="1"/>
        <v>#DIV/0!</v>
      </c>
      <c r="H11" s="404">
        <v>0</v>
      </c>
      <c r="I11" s="405" t="e">
        <f t="shared" si="2"/>
        <v>#DIV/0!</v>
      </c>
      <c r="J11" s="404">
        <v>0</v>
      </c>
      <c r="K11" s="406" t="e">
        <f t="shared" si="3"/>
        <v>#DIV/0!</v>
      </c>
      <c r="L11" s="407">
        <f t="shared" si="4"/>
        <v>0</v>
      </c>
    </row>
    <row r="12" spans="2:12" ht="30" customHeight="1">
      <c r="B12" s="421" t="s">
        <v>270</v>
      </c>
      <c r="C12" s="401"/>
      <c r="D12" s="434">
        <v>0</v>
      </c>
      <c r="E12" s="405" t="e">
        <f t="shared" si="0"/>
        <v>#DIV/0!</v>
      </c>
      <c r="F12" s="404">
        <v>0</v>
      </c>
      <c r="G12" s="405" t="e">
        <f t="shared" si="1"/>
        <v>#DIV/0!</v>
      </c>
      <c r="H12" s="404">
        <v>0</v>
      </c>
      <c r="I12" s="405" t="e">
        <f t="shared" si="2"/>
        <v>#DIV/0!</v>
      </c>
      <c r="J12" s="404">
        <v>0</v>
      </c>
      <c r="K12" s="406" t="e">
        <f t="shared" si="3"/>
        <v>#DIV/0!</v>
      </c>
      <c r="L12" s="407">
        <f t="shared" si="4"/>
        <v>0</v>
      </c>
    </row>
    <row r="13" spans="2:12" ht="30" customHeight="1">
      <c r="B13" s="421" t="s">
        <v>272</v>
      </c>
      <c r="C13" s="422"/>
      <c r="D13" s="434">
        <v>0</v>
      </c>
      <c r="E13" s="405" t="e">
        <f t="shared" si="0"/>
        <v>#DIV/0!</v>
      </c>
      <c r="F13" s="404">
        <v>0</v>
      </c>
      <c r="G13" s="405" t="e">
        <f t="shared" si="1"/>
        <v>#DIV/0!</v>
      </c>
      <c r="H13" s="404">
        <v>0</v>
      </c>
      <c r="I13" s="405" t="e">
        <f t="shared" si="2"/>
        <v>#DIV/0!</v>
      </c>
      <c r="J13" s="404">
        <v>0</v>
      </c>
      <c r="K13" s="406" t="e">
        <f t="shared" si="3"/>
        <v>#DIV/0!</v>
      </c>
      <c r="L13" s="407">
        <f t="shared" si="4"/>
        <v>0</v>
      </c>
    </row>
    <row r="14" spans="2:12" ht="30" customHeight="1">
      <c r="B14" s="421" t="s">
        <v>273</v>
      </c>
      <c r="C14" s="422"/>
      <c r="D14" s="434">
        <v>0</v>
      </c>
      <c r="E14" s="405" t="e">
        <f t="shared" si="0"/>
        <v>#DIV/0!</v>
      </c>
      <c r="F14" s="404">
        <v>0</v>
      </c>
      <c r="G14" s="405" t="e">
        <f>F14/L14</f>
        <v>#DIV/0!</v>
      </c>
      <c r="H14" s="404">
        <v>0</v>
      </c>
      <c r="I14" s="405" t="e">
        <f t="shared" si="2"/>
        <v>#DIV/0!</v>
      </c>
      <c r="J14" s="404">
        <v>0</v>
      </c>
      <c r="K14" s="406" t="e">
        <f t="shared" si="3"/>
        <v>#DIV/0!</v>
      </c>
      <c r="L14" s="407">
        <f t="shared" si="4"/>
        <v>0</v>
      </c>
    </row>
    <row r="15" spans="2:12" ht="30" customHeight="1">
      <c r="B15" s="421" t="s">
        <v>274</v>
      </c>
      <c r="C15" s="422"/>
      <c r="D15" s="434">
        <v>0</v>
      </c>
      <c r="E15" s="405" t="e">
        <f t="shared" si="0"/>
        <v>#DIV/0!</v>
      </c>
      <c r="F15" s="404">
        <v>0</v>
      </c>
      <c r="G15" s="405" t="e">
        <f t="shared" si="1"/>
        <v>#DIV/0!</v>
      </c>
      <c r="H15" s="404">
        <v>0</v>
      </c>
      <c r="I15" s="405" t="e">
        <f t="shared" si="2"/>
        <v>#DIV/0!</v>
      </c>
      <c r="J15" s="404">
        <v>0</v>
      </c>
      <c r="K15" s="406" t="e">
        <f t="shared" si="3"/>
        <v>#DIV/0!</v>
      </c>
      <c r="L15" s="407">
        <f t="shared" si="4"/>
        <v>0</v>
      </c>
    </row>
    <row r="16" spans="2:12" ht="30" customHeight="1">
      <c r="B16" s="478" t="s">
        <v>275</v>
      </c>
      <c r="C16" s="424"/>
      <c r="D16" s="434">
        <v>0</v>
      </c>
      <c r="E16" s="405" t="e">
        <f t="shared" si="0"/>
        <v>#DIV/0!</v>
      </c>
      <c r="F16" s="404">
        <v>0</v>
      </c>
      <c r="G16" s="405" t="e">
        <f>F16/L16</f>
        <v>#DIV/0!</v>
      </c>
      <c r="H16" s="404">
        <v>0</v>
      </c>
      <c r="I16" s="405" t="e">
        <f t="shared" si="2"/>
        <v>#DIV/0!</v>
      </c>
      <c r="J16" s="404">
        <v>0</v>
      </c>
      <c r="K16" s="406" t="e">
        <f t="shared" si="3"/>
        <v>#DIV/0!</v>
      </c>
      <c r="L16" s="407">
        <f t="shared" si="4"/>
        <v>0</v>
      </c>
    </row>
    <row r="17" spans="2:12" ht="30" customHeight="1">
      <c r="B17" s="423" t="s">
        <v>198</v>
      </c>
      <c r="C17" s="424"/>
      <c r="D17" s="412">
        <f>SUM(D8:D16)</f>
        <v>0</v>
      </c>
      <c r="E17" s="413"/>
      <c r="F17" s="412">
        <f>SUM(F8:F16)</f>
        <v>0</v>
      </c>
      <c r="G17" s="413"/>
      <c r="H17" s="412">
        <f>SUM(H8:H16)</f>
        <v>0</v>
      </c>
      <c r="I17" s="413"/>
      <c r="J17" s="412">
        <f>SUM(J8:J16)</f>
        <v>0</v>
      </c>
      <c r="K17" s="414"/>
      <c r="L17" s="415">
        <f>SUM(D17:K17)</f>
        <v>0</v>
      </c>
    </row>
    <row r="18" spans="2:12">
      <c r="B18" s="113" t="s">
        <v>279</v>
      </c>
      <c r="C18" s="112"/>
    </row>
    <row r="19" spans="2:12">
      <c r="L19" s="540"/>
    </row>
    <row r="20" spans="2:12">
      <c r="B20" s="403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3.2"/>
  <cols>
    <col min="2" max="2" width="8.109375" customWidth="1"/>
    <col min="3" max="3" width="7.44140625" bestFit="1" customWidth="1"/>
    <col min="5" max="5" width="8.33203125" bestFit="1" customWidth="1"/>
    <col min="7" max="7" width="8.33203125" bestFit="1" customWidth="1"/>
    <col min="9" max="9" width="1.6640625" customWidth="1"/>
  </cols>
  <sheetData>
    <row r="2" spans="2:11" ht="13.8">
      <c r="B2" s="270" t="s">
        <v>242</v>
      </c>
    </row>
    <row r="3" spans="2:11" ht="13.8">
      <c r="B3" s="270" t="s">
        <v>246</v>
      </c>
      <c r="C3" s="270"/>
      <c r="D3" s="270"/>
      <c r="E3" s="270"/>
    </row>
    <row r="4" spans="2:11" ht="6.75" customHeight="1"/>
    <row r="5" spans="2:11" ht="21" customHeight="1">
      <c r="B5" s="950" t="s">
        <v>73</v>
      </c>
      <c r="C5" s="948" t="s">
        <v>115</v>
      </c>
      <c r="D5" s="967" t="s">
        <v>239</v>
      </c>
      <c r="E5" s="967"/>
      <c r="F5" s="967"/>
      <c r="G5" s="967"/>
      <c r="H5" s="967"/>
      <c r="I5" s="370"/>
      <c r="J5" s="955" t="s">
        <v>74</v>
      </c>
      <c r="K5" s="946" t="s">
        <v>116</v>
      </c>
    </row>
    <row r="6" spans="2:11" ht="21" customHeight="1">
      <c r="B6" s="951"/>
      <c r="C6" s="949"/>
      <c r="D6" s="229" t="s">
        <v>240</v>
      </c>
      <c r="E6" s="229" t="s">
        <v>211</v>
      </c>
      <c r="F6" s="229" t="s">
        <v>241</v>
      </c>
      <c r="G6" s="229" t="s">
        <v>211</v>
      </c>
      <c r="H6" s="229" t="s">
        <v>160</v>
      </c>
      <c r="I6" s="229"/>
      <c r="J6" s="956"/>
      <c r="K6" s="947"/>
    </row>
    <row r="7" spans="2:11" s="372" customFormat="1">
      <c r="B7" s="237"/>
      <c r="C7" s="371"/>
      <c r="D7" s="235"/>
      <c r="E7" s="235"/>
      <c r="F7" s="235"/>
      <c r="G7" s="235"/>
      <c r="H7" s="235"/>
      <c r="I7" s="235"/>
      <c r="J7" s="237"/>
      <c r="K7" s="371"/>
    </row>
    <row r="8" spans="2:11" s="372" customFormat="1">
      <c r="B8" s="376">
        <v>2019</v>
      </c>
      <c r="C8" s="371" t="s">
        <v>33</v>
      </c>
      <c r="D8" s="235">
        <v>4561</v>
      </c>
      <c r="E8" s="377">
        <f>D8/H8</f>
        <v>0.49340112505408912</v>
      </c>
      <c r="F8" s="234">
        <v>4683</v>
      </c>
      <c r="G8" s="377">
        <f>F8/H8</f>
        <v>0.50659887494591083</v>
      </c>
      <c r="H8" s="235">
        <f>F8+D8</f>
        <v>9244</v>
      </c>
      <c r="I8" s="235"/>
      <c r="J8" s="376">
        <v>2019</v>
      </c>
      <c r="K8" s="371" t="s">
        <v>33</v>
      </c>
    </row>
    <row r="9" spans="2:11" s="372" customFormat="1">
      <c r="B9" s="237"/>
      <c r="C9" s="371" t="s">
        <v>34</v>
      </c>
      <c r="D9" s="235"/>
      <c r="E9" s="377"/>
      <c r="F9" s="235"/>
      <c r="G9" s="377"/>
      <c r="H9" s="235"/>
      <c r="I9" s="235"/>
      <c r="J9" s="237"/>
      <c r="K9" s="371" t="s">
        <v>254</v>
      </c>
    </row>
    <row r="10" spans="2:11" s="372" customFormat="1">
      <c r="B10" s="237"/>
      <c r="C10" s="371" t="s">
        <v>29</v>
      </c>
      <c r="D10" s="235">
        <v>3661</v>
      </c>
      <c r="E10" s="377">
        <f>D10/H10</f>
        <v>0.52973520474605706</v>
      </c>
      <c r="F10" s="235">
        <v>3250</v>
      </c>
      <c r="G10" s="377">
        <f>F10/H10</f>
        <v>0.47026479525394299</v>
      </c>
      <c r="H10" s="235">
        <v>6911</v>
      </c>
      <c r="I10" s="235"/>
      <c r="J10" s="237"/>
      <c r="K10" s="371" t="s">
        <v>29</v>
      </c>
    </row>
    <row r="11" spans="2:11" s="372" customFormat="1">
      <c r="B11" s="237"/>
      <c r="C11" s="371" t="s">
        <v>35</v>
      </c>
      <c r="D11" s="235"/>
      <c r="E11" s="235"/>
      <c r="F11" s="235"/>
      <c r="G11" s="235"/>
      <c r="H11" s="235"/>
      <c r="I11" s="235"/>
      <c r="J11" s="237"/>
      <c r="K11" s="371" t="s">
        <v>76</v>
      </c>
    </row>
    <row r="12" spans="2:11" s="372" customFormat="1">
      <c r="B12" s="237"/>
      <c r="C12" s="371" t="s">
        <v>4</v>
      </c>
      <c r="D12" s="235"/>
      <c r="E12" s="235"/>
      <c r="F12" s="235"/>
      <c r="G12" s="235"/>
      <c r="H12" s="235"/>
      <c r="I12" s="235"/>
      <c r="J12" s="237"/>
      <c r="K12" s="371" t="s">
        <v>77</v>
      </c>
    </row>
    <row r="13" spans="2:11" s="372" customFormat="1">
      <c r="B13" s="237"/>
      <c r="C13" s="371" t="s">
        <v>30</v>
      </c>
      <c r="D13" s="235"/>
      <c r="E13" s="235"/>
      <c r="F13" s="235"/>
      <c r="G13" s="235"/>
      <c r="H13" s="235"/>
      <c r="I13" s="235"/>
      <c r="J13" s="237"/>
      <c r="K13" s="371" t="s">
        <v>78</v>
      </c>
    </row>
    <row r="14" spans="2:11" s="372" customFormat="1">
      <c r="B14" s="237"/>
      <c r="C14" s="371" t="s">
        <v>36</v>
      </c>
      <c r="D14" s="235"/>
      <c r="E14" s="235"/>
      <c r="F14" s="235"/>
      <c r="G14" s="235"/>
      <c r="H14" s="235"/>
      <c r="I14" s="235"/>
      <c r="J14" s="237"/>
      <c r="K14" s="371" t="s">
        <v>79</v>
      </c>
    </row>
    <row r="15" spans="2:11" s="372" customFormat="1">
      <c r="B15" s="237"/>
      <c r="C15" s="371" t="s">
        <v>37</v>
      </c>
      <c r="D15" s="235"/>
      <c r="E15" s="235"/>
      <c r="F15" s="235"/>
      <c r="G15" s="235"/>
      <c r="H15" s="235"/>
      <c r="I15" s="235"/>
      <c r="J15" s="237"/>
      <c r="K15" s="371" t="s">
        <v>255</v>
      </c>
    </row>
    <row r="16" spans="2:11" s="372" customFormat="1">
      <c r="B16" s="237"/>
      <c r="C16" s="371" t="s">
        <v>31</v>
      </c>
      <c r="D16" s="235"/>
      <c r="E16" s="235"/>
      <c r="F16" s="235"/>
      <c r="G16" s="235"/>
      <c r="H16" s="235"/>
      <c r="I16" s="235"/>
      <c r="J16" s="237"/>
      <c r="K16" s="371" t="s">
        <v>31</v>
      </c>
    </row>
    <row r="17" spans="2:11" s="372" customFormat="1">
      <c r="B17" s="237"/>
      <c r="C17" s="371" t="s">
        <v>38</v>
      </c>
      <c r="D17" s="235"/>
      <c r="E17" s="235"/>
      <c r="F17" s="235"/>
      <c r="G17" s="235"/>
      <c r="H17" s="235"/>
      <c r="I17" s="235"/>
      <c r="J17" s="237"/>
      <c r="K17" s="371" t="s">
        <v>38</v>
      </c>
    </row>
    <row r="18" spans="2:11" s="372" customFormat="1">
      <c r="B18" s="237"/>
      <c r="C18" s="371" t="s">
        <v>39</v>
      </c>
      <c r="D18" s="235"/>
      <c r="E18" s="235"/>
      <c r="F18" s="235"/>
      <c r="G18" s="235"/>
      <c r="H18" s="235"/>
      <c r="I18" s="235"/>
      <c r="J18" s="237"/>
      <c r="K18" s="371" t="s">
        <v>39</v>
      </c>
    </row>
    <row r="19" spans="2:11" s="372" customFormat="1">
      <c r="B19" s="237"/>
      <c r="C19" s="371" t="s">
        <v>32</v>
      </c>
      <c r="D19" s="235"/>
      <c r="E19" s="235"/>
      <c r="F19" s="235"/>
      <c r="G19" s="235"/>
      <c r="H19" s="235"/>
      <c r="I19" s="235"/>
      <c r="J19" s="237"/>
      <c r="K19" s="371" t="s">
        <v>32</v>
      </c>
    </row>
    <row r="20" spans="2:11" s="372" customFormat="1">
      <c r="B20" s="376">
        <v>2020</v>
      </c>
      <c r="C20" s="371"/>
      <c r="D20" s="235"/>
      <c r="E20" s="235"/>
      <c r="F20" s="235"/>
      <c r="G20" s="235"/>
      <c r="H20" s="235"/>
      <c r="I20" s="235"/>
      <c r="J20" s="376">
        <v>2020</v>
      </c>
      <c r="K20" s="371"/>
    </row>
    <row r="21" spans="2:11" s="372" customFormat="1">
      <c r="B21" s="237"/>
      <c r="C21" s="371"/>
      <c r="D21" s="235"/>
      <c r="E21" s="235"/>
      <c r="F21" s="235"/>
      <c r="G21" s="235"/>
      <c r="H21" s="235"/>
      <c r="I21" s="235"/>
      <c r="J21" s="237"/>
      <c r="K21" s="371"/>
    </row>
    <row r="22" spans="2:11" s="372" customFormat="1">
      <c r="B22" s="237"/>
      <c r="C22" s="371"/>
      <c r="D22" s="235"/>
      <c r="E22" s="235"/>
      <c r="F22" s="235"/>
      <c r="G22" s="235"/>
      <c r="H22" s="235"/>
      <c r="I22" s="235"/>
      <c r="J22" s="237"/>
      <c r="K22" s="371"/>
    </row>
    <row r="23" spans="2:11" s="372" customFormat="1">
      <c r="B23" s="237"/>
      <c r="C23" s="371"/>
      <c r="D23" s="235"/>
      <c r="E23" s="235"/>
      <c r="F23" s="235"/>
      <c r="G23" s="235"/>
      <c r="H23" s="235"/>
      <c r="I23" s="235"/>
      <c r="J23" s="237"/>
      <c r="K23" s="371"/>
    </row>
    <row r="24" spans="2:11" s="372" customFormat="1">
      <c r="B24" s="237"/>
      <c r="C24" s="371"/>
      <c r="D24" s="235"/>
      <c r="E24" s="235"/>
      <c r="F24" s="235"/>
      <c r="G24" s="235"/>
      <c r="H24" s="235"/>
      <c r="I24" s="235"/>
      <c r="J24" s="237"/>
      <c r="K24" s="371"/>
    </row>
    <row r="25" spans="2:11" s="372" customFormat="1">
      <c r="B25" s="237"/>
      <c r="C25" s="371"/>
      <c r="D25" s="235"/>
      <c r="E25" s="235"/>
      <c r="F25" s="235"/>
      <c r="G25" s="235"/>
      <c r="H25" s="235"/>
      <c r="I25" s="235"/>
      <c r="J25" s="237"/>
      <c r="K25" s="371"/>
    </row>
    <row r="26" spans="2:11" s="372" customFormat="1">
      <c r="B26" s="237"/>
      <c r="C26" s="371"/>
      <c r="D26" s="235"/>
      <c r="E26" s="235"/>
      <c r="F26" s="235"/>
      <c r="G26" s="235"/>
      <c r="H26" s="235"/>
      <c r="I26" s="235"/>
      <c r="J26" s="237"/>
      <c r="K26" s="371"/>
    </row>
    <row r="27" spans="2:11" s="372" customFormat="1">
      <c r="B27" s="237"/>
      <c r="C27" s="371"/>
      <c r="D27" s="235"/>
      <c r="E27" s="235"/>
      <c r="F27" s="235"/>
      <c r="G27" s="235"/>
      <c r="H27" s="235"/>
      <c r="I27" s="235"/>
      <c r="J27" s="237"/>
      <c r="K27" s="371"/>
    </row>
    <row r="28" spans="2:11" s="372" customFormat="1">
      <c r="B28" s="237"/>
      <c r="C28" s="371"/>
      <c r="D28" s="235"/>
      <c r="E28" s="235"/>
      <c r="F28" s="235"/>
      <c r="G28" s="235"/>
      <c r="H28" s="235"/>
      <c r="I28" s="235"/>
      <c r="J28" s="237"/>
      <c r="K28" s="371"/>
    </row>
    <row r="29" spans="2:11" s="372" customFormat="1">
      <c r="B29" s="237"/>
      <c r="C29" s="371"/>
      <c r="D29" s="235"/>
      <c r="E29" s="235"/>
      <c r="F29" s="235"/>
      <c r="G29" s="235"/>
      <c r="H29" s="235"/>
      <c r="I29" s="235"/>
      <c r="J29" s="237"/>
      <c r="K29" s="371"/>
    </row>
    <row r="30" spans="2:11" s="372" customFormat="1">
      <c r="B30" s="237"/>
      <c r="C30" s="371"/>
      <c r="D30" s="235"/>
      <c r="E30" s="235"/>
      <c r="F30" s="235"/>
      <c r="G30" s="235"/>
      <c r="H30" s="235"/>
      <c r="I30" s="235"/>
      <c r="J30" s="237"/>
      <c r="K30" s="371"/>
    </row>
    <row r="31" spans="2:11" s="372" customFormat="1">
      <c r="B31" s="374"/>
      <c r="C31" s="375"/>
      <c r="D31" s="373"/>
      <c r="E31" s="373"/>
      <c r="F31" s="373"/>
      <c r="G31" s="373"/>
      <c r="H31" s="373"/>
      <c r="I31" s="373"/>
      <c r="J31" s="374"/>
      <c r="K31" s="375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pageSetUpPr fitToPage="1"/>
  </sheetPr>
  <dimension ref="B2:M86"/>
  <sheetViews>
    <sheetView zoomScaleNormal="100" workbookViewId="0">
      <selection activeCell="H13" sqref="H13"/>
    </sheetView>
  </sheetViews>
  <sheetFormatPr defaultColWidth="9.109375" defaultRowHeight="10.199999999999999"/>
  <cols>
    <col min="1" max="1" width="4.109375" style="695" customWidth="1"/>
    <col min="2" max="2" width="11.88671875" style="695" customWidth="1"/>
    <col min="3" max="3" width="7.44140625" style="695" customWidth="1"/>
    <col min="4" max="4" width="23.44140625" style="740" customWidth="1"/>
    <col min="5" max="5" width="2.6640625" style="740" bestFit="1" customWidth="1"/>
    <col min="6" max="6" width="18.88671875" style="740" customWidth="1"/>
    <col min="7" max="7" width="4.6640625" style="740" customWidth="1"/>
    <col min="8" max="8" width="20.109375" style="740" customWidth="1"/>
    <col min="9" max="9" width="5.33203125" style="740" customWidth="1"/>
    <col min="10" max="10" width="1.44140625" style="695" customWidth="1"/>
    <col min="11" max="11" width="8.109375" style="694" customWidth="1"/>
    <col min="12" max="12" width="0.109375" style="694" hidden="1" customWidth="1"/>
    <col min="13" max="13" width="9.109375" style="695" bestFit="1"/>
    <col min="14" max="16384" width="9.109375" style="695"/>
  </cols>
  <sheetData>
    <row r="2" spans="2:13" ht="15.6">
      <c r="B2" s="690" t="s">
        <v>193</v>
      </c>
      <c r="C2" s="690"/>
      <c r="D2" s="691"/>
      <c r="E2" s="691"/>
      <c r="F2" s="691"/>
      <c r="G2" s="691"/>
      <c r="H2" s="692"/>
      <c r="I2" s="692"/>
      <c r="J2" s="693"/>
    </row>
    <row r="3" spans="2:13" ht="15.6">
      <c r="B3" s="690" t="s">
        <v>171</v>
      </c>
      <c r="C3" s="690"/>
      <c r="D3" s="691"/>
      <c r="E3" s="691"/>
      <c r="F3" s="691"/>
      <c r="G3" s="691"/>
      <c r="H3" s="692"/>
      <c r="I3" s="692"/>
      <c r="J3" s="693"/>
      <c r="K3" s="694" t="s">
        <v>132</v>
      </c>
    </row>
    <row r="4" spans="2:13">
      <c r="B4" s="696"/>
      <c r="C4" s="696"/>
      <c r="D4" s="697"/>
      <c r="E4" s="697"/>
      <c r="F4" s="697"/>
      <c r="G4" s="697"/>
      <c r="H4" s="697"/>
      <c r="I4" s="697"/>
    </row>
    <row r="5" spans="2:13" s="326" customFormat="1" ht="37.5" customHeight="1">
      <c r="B5" s="980" t="s">
        <v>73</v>
      </c>
      <c r="C5" s="982" t="s">
        <v>115</v>
      </c>
      <c r="D5" s="984" t="s">
        <v>178</v>
      </c>
      <c r="E5" s="985"/>
      <c r="F5" s="985"/>
      <c r="G5" s="985"/>
      <c r="H5" s="985"/>
      <c r="I5" s="699"/>
      <c r="J5" s="985"/>
      <c r="K5" s="982" t="s">
        <v>74</v>
      </c>
      <c r="L5" s="698"/>
      <c r="M5" s="978" t="s">
        <v>116</v>
      </c>
    </row>
    <row r="6" spans="2:13" s="326" customFormat="1" ht="19.5" customHeight="1">
      <c r="B6" s="981"/>
      <c r="C6" s="983"/>
      <c r="D6" s="701" t="s">
        <v>145</v>
      </c>
      <c r="E6" s="702"/>
      <c r="F6" s="702" t="s">
        <v>146</v>
      </c>
      <c r="G6" s="702"/>
      <c r="H6" s="702" t="s">
        <v>160</v>
      </c>
      <c r="I6" s="703"/>
      <c r="J6" s="986"/>
      <c r="K6" s="987"/>
      <c r="L6" s="704"/>
      <c r="M6" s="979"/>
    </row>
    <row r="7" spans="2:13" s="326" customFormat="1" ht="13.2">
      <c r="B7" s="705">
        <v>2021</v>
      </c>
      <c r="C7" s="715"/>
      <c r="D7" s="706">
        <v>0</v>
      </c>
      <c r="E7" s="708" t="s">
        <v>41</v>
      </c>
      <c r="F7" s="858">
        <v>0</v>
      </c>
      <c r="G7" s="859"/>
      <c r="H7" s="708">
        <v>0</v>
      </c>
      <c r="I7" s="709"/>
      <c r="J7" s="710"/>
      <c r="K7" s="714">
        <v>2021</v>
      </c>
      <c r="L7" s="711"/>
      <c r="M7" s="712"/>
    </row>
    <row r="8" spans="2:13" s="326" customFormat="1" ht="13.2">
      <c r="B8" s="705">
        <v>2022</v>
      </c>
      <c r="C8" s="715"/>
      <c r="D8" s="706">
        <v>13.766666666666666</v>
      </c>
      <c r="E8" s="708"/>
      <c r="F8" s="708">
        <v>0</v>
      </c>
      <c r="G8" s="708"/>
      <c r="H8" s="708">
        <v>13.766666666666666</v>
      </c>
      <c r="I8" s="709"/>
      <c r="J8" s="710"/>
      <c r="K8" s="714">
        <v>2022</v>
      </c>
      <c r="L8" s="711"/>
      <c r="M8" s="712"/>
    </row>
    <row r="9" spans="2:13" s="326" customFormat="1" ht="13.2">
      <c r="B9" s="705">
        <v>2023</v>
      </c>
      <c r="C9" s="715"/>
      <c r="D9" s="706">
        <v>10.118837256493821</v>
      </c>
      <c r="E9" s="708"/>
      <c r="F9" s="708">
        <v>13.215612374448542</v>
      </c>
      <c r="G9" s="708"/>
      <c r="H9" s="708">
        <v>11.21604848356843</v>
      </c>
      <c r="I9" s="709"/>
      <c r="J9" s="710"/>
      <c r="K9" s="714">
        <v>2023</v>
      </c>
      <c r="L9" s="711"/>
      <c r="M9" s="712"/>
    </row>
    <row r="10" spans="2:13" s="326" customFormat="1" ht="13.2">
      <c r="B10" s="705">
        <v>2024</v>
      </c>
      <c r="C10" s="715"/>
      <c r="D10" s="706">
        <v>9.7916426686138873</v>
      </c>
      <c r="E10" s="708"/>
      <c r="F10" s="708">
        <v>12.460785560522959</v>
      </c>
      <c r="G10" s="708"/>
      <c r="H10" s="708">
        <v>9.9247369414864171</v>
      </c>
      <c r="I10" s="709"/>
      <c r="J10" s="710"/>
      <c r="K10" s="714">
        <v>2024</v>
      </c>
      <c r="L10" s="711"/>
      <c r="M10" s="712"/>
    </row>
    <row r="11" spans="2:13" s="326" customFormat="1" ht="13.2">
      <c r="B11" s="705">
        <v>2025</v>
      </c>
      <c r="C11" s="715"/>
      <c r="D11" s="706">
        <v>8.7571164202210579</v>
      </c>
      <c r="E11" s="708"/>
      <c r="F11" s="708">
        <v>12.46660071652987</v>
      </c>
      <c r="G11" s="708"/>
      <c r="H11" s="708">
        <v>8.8125284031534523</v>
      </c>
      <c r="I11" s="709"/>
      <c r="J11" s="710"/>
      <c r="K11" s="714">
        <v>2025</v>
      </c>
      <c r="L11" s="711"/>
      <c r="M11" s="712"/>
    </row>
    <row r="12" spans="2:13" s="326" customFormat="1" ht="13.2">
      <c r="B12" s="705"/>
      <c r="C12" s="715"/>
      <c r="D12" s="706"/>
      <c r="E12" s="708"/>
      <c r="F12" s="708"/>
      <c r="G12" s="708"/>
      <c r="H12" s="708"/>
      <c r="I12" s="709"/>
      <c r="J12" s="710"/>
      <c r="K12" s="714"/>
      <c r="L12" s="711"/>
      <c r="M12" s="712"/>
    </row>
    <row r="13" spans="2:13" s="717" customFormat="1" ht="12.6" customHeight="1">
      <c r="B13" s="705">
        <v>2021</v>
      </c>
      <c r="C13" s="724" t="s">
        <v>228</v>
      </c>
      <c r="D13" s="718">
        <v>0</v>
      </c>
      <c r="E13" s="719"/>
      <c r="F13" s="719">
        <v>0</v>
      </c>
      <c r="G13" s="719"/>
      <c r="H13" s="719">
        <v>0</v>
      </c>
      <c r="I13" s="721"/>
      <c r="J13" s="722"/>
      <c r="K13" s="641">
        <v>2021</v>
      </c>
      <c r="L13" s="641"/>
      <c r="M13" s="314" t="s">
        <v>228</v>
      </c>
    </row>
    <row r="14" spans="2:13" s="717" customFormat="1" ht="12.6" hidden="1" customHeight="1">
      <c r="B14" s="705">
        <v>2021</v>
      </c>
      <c r="C14" s="724" t="s">
        <v>315</v>
      </c>
      <c r="D14" s="718">
        <v>0</v>
      </c>
      <c r="E14" s="719"/>
      <c r="F14" s="719">
        <v>0</v>
      </c>
      <c r="G14" s="719"/>
      <c r="H14" s="719">
        <v>0</v>
      </c>
      <c r="I14" s="721"/>
      <c r="J14" s="722"/>
      <c r="K14" s="641">
        <v>2021</v>
      </c>
      <c r="L14" s="641"/>
      <c r="M14" s="314" t="s">
        <v>322</v>
      </c>
    </row>
    <row r="15" spans="2:13" s="717" customFormat="1" ht="12.6" hidden="1" customHeight="1">
      <c r="B15" s="705">
        <v>2021</v>
      </c>
      <c r="C15" s="724" t="s">
        <v>29</v>
      </c>
      <c r="D15" s="718">
        <v>0</v>
      </c>
      <c r="E15" s="719"/>
      <c r="F15" s="719">
        <v>0</v>
      </c>
      <c r="G15" s="719"/>
      <c r="H15" s="719">
        <v>0</v>
      </c>
      <c r="I15" s="721"/>
      <c r="J15" s="722"/>
      <c r="K15" s="641">
        <v>2021</v>
      </c>
      <c r="L15" s="641"/>
      <c r="M15" s="314" t="s">
        <v>65</v>
      </c>
    </row>
    <row r="16" spans="2:13" s="717" customFormat="1" ht="12.6" hidden="1" customHeight="1">
      <c r="B16" s="705">
        <v>2021</v>
      </c>
      <c r="C16" s="724" t="s">
        <v>316</v>
      </c>
      <c r="D16" s="718">
        <v>0</v>
      </c>
      <c r="E16" s="719"/>
      <c r="F16" s="719">
        <v>0</v>
      </c>
      <c r="G16" s="719"/>
      <c r="H16" s="719">
        <v>0</v>
      </c>
      <c r="I16" s="721"/>
      <c r="J16" s="722"/>
      <c r="K16" s="641">
        <v>2021</v>
      </c>
      <c r="L16" s="641"/>
      <c r="M16" s="314" t="s">
        <v>318</v>
      </c>
    </row>
    <row r="17" spans="2:13" s="717" customFormat="1" ht="12.6" hidden="1" customHeight="1">
      <c r="B17" s="705">
        <v>2021</v>
      </c>
      <c r="C17" s="724" t="s">
        <v>4</v>
      </c>
      <c r="D17" s="718">
        <v>0</v>
      </c>
      <c r="E17" s="719"/>
      <c r="F17" s="719">
        <v>0</v>
      </c>
      <c r="G17" s="719"/>
      <c r="H17" s="719">
        <v>0</v>
      </c>
      <c r="I17" s="721"/>
      <c r="J17" s="722"/>
      <c r="K17" s="641">
        <v>2021</v>
      </c>
      <c r="L17" s="641"/>
      <c r="M17" s="314" t="s">
        <v>319</v>
      </c>
    </row>
    <row r="18" spans="2:13" s="717" customFormat="1" ht="12.6" hidden="1" customHeight="1">
      <c r="B18" s="705">
        <v>2021</v>
      </c>
      <c r="C18" s="724" t="s">
        <v>317</v>
      </c>
      <c r="D18" s="718">
        <v>0</v>
      </c>
      <c r="E18" s="719"/>
      <c r="F18" s="719">
        <v>0</v>
      </c>
      <c r="G18" s="719"/>
      <c r="H18" s="719">
        <v>0</v>
      </c>
      <c r="I18" s="721"/>
      <c r="J18" s="722"/>
      <c r="K18" s="641">
        <v>2021</v>
      </c>
      <c r="L18" s="641"/>
      <c r="M18" s="314" t="s">
        <v>320</v>
      </c>
    </row>
    <row r="19" spans="2:13" s="717" customFormat="1" ht="12.6" hidden="1" customHeight="1">
      <c r="B19" s="705">
        <v>2021</v>
      </c>
      <c r="C19" s="724" t="s">
        <v>36</v>
      </c>
      <c r="D19" s="718">
        <v>0</v>
      </c>
      <c r="E19" s="719"/>
      <c r="F19" s="719">
        <v>0</v>
      </c>
      <c r="G19" s="719"/>
      <c r="H19" s="719">
        <v>0</v>
      </c>
      <c r="I19" s="719"/>
      <c r="J19" s="726"/>
      <c r="K19" s="641">
        <v>2021</v>
      </c>
      <c r="L19" s="641"/>
      <c r="M19" s="314" t="s">
        <v>232</v>
      </c>
    </row>
    <row r="20" spans="2:13" s="717" customFormat="1" ht="12.6" hidden="1" customHeight="1">
      <c r="B20" s="705">
        <v>2021</v>
      </c>
      <c r="C20" s="724" t="s">
        <v>37</v>
      </c>
      <c r="D20" s="718">
        <v>0</v>
      </c>
      <c r="E20" s="719"/>
      <c r="F20" s="719">
        <v>0</v>
      </c>
      <c r="G20" s="719"/>
      <c r="H20" s="719">
        <v>0</v>
      </c>
      <c r="I20" s="719"/>
      <c r="J20" s="726"/>
      <c r="K20" s="641">
        <v>2021</v>
      </c>
      <c r="L20" s="641"/>
      <c r="M20" s="314" t="s">
        <v>321</v>
      </c>
    </row>
    <row r="21" spans="2:13" s="717" customFormat="1" ht="12.6" hidden="1" customHeight="1">
      <c r="B21" s="705">
        <v>2021</v>
      </c>
      <c r="C21" s="724" t="s">
        <v>31</v>
      </c>
      <c r="D21" s="718">
        <v>0</v>
      </c>
      <c r="E21" s="719"/>
      <c r="F21" s="719">
        <v>0</v>
      </c>
      <c r="G21" s="719"/>
      <c r="H21" s="719">
        <v>0</v>
      </c>
      <c r="I21" s="719"/>
      <c r="J21" s="726"/>
      <c r="K21" s="641">
        <v>2021</v>
      </c>
      <c r="L21" s="641"/>
      <c r="M21" s="314" t="s">
        <v>312</v>
      </c>
    </row>
    <row r="22" spans="2:13" s="717" customFormat="1" ht="12.6" hidden="1" customHeight="1">
      <c r="B22" s="705">
        <v>2021</v>
      </c>
      <c r="C22" s="724" t="s">
        <v>50</v>
      </c>
      <c r="D22" s="718">
        <v>0</v>
      </c>
      <c r="E22" s="719"/>
      <c r="F22" s="719">
        <v>0</v>
      </c>
      <c r="G22" s="719"/>
      <c r="H22" s="719">
        <v>0</v>
      </c>
      <c r="I22" s="719"/>
      <c r="J22" s="726"/>
      <c r="K22" s="641">
        <v>2021</v>
      </c>
      <c r="L22" s="641"/>
      <c r="M22" s="314" t="s">
        <v>50</v>
      </c>
    </row>
    <row r="23" spans="2:13" s="717" customFormat="1" ht="12.6" hidden="1" customHeight="1">
      <c r="B23" s="705">
        <v>2021</v>
      </c>
      <c r="C23" s="724" t="s">
        <v>313</v>
      </c>
      <c r="D23" s="718">
        <v>0</v>
      </c>
      <c r="E23" s="719"/>
      <c r="F23" s="719">
        <v>0</v>
      </c>
      <c r="G23" s="719"/>
      <c r="H23" s="719">
        <v>0</v>
      </c>
      <c r="I23" s="719"/>
      <c r="J23" s="726"/>
      <c r="K23" s="641">
        <v>2021</v>
      </c>
      <c r="L23" s="641"/>
      <c r="M23" s="314" t="s">
        <v>313</v>
      </c>
    </row>
    <row r="24" spans="2:13" s="717" customFormat="1" ht="12.6" hidden="1" customHeight="1">
      <c r="B24" s="705">
        <v>2021</v>
      </c>
      <c r="C24" s="724" t="s">
        <v>314</v>
      </c>
      <c r="D24" s="718">
        <v>0</v>
      </c>
      <c r="E24" s="719"/>
      <c r="F24" s="719">
        <v>0</v>
      </c>
      <c r="G24" s="719"/>
      <c r="H24" s="719">
        <v>0</v>
      </c>
      <c r="I24" s="719"/>
      <c r="J24" s="726"/>
      <c r="K24" s="641">
        <v>2021</v>
      </c>
      <c r="L24" s="641"/>
      <c r="M24" s="314" t="s">
        <v>314</v>
      </c>
    </row>
    <row r="25" spans="2:13" s="717" customFormat="1" ht="12.6" customHeight="1">
      <c r="B25" s="705">
        <v>2022</v>
      </c>
      <c r="C25" s="315" t="s">
        <v>228</v>
      </c>
      <c r="D25" s="718">
        <v>0</v>
      </c>
      <c r="E25" s="719"/>
      <c r="F25" s="719">
        <v>0</v>
      </c>
      <c r="G25" s="719"/>
      <c r="H25" s="719">
        <v>0</v>
      </c>
      <c r="I25" s="719"/>
      <c r="J25" s="726"/>
      <c r="K25" s="641">
        <v>2022</v>
      </c>
      <c r="L25" s="641"/>
      <c r="M25" s="314" t="s">
        <v>228</v>
      </c>
    </row>
    <row r="26" spans="2:13" s="717" customFormat="1" ht="12.6" hidden="1" customHeight="1">
      <c r="B26" s="705">
        <v>2022</v>
      </c>
      <c r="C26" s="315" t="s">
        <v>315</v>
      </c>
      <c r="D26" s="718">
        <v>0</v>
      </c>
      <c r="E26" s="719"/>
      <c r="F26" s="719">
        <v>0</v>
      </c>
      <c r="G26" s="719"/>
      <c r="H26" s="719">
        <v>0</v>
      </c>
      <c r="I26" s="719"/>
      <c r="J26" s="726"/>
      <c r="K26" s="641">
        <v>2022</v>
      </c>
      <c r="L26" s="641"/>
      <c r="M26" s="314" t="s">
        <v>75</v>
      </c>
    </row>
    <row r="27" spans="2:13" s="717" customFormat="1" ht="12.6" hidden="1" customHeight="1">
      <c r="B27" s="705">
        <v>2022</v>
      </c>
      <c r="C27" s="315" t="s">
        <v>29</v>
      </c>
      <c r="D27" s="718">
        <v>0</v>
      </c>
      <c r="E27" s="719"/>
      <c r="F27" s="719">
        <v>0</v>
      </c>
      <c r="G27" s="719"/>
      <c r="H27" s="719">
        <v>0</v>
      </c>
      <c r="I27" s="719"/>
      <c r="J27" s="726"/>
      <c r="K27" s="641">
        <v>2022</v>
      </c>
      <c r="L27" s="641"/>
      <c r="M27" s="314" t="s">
        <v>65</v>
      </c>
    </row>
    <row r="28" spans="2:13" s="717" customFormat="1" ht="12.6" hidden="1" customHeight="1">
      <c r="B28" s="705">
        <v>2022</v>
      </c>
      <c r="C28" s="315" t="s">
        <v>316</v>
      </c>
      <c r="D28" s="718">
        <v>0</v>
      </c>
      <c r="E28" s="719"/>
      <c r="F28" s="719">
        <v>0</v>
      </c>
      <c r="G28" s="719"/>
      <c r="H28" s="719">
        <v>0</v>
      </c>
      <c r="I28" s="719"/>
      <c r="J28" s="726"/>
      <c r="K28" s="641">
        <v>2022</v>
      </c>
      <c r="L28" s="641"/>
      <c r="M28" s="314" t="s">
        <v>318</v>
      </c>
    </row>
    <row r="29" spans="2:13" s="717" customFormat="1" ht="12.6" hidden="1" customHeight="1">
      <c r="B29" s="705">
        <v>2022</v>
      </c>
      <c r="C29" s="315" t="s">
        <v>4</v>
      </c>
      <c r="D29" s="718">
        <v>0</v>
      </c>
      <c r="E29" s="719"/>
      <c r="F29" s="719">
        <v>0</v>
      </c>
      <c r="G29" s="719"/>
      <c r="H29" s="719">
        <v>0</v>
      </c>
      <c r="I29" s="719"/>
      <c r="J29" s="726"/>
      <c r="K29" s="641">
        <v>2022</v>
      </c>
      <c r="L29" s="641"/>
      <c r="M29" s="314" t="s">
        <v>319</v>
      </c>
    </row>
    <row r="30" spans="2:13" s="717" customFormat="1" ht="12.6" hidden="1" customHeight="1">
      <c r="B30" s="705">
        <v>2022</v>
      </c>
      <c r="C30" s="315" t="s">
        <v>317</v>
      </c>
      <c r="D30" s="718">
        <v>0</v>
      </c>
      <c r="E30" s="719"/>
      <c r="F30" s="719">
        <v>0</v>
      </c>
      <c r="G30" s="719"/>
      <c r="H30" s="719">
        <v>0</v>
      </c>
      <c r="I30" s="719"/>
      <c r="J30" s="726"/>
      <c r="K30" s="641">
        <v>2022</v>
      </c>
      <c r="L30" s="641"/>
      <c r="M30" s="314" t="s">
        <v>320</v>
      </c>
    </row>
    <row r="31" spans="2:13" s="717" customFormat="1" ht="12.6" hidden="1" customHeight="1">
      <c r="B31" s="705">
        <v>2022</v>
      </c>
      <c r="C31" s="315" t="s">
        <v>36</v>
      </c>
      <c r="D31" s="722">
        <v>14</v>
      </c>
      <c r="E31" s="719"/>
      <c r="F31" s="727" t="s">
        <v>43</v>
      </c>
      <c r="G31" s="719"/>
      <c r="H31" s="707">
        <v>14</v>
      </c>
      <c r="I31" s="719"/>
      <c r="J31" s="726"/>
      <c r="K31" s="641">
        <v>2022</v>
      </c>
      <c r="L31" s="641"/>
      <c r="M31" s="314" t="s">
        <v>232</v>
      </c>
    </row>
    <row r="32" spans="2:13" s="717" customFormat="1" ht="12.6" hidden="1" customHeight="1">
      <c r="B32" s="705">
        <v>2022</v>
      </c>
      <c r="C32" s="315" t="s">
        <v>37</v>
      </c>
      <c r="D32" s="719">
        <v>13.9</v>
      </c>
      <c r="E32" s="719"/>
      <c r="F32" s="727" t="s">
        <v>43</v>
      </c>
      <c r="G32" s="719"/>
      <c r="H32" s="708">
        <v>13.9</v>
      </c>
      <c r="I32" s="719"/>
      <c r="J32" s="726"/>
      <c r="K32" s="641">
        <v>2022</v>
      </c>
      <c r="L32" s="641"/>
      <c r="M32" s="314" t="s">
        <v>80</v>
      </c>
    </row>
    <row r="33" spans="2:13" s="717" customFormat="1" ht="12.6" hidden="1" customHeight="1">
      <c r="B33" s="705">
        <v>2022</v>
      </c>
      <c r="C33" s="315" t="s">
        <v>31</v>
      </c>
      <c r="D33" s="729">
        <v>13.3</v>
      </c>
      <c r="F33" s="717">
        <v>0</v>
      </c>
      <c r="H33" s="729">
        <v>13.3</v>
      </c>
      <c r="I33" s="730"/>
      <c r="K33" s="641">
        <v>2022</v>
      </c>
      <c r="M33" s="314" t="s">
        <v>31</v>
      </c>
    </row>
    <row r="34" spans="2:13" s="717" customFormat="1" ht="12.6" hidden="1" customHeight="1">
      <c r="B34" s="705">
        <v>2022</v>
      </c>
      <c r="C34" s="315" t="s">
        <v>50</v>
      </c>
      <c r="D34" s="731">
        <v>11.5</v>
      </c>
      <c r="F34" s="732" t="s">
        <v>43</v>
      </c>
      <c r="H34" s="733">
        <v>11.5</v>
      </c>
      <c r="J34" s="728"/>
      <c r="K34" s="641">
        <v>2022</v>
      </c>
      <c r="M34" s="314" t="s">
        <v>50</v>
      </c>
    </row>
    <row r="35" spans="2:13" s="717" customFormat="1" ht="12.6" hidden="1" customHeight="1">
      <c r="B35" s="705">
        <v>2022</v>
      </c>
      <c r="C35" s="769" t="s">
        <v>313</v>
      </c>
      <c r="D35" s="731">
        <v>16.3</v>
      </c>
      <c r="F35" s="732" t="s">
        <v>43</v>
      </c>
      <c r="H35" s="731">
        <v>16.3</v>
      </c>
      <c r="I35" s="730"/>
      <c r="J35" s="728"/>
      <c r="K35" s="641">
        <v>2022</v>
      </c>
      <c r="M35" s="314" t="s">
        <v>313</v>
      </c>
    </row>
    <row r="36" spans="2:13" s="717" customFormat="1" ht="12.6" hidden="1" customHeight="1">
      <c r="B36" s="705">
        <v>2022</v>
      </c>
      <c r="C36" s="769" t="s">
        <v>314</v>
      </c>
      <c r="D36" s="731">
        <v>13.6</v>
      </c>
      <c r="F36" s="732" t="s">
        <v>43</v>
      </c>
      <c r="H36" s="733">
        <v>13.6</v>
      </c>
      <c r="I36" s="730"/>
      <c r="J36" s="728"/>
      <c r="K36" s="641">
        <v>2022</v>
      </c>
      <c r="M36" s="314" t="s">
        <v>327</v>
      </c>
    </row>
    <row r="37" spans="2:13" s="717" customFormat="1" ht="12.6" customHeight="1">
      <c r="B37" s="313">
        <v>2023</v>
      </c>
      <c r="C37" s="769" t="s">
        <v>33</v>
      </c>
      <c r="D37" s="735">
        <v>9.4056188306757793</v>
      </c>
      <c r="F37" s="717">
        <v>0</v>
      </c>
      <c r="H37" s="729">
        <v>9.4056188306757793</v>
      </c>
      <c r="I37" s="730"/>
      <c r="J37" s="728"/>
      <c r="K37" s="641">
        <v>2023</v>
      </c>
      <c r="M37" s="314" t="s">
        <v>33</v>
      </c>
    </row>
    <row r="38" spans="2:13" s="717" customFormat="1" ht="12.6" hidden="1" customHeight="1">
      <c r="B38" s="313">
        <v>2023</v>
      </c>
      <c r="C38" s="769" t="s">
        <v>34</v>
      </c>
      <c r="D38" s="729">
        <v>8.6417445482866047</v>
      </c>
      <c r="F38" s="717">
        <v>0</v>
      </c>
      <c r="H38" s="729">
        <v>8.6417445482866047</v>
      </c>
      <c r="I38" s="730"/>
      <c r="K38" s="641">
        <v>2023</v>
      </c>
      <c r="M38" s="314" t="s">
        <v>75</v>
      </c>
    </row>
    <row r="39" spans="2:13" s="717" customFormat="1" ht="12.6" hidden="1" customHeight="1">
      <c r="B39" s="313">
        <v>2023</v>
      </c>
      <c r="C39" s="769" t="s">
        <v>29</v>
      </c>
      <c r="D39" s="731">
        <v>15.057855869620502</v>
      </c>
      <c r="E39" s="734"/>
      <c r="F39" s="732" t="s">
        <v>43</v>
      </c>
      <c r="G39" s="734"/>
      <c r="H39" s="733">
        <v>15.057855869620502</v>
      </c>
      <c r="I39" s="730"/>
      <c r="K39" s="641">
        <v>2023</v>
      </c>
      <c r="M39" s="314" t="s">
        <v>29</v>
      </c>
    </row>
    <row r="40" spans="2:13" s="717" customFormat="1" ht="12.6" hidden="1" customHeight="1">
      <c r="B40" s="313">
        <v>2023</v>
      </c>
      <c r="C40" s="769" t="s">
        <v>35</v>
      </c>
      <c r="D40" s="729">
        <v>12.9160227438402</v>
      </c>
      <c r="F40" s="717">
        <v>0</v>
      </c>
      <c r="H40" s="729">
        <v>12.9160227438402</v>
      </c>
      <c r="I40" s="730"/>
      <c r="K40" s="641">
        <v>2023</v>
      </c>
      <c r="M40" s="314" t="s">
        <v>76</v>
      </c>
    </row>
    <row r="41" spans="2:13" s="717" customFormat="1" ht="12.6" hidden="1" customHeight="1">
      <c r="B41" s="313">
        <v>2023</v>
      </c>
      <c r="C41" s="769" t="s">
        <v>4</v>
      </c>
      <c r="D41" s="729">
        <v>9.0025033377837094</v>
      </c>
      <c r="F41" s="717">
        <v>0</v>
      </c>
      <c r="H41" s="729">
        <v>9.0025033377837094</v>
      </c>
      <c r="I41" s="730"/>
      <c r="K41" s="641">
        <v>2023</v>
      </c>
      <c r="M41" s="314" t="s">
        <v>77</v>
      </c>
    </row>
    <row r="42" spans="2:13" s="717" customFormat="1" ht="12.6" hidden="1" customHeight="1">
      <c r="B42" s="313">
        <v>2023</v>
      </c>
      <c r="C42" s="769" t="s">
        <v>30</v>
      </c>
      <c r="D42" s="729">
        <v>12.113752525852799</v>
      </c>
      <c r="F42" s="717">
        <v>20.098901098901099</v>
      </c>
      <c r="H42" s="729">
        <v>16.106326812376949</v>
      </c>
      <c r="I42" s="730"/>
      <c r="K42" s="641">
        <v>2023</v>
      </c>
      <c r="M42" s="314" t="s">
        <v>78</v>
      </c>
    </row>
    <row r="43" spans="2:13" s="717" customFormat="1" ht="12.6" hidden="1" customHeight="1">
      <c r="B43" s="313">
        <v>2023</v>
      </c>
      <c r="C43" s="769" t="s">
        <v>36</v>
      </c>
      <c r="D43" s="729">
        <v>9.6688755878580608</v>
      </c>
      <c r="F43" s="717">
        <v>11.8768472906404</v>
      </c>
      <c r="H43" s="729">
        <v>10.77286143924923</v>
      </c>
      <c r="I43" s="730"/>
      <c r="K43" s="641">
        <v>2023</v>
      </c>
      <c r="M43" s="314" t="s">
        <v>79</v>
      </c>
    </row>
    <row r="44" spans="2:13" s="717" customFormat="1" ht="12.6" hidden="1" customHeight="1">
      <c r="B44" s="313">
        <v>2023</v>
      </c>
      <c r="C44" s="769" t="s">
        <v>37</v>
      </c>
      <c r="D44" s="729">
        <v>8.8496379035227708</v>
      </c>
      <c r="F44" s="717">
        <v>11.796296296296299</v>
      </c>
      <c r="H44" s="729">
        <v>10.322967099909535</v>
      </c>
      <c r="I44" s="730"/>
      <c r="K44" s="641">
        <v>2023</v>
      </c>
      <c r="M44" s="314" t="s">
        <v>80</v>
      </c>
    </row>
    <row r="45" spans="2:13" s="717" customFormat="1" ht="12.6" hidden="1" customHeight="1">
      <c r="B45" s="313">
        <v>2023</v>
      </c>
      <c r="C45" s="769" t="s">
        <v>31</v>
      </c>
      <c r="D45" s="729">
        <v>8.2638212546548306</v>
      </c>
      <c r="F45" s="717">
        <v>12.156028368794299</v>
      </c>
      <c r="H45" s="729">
        <v>10.322967099909535</v>
      </c>
      <c r="I45" s="730"/>
      <c r="K45" s="641">
        <v>2023</v>
      </c>
      <c r="M45" s="314" t="s">
        <v>31</v>
      </c>
    </row>
    <row r="46" spans="2:13" s="717" customFormat="1" ht="12.6" hidden="1" customHeight="1">
      <c r="B46" s="313">
        <v>2023</v>
      </c>
      <c r="C46" s="769" t="s">
        <v>38</v>
      </c>
      <c r="D46" s="729">
        <v>8.5609860971764409</v>
      </c>
      <c r="F46" s="717">
        <v>13.301801801801799</v>
      </c>
      <c r="H46" s="729">
        <v>10.93139394948912</v>
      </c>
      <c r="I46" s="730"/>
      <c r="K46" s="641">
        <v>2023</v>
      </c>
      <c r="M46" s="314" t="s">
        <v>38</v>
      </c>
    </row>
    <row r="47" spans="2:13" s="717" customFormat="1" ht="12.6" hidden="1" customHeight="1">
      <c r="B47" s="313">
        <v>2023</v>
      </c>
      <c r="C47" s="769" t="s">
        <v>39</v>
      </c>
      <c r="D47" s="729">
        <v>8.9337466098411493</v>
      </c>
      <c r="F47" s="717">
        <v>11.7169117647059</v>
      </c>
      <c r="H47" s="729">
        <v>10.325329187273525</v>
      </c>
      <c r="I47" s="730"/>
      <c r="K47" s="641">
        <v>2023</v>
      </c>
      <c r="M47" s="314" t="s">
        <v>39</v>
      </c>
    </row>
    <row r="48" spans="2:13" s="717" customFormat="1" ht="12.6" hidden="1" customHeight="1">
      <c r="B48" s="313">
        <v>2023</v>
      </c>
      <c r="C48" s="769" t="s">
        <v>32</v>
      </c>
      <c r="D48" s="729">
        <v>10.011481768813001</v>
      </c>
      <c r="F48" s="717">
        <v>11.5625</v>
      </c>
      <c r="H48" s="729">
        <v>10.786990884406499</v>
      </c>
      <c r="I48" s="730"/>
      <c r="K48" s="641">
        <v>2023</v>
      </c>
      <c r="M48" s="314" t="s">
        <v>32</v>
      </c>
    </row>
    <row r="49" spans="2:13" s="717" customFormat="1" ht="12.6" customHeight="1">
      <c r="B49" s="313">
        <v>2023</v>
      </c>
      <c r="C49" s="769" t="s">
        <v>33</v>
      </c>
      <c r="D49" s="729">
        <v>8.9765880812049801</v>
      </c>
      <c r="F49" s="717">
        <v>22.805755395683001</v>
      </c>
      <c r="H49" s="729">
        <v>9.2904854211435808</v>
      </c>
      <c r="I49" s="730"/>
      <c r="K49" s="641">
        <v>2024</v>
      </c>
      <c r="M49" s="314" t="s">
        <v>33</v>
      </c>
    </row>
    <row r="50" spans="2:13" s="717" customFormat="1" ht="12.6" hidden="1" customHeight="1">
      <c r="B50" s="313">
        <v>2024</v>
      </c>
      <c r="C50" s="769" t="s">
        <v>34</v>
      </c>
      <c r="D50" s="729">
        <v>9.7158407889872525</v>
      </c>
      <c r="F50" s="717">
        <v>11.1</v>
      </c>
      <c r="H50" s="729">
        <v>9.7972619190468269</v>
      </c>
      <c r="I50" s="730"/>
      <c r="K50" s="641">
        <v>2024</v>
      </c>
      <c r="M50" s="314" t="s">
        <v>75</v>
      </c>
    </row>
    <row r="51" spans="2:13" s="717" customFormat="1" ht="12.6" hidden="1" customHeight="1">
      <c r="B51" s="313">
        <v>2024</v>
      </c>
      <c r="C51" s="769" t="s">
        <v>29</v>
      </c>
      <c r="D51" s="773">
        <v>8.9</v>
      </c>
      <c r="F51" s="717">
        <v>12</v>
      </c>
      <c r="H51" s="729">
        <v>9.0040366111241497</v>
      </c>
      <c r="I51" s="867"/>
      <c r="K51" s="641">
        <v>2024</v>
      </c>
      <c r="M51" s="314" t="s">
        <v>29</v>
      </c>
    </row>
    <row r="52" spans="2:13" s="717" customFormat="1" ht="12.6" hidden="1" customHeight="1">
      <c r="B52" s="313">
        <v>2024</v>
      </c>
      <c r="C52" s="769" t="s">
        <v>35</v>
      </c>
      <c r="D52" s="773">
        <v>9.3372309327664098</v>
      </c>
      <c r="F52" s="717">
        <v>10.8629943502825</v>
      </c>
      <c r="H52" s="729">
        <v>9.3916799782822924</v>
      </c>
      <c r="I52" s="867"/>
      <c r="K52" s="641">
        <v>2024</v>
      </c>
      <c r="M52" s="314" t="s">
        <v>76</v>
      </c>
    </row>
    <row r="53" spans="2:13" s="717" customFormat="1" ht="12.6" hidden="1" customHeight="1">
      <c r="B53" s="313">
        <v>2024</v>
      </c>
      <c r="C53" s="769" t="s">
        <v>4</v>
      </c>
      <c r="D53" s="773">
        <v>10.3217559093102</v>
      </c>
      <c r="F53" s="727" t="s">
        <v>43</v>
      </c>
      <c r="H53" s="729">
        <v>10.3217559093102</v>
      </c>
      <c r="I53" s="867"/>
      <c r="K53" s="641">
        <v>2024</v>
      </c>
      <c r="M53" s="314" t="s">
        <v>77</v>
      </c>
    </row>
    <row r="54" spans="2:13" s="717" customFormat="1" ht="14.25" hidden="1" customHeight="1">
      <c r="B54" s="313">
        <v>2024</v>
      </c>
      <c r="C54" s="769" t="s">
        <v>30</v>
      </c>
      <c r="D54" s="773">
        <v>10.7047619047619</v>
      </c>
      <c r="F54" s="774">
        <v>2.3571428571428599</v>
      </c>
      <c r="H54" s="729">
        <v>10.619712296533486</v>
      </c>
      <c r="I54" s="867"/>
      <c r="K54" s="641">
        <v>2024</v>
      </c>
      <c r="M54" s="314" t="s">
        <v>78</v>
      </c>
    </row>
    <row r="55" spans="2:13" s="717" customFormat="1" ht="14.25" hidden="1" customHeight="1">
      <c r="B55" s="313">
        <v>2024</v>
      </c>
      <c r="C55" s="769" t="s">
        <v>36</v>
      </c>
      <c r="D55" s="773">
        <v>10.328593194514999</v>
      </c>
      <c r="F55" s="774">
        <v>8.4948453608247405</v>
      </c>
      <c r="H55" s="729">
        <v>10.287140493543674</v>
      </c>
      <c r="I55" s="867"/>
      <c r="K55" s="641">
        <v>2024</v>
      </c>
      <c r="M55" s="314" t="s">
        <v>79</v>
      </c>
    </row>
    <row r="56" spans="2:13" s="717" customFormat="1" ht="14.25" hidden="1" customHeight="1">
      <c r="B56" s="313">
        <v>2024</v>
      </c>
      <c r="C56" s="769" t="s">
        <v>37</v>
      </c>
      <c r="D56" s="773">
        <v>10.901218013280998</v>
      </c>
      <c r="F56" s="727" t="s">
        <v>43</v>
      </c>
      <c r="H56" s="729">
        <v>10.901218013280998</v>
      </c>
      <c r="I56" s="730"/>
      <c r="K56" s="641">
        <v>2024</v>
      </c>
      <c r="M56" s="314" t="s">
        <v>80</v>
      </c>
    </row>
    <row r="57" spans="2:13" s="717" customFormat="1" ht="14.25" hidden="1" customHeight="1">
      <c r="B57" s="313">
        <v>2024</v>
      </c>
      <c r="C57" s="769" t="s">
        <v>31</v>
      </c>
      <c r="D57" s="894">
        <v>11.3884150675195</v>
      </c>
      <c r="F57" s="727">
        <v>18.8851540616247</v>
      </c>
      <c r="H57" s="729">
        <v>11.902791434059804</v>
      </c>
      <c r="I57" s="730"/>
      <c r="K57" s="641">
        <v>2024</v>
      </c>
      <c r="M57" s="314" t="s">
        <v>31</v>
      </c>
    </row>
    <row r="58" spans="2:13" s="717" customFormat="1" ht="11.25" hidden="1" customHeight="1">
      <c r="B58" s="313">
        <v>2024</v>
      </c>
      <c r="C58" s="769" t="s">
        <v>38</v>
      </c>
      <c r="D58" s="894">
        <v>8.5966488167213679</v>
      </c>
      <c r="F58" s="727">
        <v>12.839393939393901</v>
      </c>
      <c r="H58" s="729">
        <v>8.8409953944669066</v>
      </c>
      <c r="I58" s="730"/>
      <c r="K58" s="641">
        <v>2024</v>
      </c>
      <c r="M58" s="314" t="s">
        <v>38</v>
      </c>
    </row>
    <row r="59" spans="2:13" s="717" customFormat="1" ht="12" hidden="1" customHeight="1">
      <c r="B59" s="313">
        <v>2024</v>
      </c>
      <c r="C59" s="769" t="s">
        <v>39</v>
      </c>
      <c r="D59" s="894">
        <v>8.6951294069696345</v>
      </c>
      <c r="F59" s="727">
        <v>13.529850746268657</v>
      </c>
      <c r="H59" s="729">
        <v>8.9856631272039085</v>
      </c>
      <c r="I59" s="730"/>
      <c r="K59" s="641">
        <v>2024</v>
      </c>
      <c r="M59" s="314" t="s">
        <v>39</v>
      </c>
    </row>
    <row r="60" spans="2:13" s="717" customFormat="1" ht="14.25" hidden="1" customHeight="1">
      <c r="B60" s="313">
        <v>2024</v>
      </c>
      <c r="C60" s="769" t="s">
        <v>32</v>
      </c>
      <c r="D60" s="894">
        <v>9.6335299073294021</v>
      </c>
      <c r="F60" s="727">
        <v>11.732718894009217</v>
      </c>
      <c r="H60" s="729">
        <v>9.7541026998411855</v>
      </c>
      <c r="I60" s="730"/>
      <c r="K60" s="641">
        <v>2024</v>
      </c>
      <c r="M60" s="314" t="s">
        <v>81</v>
      </c>
    </row>
    <row r="61" spans="2:13" s="717" customFormat="1" ht="14.25" customHeight="1">
      <c r="B61" s="313">
        <v>2025</v>
      </c>
      <c r="C61" s="769" t="s">
        <v>33</v>
      </c>
      <c r="D61" s="894">
        <v>10.279888785912883</v>
      </c>
      <c r="F61" s="727">
        <v>13.237354892205639</v>
      </c>
      <c r="H61" s="729">
        <v>10.433369183101904</v>
      </c>
      <c r="I61" s="867"/>
      <c r="K61" s="641">
        <v>2025</v>
      </c>
      <c r="M61" s="314" t="s">
        <v>33</v>
      </c>
    </row>
    <row r="62" spans="2:13" s="717" customFormat="1" ht="14.25" customHeight="1">
      <c r="B62" s="313"/>
      <c r="C62" s="769" t="s">
        <v>34</v>
      </c>
      <c r="D62" s="894">
        <v>9.0070621468926557</v>
      </c>
      <c r="F62" s="727">
        <v>18.329113924050635</v>
      </c>
      <c r="H62" s="729">
        <v>9.5238860942173353</v>
      </c>
      <c r="I62" s="730"/>
      <c r="K62" s="641"/>
      <c r="M62" s="314" t="s">
        <v>75</v>
      </c>
    </row>
    <row r="63" spans="2:13" s="717" customFormat="1" ht="14.25" customHeight="1">
      <c r="B63" s="313"/>
      <c r="C63" s="769" t="s">
        <v>29</v>
      </c>
      <c r="D63" s="894">
        <v>8.6551264980026623</v>
      </c>
      <c r="F63" s="727">
        <v>5.833333333333333</v>
      </c>
      <c r="H63" s="729">
        <v>8.6497659486776843</v>
      </c>
      <c r="I63" s="730"/>
      <c r="K63" s="641"/>
      <c r="M63" s="314" t="s">
        <v>29</v>
      </c>
    </row>
    <row r="64" spans="2:13" s="717" customFormat="1" ht="14.25" customHeight="1">
      <c r="B64" s="313"/>
      <c r="C64" s="769" t="s">
        <v>35</v>
      </c>
      <c r="D64" s="894">
        <v>8.4471532846715327</v>
      </c>
      <c r="F64" s="720" t="s">
        <v>332</v>
      </c>
      <c r="H64" s="729">
        <v>8.4471532846715327</v>
      </c>
      <c r="I64" s="730"/>
      <c r="K64" s="641"/>
      <c r="M64" s="314" t="s">
        <v>76</v>
      </c>
    </row>
    <row r="65" spans="2:13" s="717" customFormat="1" ht="14.25" customHeight="1">
      <c r="B65" s="313"/>
      <c r="C65" s="769" t="s">
        <v>4</v>
      </c>
      <c r="D65" s="894">
        <v>7.8348836039999998</v>
      </c>
      <c r="F65" s="720" t="s">
        <v>332</v>
      </c>
      <c r="H65" s="729">
        <v>7.8348836039999998</v>
      </c>
      <c r="I65" s="730"/>
      <c r="K65" s="641"/>
      <c r="M65" s="314" t="s">
        <v>77</v>
      </c>
    </row>
    <row r="66" spans="2:13" s="717" customFormat="1" ht="14.25" customHeight="1">
      <c r="B66" s="313"/>
      <c r="C66" s="769" t="s">
        <v>30</v>
      </c>
      <c r="D66" s="874">
        <v>8.5104912998976463</v>
      </c>
      <c r="F66" s="720" t="s">
        <v>332</v>
      </c>
      <c r="H66" s="729">
        <v>8.5104912998976463</v>
      </c>
      <c r="I66" s="730"/>
      <c r="K66" s="641"/>
      <c r="M66" s="314" t="s">
        <v>78</v>
      </c>
    </row>
    <row r="67" spans="2:13" s="717" customFormat="1" ht="14.25" customHeight="1">
      <c r="B67" s="313"/>
      <c r="C67" s="769" t="s">
        <v>36</v>
      </c>
      <c r="D67" s="878">
        <v>8.5689143558784409</v>
      </c>
      <c r="F67" s="720" t="s">
        <v>332</v>
      </c>
      <c r="H67" s="729">
        <v>8.5689143558784409</v>
      </c>
      <c r="I67" s="730"/>
      <c r="K67" s="641"/>
      <c r="M67" s="314" t="s">
        <v>79</v>
      </c>
    </row>
    <row r="68" spans="2:13" s="717" customFormat="1" ht="14.25" customHeight="1">
      <c r="B68" s="313"/>
      <c r="C68" s="769" t="s">
        <v>37</v>
      </c>
      <c r="D68" s="878">
        <v>7.9974007561436675</v>
      </c>
      <c r="F68" s="720" t="s">
        <v>332</v>
      </c>
      <c r="H68" s="729">
        <v>7.9974007561436675</v>
      </c>
      <c r="I68" s="730"/>
      <c r="K68" s="641"/>
      <c r="M68" s="716" t="s">
        <v>80</v>
      </c>
    </row>
    <row r="69" spans="2:13" s="717" customFormat="1" ht="14.25" customHeight="1">
      <c r="B69" s="313"/>
      <c r="C69" s="769" t="s">
        <v>31</v>
      </c>
      <c r="D69" s="878">
        <v>7.8981614004183642</v>
      </c>
      <c r="F69" s="720" t="s">
        <v>332</v>
      </c>
      <c r="H69" s="729">
        <v>7.8981614004183642</v>
      </c>
      <c r="I69" s="730"/>
      <c r="K69" s="641"/>
      <c r="M69" s="716" t="s">
        <v>31</v>
      </c>
    </row>
    <row r="70" spans="2:13" s="717" customFormat="1" ht="14.25" customHeight="1">
      <c r="B70" s="313"/>
      <c r="C70" s="769" t="s">
        <v>38</v>
      </c>
      <c r="D70" s="878">
        <v>8.3088521899682011</v>
      </c>
      <c r="F70" s="720" t="s">
        <v>332</v>
      </c>
      <c r="H70" s="729">
        <v>8.3088521899682011</v>
      </c>
      <c r="I70" s="730"/>
      <c r="K70" s="641"/>
      <c r="M70" s="716" t="s">
        <v>38</v>
      </c>
    </row>
    <row r="71" spans="2:13" s="717" customFormat="1" ht="14.25" customHeight="1">
      <c r="B71" s="313"/>
      <c r="C71" s="769" t="s">
        <v>39</v>
      </c>
      <c r="D71" s="878">
        <v>8.9067592839967933</v>
      </c>
      <c r="F71" s="720" t="s">
        <v>332</v>
      </c>
      <c r="H71" s="729">
        <v>8.9067592839967933</v>
      </c>
      <c r="I71" s="730"/>
      <c r="K71" s="641"/>
      <c r="M71" s="716" t="s">
        <v>39</v>
      </c>
    </row>
    <row r="72" spans="2:13" s="717" customFormat="1" ht="14.25" customHeight="1">
      <c r="B72" s="313"/>
      <c r="C72" s="769" t="s">
        <v>32</v>
      </c>
      <c r="D72" s="878">
        <v>10.670703436869863</v>
      </c>
      <c r="F72" s="720" t="s">
        <v>332</v>
      </c>
      <c r="H72" s="729">
        <v>10.670703436869863</v>
      </c>
      <c r="I72" s="730"/>
      <c r="K72" s="641"/>
      <c r="M72" s="716" t="s">
        <v>81</v>
      </c>
    </row>
    <row r="73" spans="2:13" s="717" customFormat="1" ht="14.25" customHeight="1">
      <c r="B73" s="772">
        <v>2026</v>
      </c>
      <c r="C73" s="770" t="s">
        <v>33</v>
      </c>
      <c r="D73" s="873">
        <v>9.5752444925632982</v>
      </c>
      <c r="E73" s="737"/>
      <c r="F73" s="872" t="s">
        <v>332</v>
      </c>
      <c r="G73" s="737"/>
      <c r="H73" s="736">
        <v>9.5752444925632982</v>
      </c>
      <c r="I73" s="738"/>
      <c r="J73" s="737"/>
      <c r="K73" s="725">
        <v>2026</v>
      </c>
      <c r="L73" s="737"/>
      <c r="M73" s="825" t="s">
        <v>33</v>
      </c>
    </row>
    <row r="74" spans="2:13" ht="16.5" customHeight="1">
      <c r="B74" s="670" t="s">
        <v>338</v>
      </c>
      <c r="C74" s="345"/>
      <c r="D74" s="739"/>
      <c r="E74" s="739"/>
      <c r="F74" s="739"/>
      <c r="G74" s="739"/>
      <c r="M74" s="325"/>
    </row>
    <row r="75" spans="2:13" ht="13.2">
      <c r="B75" s="341"/>
      <c r="C75" s="741" t="s">
        <v>265</v>
      </c>
      <c r="M75" s="325"/>
    </row>
    <row r="76" spans="2:13" ht="13.2">
      <c r="B76" s="341"/>
      <c r="C76" s="342" t="s">
        <v>337</v>
      </c>
      <c r="M76" s="325"/>
    </row>
    <row r="77" spans="2:13" ht="13.2">
      <c r="D77" s="742"/>
      <c r="E77" s="742"/>
      <c r="F77" s="724"/>
      <c r="K77" s="695"/>
      <c r="L77" s="695"/>
    </row>
    <row r="78" spans="2:13" ht="13.2">
      <c r="D78" s="742"/>
      <c r="E78" s="742"/>
      <c r="F78" s="724"/>
      <c r="K78" s="695"/>
      <c r="L78" s="695"/>
    </row>
    <row r="79" spans="2:13" ht="13.2">
      <c r="D79" s="742"/>
      <c r="E79" s="742"/>
      <c r="F79" s="724"/>
      <c r="K79" s="695"/>
      <c r="L79" s="695"/>
    </row>
    <row r="80" spans="2:13" ht="13.2">
      <c r="D80" s="742"/>
      <c r="E80" s="742"/>
      <c r="F80" s="724"/>
      <c r="K80" s="695"/>
      <c r="L80" s="695"/>
    </row>
    <row r="81" spans="4:12" ht="13.2">
      <c r="D81" s="742"/>
      <c r="E81" s="742"/>
      <c r="F81" s="724"/>
      <c r="K81" s="695"/>
      <c r="L81" s="695"/>
    </row>
    <row r="82" spans="4:12" ht="13.2">
      <c r="D82" s="742"/>
      <c r="E82" s="742"/>
      <c r="F82" s="724"/>
      <c r="K82" s="695"/>
      <c r="L82" s="695"/>
    </row>
    <row r="83" spans="4:12" ht="13.2">
      <c r="F83" s="724"/>
    </row>
    <row r="84" spans="4:12" ht="13.2">
      <c r="F84" s="724"/>
    </row>
    <row r="85" spans="4:12" ht="13.2">
      <c r="D85" s="742"/>
      <c r="E85" s="742"/>
      <c r="F85" s="724"/>
      <c r="K85" s="695"/>
      <c r="L85" s="695"/>
    </row>
    <row r="86" spans="4:12" ht="13.2">
      <c r="D86" s="742"/>
      <c r="E86" s="742"/>
      <c r="F86" s="724"/>
      <c r="K86" s="695"/>
      <c r="L86" s="695"/>
    </row>
  </sheetData>
  <mergeCells count="6">
    <mergeCell ref="M5:M6"/>
    <mergeCell ref="B5:B6"/>
    <mergeCell ref="C5:C6"/>
    <mergeCell ref="D5:H5"/>
    <mergeCell ref="J5:J6"/>
    <mergeCell ref="K5:K6"/>
  </mergeCells>
  <phoneticPr fontId="100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 &amp;RInternational Visitors Arrival January 2026</oddHeader>
    <oddFooter>&amp;CPage 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pageSetUpPr fitToPage="1"/>
  </sheetPr>
  <dimension ref="A2:V98"/>
  <sheetViews>
    <sheetView zoomScaleNormal="100" workbookViewId="0">
      <selection activeCell="S61" sqref="S61"/>
    </sheetView>
  </sheetViews>
  <sheetFormatPr defaultColWidth="9.109375" defaultRowHeight="10.199999999999999"/>
  <cols>
    <col min="1" max="1" width="3.6640625" style="695" customWidth="1"/>
    <col min="2" max="2" width="6.6640625" style="695" customWidth="1"/>
    <col min="3" max="3" width="1.5546875" style="695" customWidth="1"/>
    <col min="4" max="4" width="8" style="695" customWidth="1"/>
    <col min="5" max="5" width="22.5546875" style="740" customWidth="1"/>
    <col min="6" max="6" width="4.44140625" style="740" bestFit="1" customWidth="1"/>
    <col min="7" max="7" width="20.109375" style="740" customWidth="1"/>
    <col min="8" max="8" width="2.6640625" style="740" bestFit="1" customWidth="1"/>
    <col min="9" max="9" width="20.109375" style="740" customWidth="1"/>
    <col min="10" max="10" width="2.6640625" style="740" bestFit="1" customWidth="1"/>
    <col min="11" max="11" width="15.88671875" style="695" hidden="1" customWidth="1"/>
    <col min="12" max="12" width="7.33203125" style="694" bestFit="1" customWidth="1"/>
    <col min="13" max="13" width="1" style="694" customWidth="1"/>
    <col min="14" max="14" width="7.88671875" style="695" customWidth="1"/>
    <col min="15" max="15" width="3" style="695" customWidth="1"/>
    <col min="16" max="16" width="9.109375" style="695"/>
    <col min="17" max="17" width="13.5546875" style="695" customWidth="1"/>
    <col min="18" max="18" width="12.44140625" style="695" customWidth="1"/>
    <col min="19" max="19" width="20.44140625" style="695" customWidth="1"/>
    <col min="20" max="20" width="17.33203125" style="695" customWidth="1"/>
    <col min="21" max="21" width="14.44140625" style="695" customWidth="1"/>
    <col min="22" max="22" width="13.109375" style="695" customWidth="1"/>
    <col min="23" max="16384" width="9.109375" style="695"/>
  </cols>
  <sheetData>
    <row r="2" spans="2:22" ht="15.6">
      <c r="B2" s="690" t="s">
        <v>196</v>
      </c>
      <c r="C2" s="690"/>
      <c r="D2" s="690"/>
      <c r="E2" s="691"/>
      <c r="F2" s="691"/>
      <c r="G2" s="691"/>
      <c r="H2" s="691"/>
      <c r="I2" s="692"/>
      <c r="J2" s="692"/>
      <c r="K2" s="693"/>
    </row>
    <row r="3" spans="2:22" ht="15.6">
      <c r="B3" s="690" t="s">
        <v>172</v>
      </c>
      <c r="C3" s="690"/>
      <c r="D3" s="690"/>
      <c r="E3" s="691"/>
      <c r="F3" s="691"/>
      <c r="G3" s="691"/>
      <c r="H3" s="691"/>
      <c r="I3" s="692"/>
      <c r="J3" s="692"/>
      <c r="K3" s="693"/>
      <c r="L3" s="694" t="s">
        <v>132</v>
      </c>
    </row>
    <row r="4" spans="2:22" ht="6" customHeight="1">
      <c r="B4" s="696"/>
      <c r="C4" s="696"/>
      <c r="D4" s="696"/>
      <c r="E4" s="744"/>
      <c r="F4" s="697"/>
      <c r="G4" s="697"/>
      <c r="H4" s="697"/>
      <c r="I4" s="697"/>
      <c r="J4" s="697"/>
    </row>
    <row r="5" spans="2:22" s="326" customFormat="1" ht="17.25" customHeight="1">
      <c r="B5" s="988" t="s">
        <v>73</v>
      </c>
      <c r="C5" s="745"/>
      <c r="D5" s="982" t="s">
        <v>115</v>
      </c>
      <c r="E5" s="990" t="s">
        <v>179</v>
      </c>
      <c r="F5" s="991"/>
      <c r="G5" s="991"/>
      <c r="H5" s="991"/>
      <c r="I5" s="991"/>
      <c r="J5" s="746"/>
      <c r="K5" s="982" t="s">
        <v>169</v>
      </c>
      <c r="L5" s="980" t="s">
        <v>74</v>
      </c>
      <c r="M5" s="698"/>
      <c r="N5" s="978" t="s">
        <v>116</v>
      </c>
    </row>
    <row r="6" spans="2:22" s="326" customFormat="1" ht="15.75" customHeight="1">
      <c r="B6" s="989"/>
      <c r="C6" s="747"/>
      <c r="D6" s="983"/>
      <c r="E6" s="748" t="s">
        <v>145</v>
      </c>
      <c r="F6" s="702"/>
      <c r="G6" s="749" t="s">
        <v>146</v>
      </c>
      <c r="H6" s="702"/>
      <c r="I6" s="749" t="s">
        <v>160</v>
      </c>
      <c r="J6" s="750"/>
      <c r="K6" s="992"/>
      <c r="L6" s="981"/>
      <c r="M6" s="700"/>
      <c r="N6" s="979"/>
    </row>
    <row r="7" spans="2:22" s="326" customFormat="1" ht="12.6" customHeight="1">
      <c r="B7" s="755">
        <v>2021</v>
      </c>
      <c r="C7" s="715"/>
      <c r="D7" s="713"/>
      <c r="E7" s="751">
        <v>0</v>
      </c>
      <c r="F7" s="752"/>
      <c r="G7" s="752">
        <v>0</v>
      </c>
      <c r="H7" s="752"/>
      <c r="I7" s="752">
        <v>0</v>
      </c>
      <c r="J7" s="709"/>
      <c r="K7" s="753"/>
      <c r="L7" s="755">
        <v>2021</v>
      </c>
      <c r="M7" s="713"/>
      <c r="N7" s="712"/>
    </row>
    <row r="8" spans="2:22" s="326" customFormat="1" ht="12.6" customHeight="1">
      <c r="B8" s="755">
        <v>2022</v>
      </c>
      <c r="C8" s="715"/>
      <c r="D8" s="713"/>
      <c r="E8" s="751">
        <v>40.862780771018912</v>
      </c>
      <c r="F8" s="752"/>
      <c r="G8" s="752">
        <v>0</v>
      </c>
      <c r="H8" s="752"/>
      <c r="I8" s="752">
        <v>43.279447437685583</v>
      </c>
      <c r="J8" s="709"/>
      <c r="K8" s="753"/>
      <c r="L8" s="755">
        <v>2022</v>
      </c>
      <c r="M8" s="713"/>
      <c r="N8" s="712"/>
    </row>
    <row r="9" spans="2:22" s="326" customFormat="1" ht="12.6" customHeight="1">
      <c r="B9" s="755">
        <v>2023</v>
      </c>
      <c r="C9" s="715"/>
      <c r="D9" s="713"/>
      <c r="E9" s="751">
        <v>40.517536782659278</v>
      </c>
      <c r="F9" s="752"/>
      <c r="G9" s="752">
        <v>30.029238260928015</v>
      </c>
      <c r="H9" s="752"/>
      <c r="I9" s="752">
        <v>42.479239475432401</v>
      </c>
      <c r="J9" s="709"/>
      <c r="K9" s="753"/>
      <c r="L9" s="755">
        <v>2023</v>
      </c>
      <c r="M9" s="713"/>
      <c r="N9" s="712"/>
    </row>
    <row r="10" spans="2:22" s="326" customFormat="1" ht="12.6" customHeight="1">
      <c r="B10" s="755">
        <v>2024</v>
      </c>
      <c r="C10" s="715"/>
      <c r="D10" s="713"/>
      <c r="E10" s="751">
        <v>41.19355409334031</v>
      </c>
      <c r="F10" s="752"/>
      <c r="G10" s="752">
        <v>39.841305881450104</v>
      </c>
      <c r="H10" s="752"/>
      <c r="I10" s="752">
        <v>42.299044148410736</v>
      </c>
      <c r="J10" s="709"/>
      <c r="K10" s="753"/>
      <c r="L10" s="755">
        <v>2024</v>
      </c>
      <c r="M10" s="713"/>
      <c r="N10" s="712"/>
    </row>
    <row r="11" spans="2:22" s="326" customFormat="1" ht="12.6" customHeight="1">
      <c r="B11" s="755">
        <v>2025</v>
      </c>
      <c r="C11" s="715"/>
      <c r="D11" s="898"/>
      <c r="E11" s="752">
        <v>39.359258019695659</v>
      </c>
      <c r="F11" s="752"/>
      <c r="G11" s="752">
        <v>48.000337472142633</v>
      </c>
      <c r="H11" s="752"/>
      <c r="I11" s="752">
        <v>40.391413619246094</v>
      </c>
      <c r="J11" s="709"/>
      <c r="K11" s="753"/>
      <c r="L11" s="755">
        <v>2025</v>
      </c>
      <c r="M11" s="713"/>
      <c r="N11" s="712"/>
    </row>
    <row r="12" spans="2:22" s="326" customFormat="1" ht="12.6" customHeight="1">
      <c r="B12" s="756"/>
      <c r="C12" s="715"/>
      <c r="D12" s="713"/>
      <c r="E12" s="757"/>
      <c r="F12" s="707"/>
      <c r="G12" s="707"/>
      <c r="H12" s="707"/>
      <c r="I12" s="707"/>
      <c r="J12" s="709"/>
      <c r="K12" s="753"/>
      <c r="L12" s="754"/>
      <c r="M12" s="713"/>
      <c r="N12" s="712"/>
    </row>
    <row r="13" spans="2:22" s="326" customFormat="1" ht="12.6" customHeight="1">
      <c r="B13" s="705">
        <v>2021</v>
      </c>
      <c r="C13" s="714"/>
      <c r="D13" s="314" t="s">
        <v>33</v>
      </c>
      <c r="E13" s="719">
        <v>0</v>
      </c>
      <c r="F13" s="719"/>
      <c r="G13" s="719">
        <v>0</v>
      </c>
      <c r="H13" s="719"/>
      <c r="I13" s="759">
        <v>0</v>
      </c>
      <c r="J13" s="760"/>
      <c r="K13" s="325"/>
      <c r="L13" s="714">
        <v>2021</v>
      </c>
      <c r="M13" s="641"/>
      <c r="N13" s="314" t="s">
        <v>228</v>
      </c>
      <c r="Q13" s="695"/>
      <c r="R13" s="695"/>
      <c r="S13" s="695"/>
      <c r="T13" s="695"/>
      <c r="U13" s="695"/>
      <c r="V13" s="695"/>
    </row>
    <row r="14" spans="2:22" s="326" customFormat="1" ht="12.6" hidden="1" customHeight="1">
      <c r="B14" s="705">
        <v>2021</v>
      </c>
      <c r="C14" s="714"/>
      <c r="D14" s="314" t="s">
        <v>315</v>
      </c>
      <c r="E14" s="719">
        <v>0</v>
      </c>
      <c r="F14" s="719"/>
      <c r="G14" s="719">
        <v>0</v>
      </c>
      <c r="H14" s="719"/>
      <c r="I14" s="759">
        <v>0</v>
      </c>
      <c r="J14" s="760"/>
      <c r="K14" s="325"/>
      <c r="L14" s="714">
        <v>2021</v>
      </c>
      <c r="M14" s="641"/>
      <c r="N14" s="314" t="s">
        <v>322</v>
      </c>
      <c r="Q14" s="695"/>
      <c r="R14" s="695"/>
      <c r="S14" s="695"/>
      <c r="T14" s="695"/>
      <c r="U14" s="695"/>
      <c r="V14" s="695"/>
    </row>
    <row r="15" spans="2:22" s="326" customFormat="1" ht="12.6" hidden="1" customHeight="1">
      <c r="B15" s="705">
        <v>2021</v>
      </c>
      <c r="C15" s="714"/>
      <c r="D15" s="314" t="s">
        <v>29</v>
      </c>
      <c r="E15" s="719">
        <v>0</v>
      </c>
      <c r="F15" s="719"/>
      <c r="G15" s="719">
        <v>0</v>
      </c>
      <c r="H15" s="719"/>
      <c r="I15" s="759">
        <v>0</v>
      </c>
      <c r="J15" s="760"/>
      <c r="K15" s="325"/>
      <c r="L15" s="714">
        <v>2021</v>
      </c>
      <c r="M15" s="641"/>
      <c r="N15" s="314" t="s">
        <v>65</v>
      </c>
      <c r="Q15" s="695"/>
      <c r="R15" s="695"/>
      <c r="S15" s="695"/>
      <c r="T15" s="695"/>
      <c r="U15" s="695"/>
      <c r="V15" s="695"/>
    </row>
    <row r="16" spans="2:22" s="326" customFormat="1" ht="12.6" hidden="1" customHeight="1">
      <c r="B16" s="705">
        <v>2021</v>
      </c>
      <c r="C16" s="714"/>
      <c r="D16" s="314" t="s">
        <v>316</v>
      </c>
      <c r="E16" s="719">
        <v>0</v>
      </c>
      <c r="F16" s="719"/>
      <c r="G16" s="719">
        <v>0</v>
      </c>
      <c r="H16" s="719"/>
      <c r="I16" s="759">
        <v>0</v>
      </c>
      <c r="J16" s="760"/>
      <c r="K16" s="325"/>
      <c r="L16" s="714">
        <v>2021</v>
      </c>
      <c r="M16" s="641"/>
      <c r="N16" s="314" t="s">
        <v>318</v>
      </c>
      <c r="Q16" s="695"/>
      <c r="R16" s="695"/>
      <c r="S16" s="695"/>
      <c r="T16" s="695"/>
      <c r="U16" s="695"/>
      <c r="V16" s="695"/>
    </row>
    <row r="17" spans="1:22" s="326" customFormat="1" ht="12.6" hidden="1" customHeight="1">
      <c r="B17" s="705">
        <v>2021</v>
      </c>
      <c r="C17" s="714"/>
      <c r="D17" s="314" t="s">
        <v>4</v>
      </c>
      <c r="E17" s="719">
        <v>0</v>
      </c>
      <c r="F17" s="719"/>
      <c r="G17" s="719">
        <v>0</v>
      </c>
      <c r="H17" s="719"/>
      <c r="I17" s="759">
        <v>0</v>
      </c>
      <c r="J17" s="760"/>
      <c r="K17" s="325"/>
      <c r="L17" s="714">
        <v>2021</v>
      </c>
      <c r="M17" s="641"/>
      <c r="N17" s="314" t="s">
        <v>319</v>
      </c>
      <c r="Q17" s="695"/>
      <c r="R17" s="695"/>
      <c r="S17" s="695"/>
      <c r="T17" s="695"/>
      <c r="U17" s="695"/>
      <c r="V17" s="695"/>
    </row>
    <row r="18" spans="1:22" s="326" customFormat="1" ht="12.6" hidden="1" customHeight="1">
      <c r="B18" s="705">
        <v>2021</v>
      </c>
      <c r="C18" s="714"/>
      <c r="D18" s="314" t="s">
        <v>317</v>
      </c>
      <c r="E18" s="719">
        <v>0</v>
      </c>
      <c r="F18" s="719"/>
      <c r="G18" s="719">
        <v>0</v>
      </c>
      <c r="H18" s="719"/>
      <c r="I18" s="759">
        <v>0</v>
      </c>
      <c r="J18" s="760"/>
      <c r="K18" s="325"/>
      <c r="L18" s="714">
        <v>2021</v>
      </c>
      <c r="M18" s="641"/>
      <c r="N18" s="314" t="s">
        <v>320</v>
      </c>
      <c r="Q18" s="695"/>
      <c r="R18" s="695"/>
      <c r="S18" s="695"/>
      <c r="T18" s="695"/>
      <c r="U18" s="695"/>
      <c r="V18" s="695"/>
    </row>
    <row r="19" spans="1:22" s="326" customFormat="1" ht="12.6" hidden="1" customHeight="1">
      <c r="B19" s="705">
        <v>2021</v>
      </c>
      <c r="C19" s="714"/>
      <c r="D19" s="314" t="s">
        <v>233</v>
      </c>
      <c r="E19" s="719">
        <v>0</v>
      </c>
      <c r="F19" s="719"/>
      <c r="G19" s="719">
        <v>0</v>
      </c>
      <c r="H19" s="719"/>
      <c r="I19" s="759">
        <v>0</v>
      </c>
      <c r="J19" s="760"/>
      <c r="K19" s="325"/>
      <c r="L19" s="714">
        <v>2021</v>
      </c>
      <c r="M19" s="641"/>
      <c r="N19" s="314" t="s">
        <v>232</v>
      </c>
      <c r="Q19" s="695"/>
      <c r="R19" s="695"/>
      <c r="S19" s="695"/>
      <c r="T19" s="695"/>
      <c r="U19" s="695"/>
      <c r="V19" s="695"/>
    </row>
    <row r="20" spans="1:22" s="326" customFormat="1" ht="12.6" hidden="1" customHeight="1">
      <c r="B20" s="705">
        <v>2021</v>
      </c>
      <c r="C20" s="714"/>
      <c r="D20" s="314" t="s">
        <v>237</v>
      </c>
      <c r="E20" s="719">
        <v>0</v>
      </c>
      <c r="F20" s="719"/>
      <c r="G20" s="719">
        <v>0</v>
      </c>
      <c r="H20" s="719"/>
      <c r="I20" s="759">
        <v>0</v>
      </c>
      <c r="J20" s="760"/>
      <c r="K20" s="325"/>
      <c r="L20" s="714">
        <v>2021</v>
      </c>
      <c r="M20" s="641"/>
      <c r="N20" s="314" t="s">
        <v>321</v>
      </c>
      <c r="Q20" s="695"/>
      <c r="R20" s="695"/>
      <c r="S20" s="695"/>
      <c r="T20" s="695"/>
      <c r="U20" s="695"/>
      <c r="V20" s="695"/>
    </row>
    <row r="21" spans="1:22" s="326" customFormat="1" ht="12.6" hidden="1" customHeight="1">
      <c r="B21" s="705">
        <v>2021</v>
      </c>
      <c r="C21" s="714"/>
      <c r="D21" s="314" t="s">
        <v>312</v>
      </c>
      <c r="E21" s="719">
        <v>0</v>
      </c>
      <c r="F21" s="719"/>
      <c r="G21" s="719">
        <v>0</v>
      </c>
      <c r="H21" s="719"/>
      <c r="I21" s="759">
        <v>0</v>
      </c>
      <c r="J21" s="760"/>
      <c r="K21" s="325"/>
      <c r="L21" s="714">
        <v>2021</v>
      </c>
      <c r="M21" s="641"/>
      <c r="N21" s="314" t="s">
        <v>312</v>
      </c>
      <c r="Q21" s="695"/>
      <c r="R21" s="695"/>
      <c r="S21" s="695"/>
      <c r="T21" s="695"/>
      <c r="U21" s="695"/>
      <c r="V21" s="695"/>
    </row>
    <row r="22" spans="1:22" s="326" customFormat="1" ht="12.6" hidden="1" customHeight="1">
      <c r="B22" s="705">
        <v>2021</v>
      </c>
      <c r="C22" s="714"/>
      <c r="D22" s="314" t="s">
        <v>50</v>
      </c>
      <c r="E22" s="719">
        <v>0</v>
      </c>
      <c r="F22" s="719"/>
      <c r="G22" s="719">
        <v>0</v>
      </c>
      <c r="H22" s="719"/>
      <c r="I22" s="759">
        <v>0</v>
      </c>
      <c r="J22" s="760"/>
      <c r="K22" s="325"/>
      <c r="L22" s="714">
        <v>2021</v>
      </c>
      <c r="M22" s="641"/>
      <c r="N22" s="314" t="s">
        <v>50</v>
      </c>
      <c r="Q22" s="695"/>
      <c r="R22" s="695"/>
      <c r="S22" s="695"/>
      <c r="T22" s="695"/>
      <c r="U22" s="695"/>
      <c r="V22" s="695"/>
    </row>
    <row r="23" spans="1:22" s="326" customFormat="1" ht="12.6" hidden="1" customHeight="1">
      <c r="B23" s="705">
        <v>2021</v>
      </c>
      <c r="C23" s="714"/>
      <c r="D23" s="314" t="s">
        <v>313</v>
      </c>
      <c r="E23" s="719">
        <v>0</v>
      </c>
      <c r="F23" s="719"/>
      <c r="G23" s="719">
        <v>0</v>
      </c>
      <c r="H23" s="719"/>
      <c r="I23" s="759">
        <v>0</v>
      </c>
      <c r="J23" s="760"/>
      <c r="K23" s="325"/>
      <c r="L23" s="714">
        <v>2021</v>
      </c>
      <c r="M23" s="641"/>
      <c r="N23" s="314" t="s">
        <v>313</v>
      </c>
      <c r="Q23" s="695"/>
      <c r="R23" s="695"/>
      <c r="S23" s="695"/>
      <c r="T23" s="695"/>
      <c r="U23" s="695"/>
      <c r="V23" s="695"/>
    </row>
    <row r="24" spans="1:22" s="326" customFormat="1" ht="12.6" hidden="1" customHeight="1">
      <c r="B24" s="705">
        <v>2021</v>
      </c>
      <c r="C24" s="714"/>
      <c r="D24" s="314" t="s">
        <v>314</v>
      </c>
      <c r="E24" s="719">
        <v>0</v>
      </c>
      <c r="F24" s="719"/>
      <c r="G24" s="719">
        <v>0</v>
      </c>
      <c r="H24" s="719"/>
      <c r="I24" s="759">
        <v>0</v>
      </c>
      <c r="J24" s="760"/>
      <c r="K24" s="325"/>
      <c r="L24" s="714">
        <v>2021</v>
      </c>
      <c r="M24" s="641"/>
      <c r="N24" s="314" t="s">
        <v>81</v>
      </c>
      <c r="Q24" s="695"/>
      <c r="R24" s="695"/>
      <c r="S24" s="695"/>
      <c r="T24" s="695"/>
      <c r="U24" s="695"/>
      <c r="V24" s="695"/>
    </row>
    <row r="25" spans="1:22" s="326" customFormat="1" ht="12.6" customHeight="1">
      <c r="A25" s="716"/>
      <c r="B25" s="714">
        <v>2022</v>
      </c>
      <c r="C25" s="714"/>
      <c r="D25" s="314" t="s">
        <v>228</v>
      </c>
      <c r="E25" s="719">
        <v>0</v>
      </c>
      <c r="F25" s="719"/>
      <c r="G25" s="719">
        <v>0</v>
      </c>
      <c r="H25" s="719"/>
      <c r="I25" s="759">
        <v>0</v>
      </c>
      <c r="J25" s="760"/>
      <c r="K25" s="325"/>
      <c r="L25" s="714">
        <v>2022</v>
      </c>
      <c r="M25" s="641"/>
      <c r="N25" s="314" t="s">
        <v>228</v>
      </c>
      <c r="Q25" s="695"/>
      <c r="R25" s="695"/>
      <c r="S25" s="695"/>
      <c r="T25" s="695"/>
      <c r="U25" s="695"/>
      <c r="V25" s="695"/>
    </row>
    <row r="26" spans="1:22" s="326" customFormat="1" ht="12.6" hidden="1" customHeight="1">
      <c r="A26" s="716"/>
      <c r="B26" s="714">
        <v>2022</v>
      </c>
      <c r="C26" s="714"/>
      <c r="D26" s="314" t="s">
        <v>315</v>
      </c>
      <c r="E26" s="719">
        <v>0</v>
      </c>
      <c r="F26" s="719"/>
      <c r="G26" s="719">
        <v>0</v>
      </c>
      <c r="H26" s="719"/>
      <c r="I26" s="759">
        <v>0</v>
      </c>
      <c r="J26" s="760"/>
      <c r="K26" s="325"/>
      <c r="L26" s="714">
        <v>2022</v>
      </c>
      <c r="M26" s="641"/>
      <c r="N26" s="314" t="s">
        <v>322</v>
      </c>
      <c r="Q26" s="695"/>
      <c r="R26" s="695"/>
      <c r="S26" s="695"/>
      <c r="T26" s="695"/>
      <c r="U26" s="695"/>
      <c r="V26" s="695"/>
    </row>
    <row r="27" spans="1:22" s="326" customFormat="1" ht="12.6" hidden="1" customHeight="1">
      <c r="A27" s="716"/>
      <c r="B27" s="714">
        <v>2022</v>
      </c>
      <c r="C27" s="714"/>
      <c r="D27" s="314" t="s">
        <v>65</v>
      </c>
      <c r="E27" s="719">
        <v>0</v>
      </c>
      <c r="F27" s="719"/>
      <c r="G27" s="719">
        <v>0</v>
      </c>
      <c r="H27" s="719"/>
      <c r="I27" s="759">
        <v>0</v>
      </c>
      <c r="J27" s="760"/>
      <c r="K27" s="325"/>
      <c r="L27" s="714">
        <v>2022</v>
      </c>
      <c r="M27" s="641"/>
      <c r="N27" s="314" t="s">
        <v>65</v>
      </c>
      <c r="Q27" s="695"/>
      <c r="R27" s="695"/>
      <c r="S27" s="695"/>
      <c r="T27" s="695"/>
      <c r="U27" s="695"/>
      <c r="V27" s="695"/>
    </row>
    <row r="28" spans="1:22" s="326" customFormat="1" ht="12.6" hidden="1" customHeight="1">
      <c r="A28" s="716"/>
      <c r="B28" s="714">
        <v>2022</v>
      </c>
      <c r="C28" s="714"/>
      <c r="D28" s="314" t="s">
        <v>316</v>
      </c>
      <c r="E28" s="719">
        <v>0</v>
      </c>
      <c r="F28" s="719"/>
      <c r="G28" s="719">
        <v>0</v>
      </c>
      <c r="H28" s="719"/>
      <c r="I28" s="759">
        <v>0</v>
      </c>
      <c r="J28" s="760"/>
      <c r="K28" s="325"/>
      <c r="L28" s="714">
        <v>2022</v>
      </c>
      <c r="M28" s="641"/>
      <c r="N28" s="314" t="s">
        <v>318</v>
      </c>
      <c r="Q28" s="695"/>
      <c r="R28" s="695"/>
      <c r="S28" s="695"/>
      <c r="T28" s="695"/>
      <c r="U28" s="695"/>
      <c r="V28" s="695"/>
    </row>
    <row r="29" spans="1:22" s="326" customFormat="1" ht="12.6" hidden="1" customHeight="1">
      <c r="A29" s="716"/>
      <c r="B29" s="714">
        <v>2022</v>
      </c>
      <c r="C29" s="714"/>
      <c r="D29" s="314" t="s">
        <v>231</v>
      </c>
      <c r="E29" s="719">
        <v>0</v>
      </c>
      <c r="F29" s="719"/>
      <c r="G29" s="719">
        <v>0</v>
      </c>
      <c r="H29" s="719"/>
      <c r="I29" s="759">
        <v>0</v>
      </c>
      <c r="J29" s="760"/>
      <c r="K29" s="325"/>
      <c r="L29" s="714">
        <v>2022</v>
      </c>
      <c r="M29" s="641"/>
      <c r="N29" s="314" t="s">
        <v>319</v>
      </c>
      <c r="Q29" s="695"/>
      <c r="R29" s="695"/>
      <c r="S29" s="695"/>
      <c r="T29" s="695"/>
      <c r="U29" s="695"/>
      <c r="V29" s="695"/>
    </row>
    <row r="30" spans="1:22" s="326" customFormat="1" ht="12.6" hidden="1" customHeight="1">
      <c r="A30" s="716"/>
      <c r="B30" s="714">
        <v>2022</v>
      </c>
      <c r="C30" s="714"/>
      <c r="D30" s="314" t="s">
        <v>317</v>
      </c>
      <c r="E30" s="719">
        <v>0</v>
      </c>
      <c r="F30" s="719"/>
      <c r="G30" s="719">
        <v>0</v>
      </c>
      <c r="H30" s="719"/>
      <c r="I30" s="759">
        <v>0</v>
      </c>
      <c r="J30" s="760"/>
      <c r="K30" s="325"/>
      <c r="L30" s="714">
        <v>2022</v>
      </c>
      <c r="M30" s="641"/>
      <c r="N30" s="314" t="s">
        <v>320</v>
      </c>
      <c r="Q30" s="695"/>
      <c r="R30" s="695"/>
      <c r="S30" s="695"/>
      <c r="T30" s="695"/>
      <c r="U30" s="695"/>
      <c r="V30" s="695"/>
    </row>
    <row r="31" spans="1:22" s="326" customFormat="1" ht="12.6" hidden="1" customHeight="1">
      <c r="A31" s="716"/>
      <c r="B31" s="714">
        <v>2022</v>
      </c>
      <c r="C31" s="714"/>
      <c r="D31" s="314" t="s">
        <v>233</v>
      </c>
      <c r="E31" s="719">
        <v>41.6</v>
      </c>
      <c r="F31" s="719"/>
      <c r="G31" s="763" t="s">
        <v>43</v>
      </c>
      <c r="H31" s="719"/>
      <c r="I31" s="759">
        <v>56.1</v>
      </c>
      <c r="J31" s="760"/>
      <c r="K31" s="325"/>
      <c r="L31" s="714">
        <v>2022</v>
      </c>
      <c r="M31" s="641"/>
      <c r="N31" s="314" t="s">
        <v>232</v>
      </c>
      <c r="Q31" s="695"/>
      <c r="R31" s="695"/>
      <c r="S31" s="695"/>
      <c r="T31" s="695"/>
      <c r="U31" s="695"/>
      <c r="V31" s="695"/>
    </row>
    <row r="32" spans="1:22" s="326" customFormat="1" ht="12.6" hidden="1" customHeight="1">
      <c r="A32" s="716"/>
      <c r="B32" s="714">
        <v>2022</v>
      </c>
      <c r="C32" s="714"/>
      <c r="D32" s="314" t="s">
        <v>37</v>
      </c>
      <c r="E32" s="719">
        <v>43.404358865848501</v>
      </c>
      <c r="F32" s="719"/>
      <c r="G32" s="727" t="s">
        <v>43</v>
      </c>
      <c r="H32" s="719"/>
      <c r="I32" s="759">
        <v>43.404358865848501</v>
      </c>
      <c r="J32" s="760"/>
      <c r="K32" s="325"/>
      <c r="L32" s="714">
        <v>2022</v>
      </c>
      <c r="M32" s="641"/>
      <c r="N32" s="314" t="s">
        <v>80</v>
      </c>
      <c r="Q32" s="695"/>
      <c r="R32" s="695"/>
      <c r="S32" s="695"/>
      <c r="T32" s="695"/>
      <c r="U32" s="695"/>
      <c r="V32" s="695"/>
    </row>
    <row r="33" spans="2:22" s="326" customFormat="1" ht="12.6" hidden="1" customHeight="1">
      <c r="B33" s="705">
        <v>2022</v>
      </c>
      <c r="C33" s="714"/>
      <c r="D33" s="314" t="s">
        <v>31</v>
      </c>
      <c r="E33" s="719">
        <v>39.472325760265001</v>
      </c>
      <c r="F33" s="719"/>
      <c r="G33" s="761">
        <v>0</v>
      </c>
      <c r="H33" s="719"/>
      <c r="I33" s="759">
        <v>39.472325760265001</v>
      </c>
      <c r="J33" s="760"/>
      <c r="K33" s="325"/>
      <c r="L33" s="714">
        <v>2022</v>
      </c>
      <c r="M33" s="641"/>
      <c r="N33" s="314" t="s">
        <v>31</v>
      </c>
      <c r="Q33" s="695"/>
      <c r="R33" s="695"/>
      <c r="S33" s="695"/>
      <c r="T33" s="695"/>
      <c r="U33" s="695"/>
      <c r="V33" s="695"/>
    </row>
    <row r="34" spans="2:22" s="326" customFormat="1" ht="12.6" hidden="1" customHeight="1">
      <c r="B34" s="705">
        <v>2022</v>
      </c>
      <c r="C34" s="714"/>
      <c r="D34" s="769" t="s">
        <v>50</v>
      </c>
      <c r="E34" s="762">
        <v>41.3</v>
      </c>
      <c r="F34" s="762"/>
      <c r="G34" s="763" t="s">
        <v>43</v>
      </c>
      <c r="H34" s="762"/>
      <c r="I34" s="762">
        <v>41.3</v>
      </c>
      <c r="J34" s="760"/>
      <c r="K34" s="325"/>
      <c r="L34" s="714">
        <v>2022</v>
      </c>
      <c r="M34" s="641"/>
      <c r="N34" s="314" t="s">
        <v>50</v>
      </c>
      <c r="Q34" s="695"/>
      <c r="R34" s="695"/>
      <c r="S34" s="695"/>
      <c r="T34" s="695"/>
      <c r="U34" s="695"/>
      <c r="V34" s="695"/>
    </row>
    <row r="35" spans="2:22" s="326" customFormat="1" ht="12.6" hidden="1" customHeight="1">
      <c r="B35" s="705">
        <v>2022</v>
      </c>
      <c r="C35" s="714"/>
      <c r="D35" s="769" t="s">
        <v>313</v>
      </c>
      <c r="E35" s="762">
        <v>42.8</v>
      </c>
      <c r="F35" s="762"/>
      <c r="G35" s="763" t="s">
        <v>43</v>
      </c>
      <c r="H35" s="762"/>
      <c r="I35" s="762">
        <v>42.8</v>
      </c>
      <c r="J35" s="759"/>
      <c r="K35" s="325"/>
      <c r="L35" s="705">
        <v>2022</v>
      </c>
      <c r="M35" s="641"/>
      <c r="N35" s="314" t="s">
        <v>313</v>
      </c>
      <c r="Q35" s="695"/>
      <c r="R35" s="695"/>
      <c r="S35" s="695"/>
      <c r="T35" s="695"/>
      <c r="U35" s="695"/>
      <c r="V35" s="695"/>
    </row>
    <row r="36" spans="2:22" s="326" customFormat="1" ht="12.6" hidden="1" customHeight="1">
      <c r="B36" s="705">
        <v>2022</v>
      </c>
      <c r="C36" s="714"/>
      <c r="D36" s="769" t="s">
        <v>314</v>
      </c>
      <c r="E36" s="762">
        <v>36.6</v>
      </c>
      <c r="F36" s="762"/>
      <c r="G36" s="727" t="s">
        <v>43</v>
      </c>
      <c r="H36" s="762"/>
      <c r="I36" s="762">
        <v>36.6</v>
      </c>
      <c r="J36" s="759"/>
      <c r="K36" s="325"/>
      <c r="L36" s="705">
        <v>2022</v>
      </c>
      <c r="M36" s="641"/>
      <c r="N36" s="314" t="s">
        <v>327</v>
      </c>
      <c r="Q36" s="695"/>
      <c r="R36" s="695"/>
      <c r="S36" s="695"/>
      <c r="T36" s="695"/>
      <c r="U36" s="695"/>
      <c r="V36" s="695"/>
    </row>
    <row r="37" spans="2:22" s="326" customFormat="1" ht="12.6" customHeight="1">
      <c r="B37" s="705">
        <v>2023</v>
      </c>
      <c r="C37" s="714"/>
      <c r="D37" s="769" t="s">
        <v>33</v>
      </c>
      <c r="E37" s="718">
        <v>36.269341408024196</v>
      </c>
      <c r="F37" s="719"/>
      <c r="G37" s="761">
        <v>0</v>
      </c>
      <c r="H37" s="719"/>
      <c r="I37" s="759">
        <v>36.269341408024196</v>
      </c>
      <c r="J37" s="759"/>
      <c r="K37" s="325"/>
      <c r="L37" s="705">
        <v>2023</v>
      </c>
      <c r="M37" s="641"/>
      <c r="N37" s="314" t="s">
        <v>33</v>
      </c>
      <c r="Q37" s="695"/>
      <c r="R37" s="695"/>
      <c r="S37" s="695"/>
      <c r="T37" s="695"/>
      <c r="U37" s="695"/>
      <c r="V37" s="695"/>
    </row>
    <row r="38" spans="2:22" s="326" customFormat="1" ht="12.6" hidden="1" customHeight="1">
      <c r="B38" s="705">
        <v>2023</v>
      </c>
      <c r="C38" s="714"/>
      <c r="D38" s="769" t="s">
        <v>34</v>
      </c>
      <c r="E38" s="719">
        <v>42.575940860215098</v>
      </c>
      <c r="F38" s="719"/>
      <c r="G38" s="761">
        <v>0</v>
      </c>
      <c r="H38" s="719"/>
      <c r="I38" s="759">
        <v>42.575940860215098</v>
      </c>
      <c r="J38" s="760"/>
      <c r="K38" s="325"/>
      <c r="L38" s="705">
        <v>2023</v>
      </c>
      <c r="M38" s="641"/>
      <c r="N38" s="314" t="s">
        <v>75</v>
      </c>
      <c r="Q38" s="695"/>
      <c r="R38" s="695"/>
      <c r="S38" s="695"/>
      <c r="T38" s="695"/>
      <c r="U38" s="695"/>
      <c r="V38" s="695"/>
    </row>
    <row r="39" spans="2:22" s="326" customFormat="1" ht="12.6" hidden="1" customHeight="1">
      <c r="B39" s="705">
        <v>2023</v>
      </c>
      <c r="C39" s="714"/>
      <c r="D39" s="769" t="s">
        <v>29</v>
      </c>
      <c r="E39" s="719">
        <v>38.333030852994497</v>
      </c>
      <c r="F39" s="719"/>
      <c r="G39" s="727" t="s">
        <v>43</v>
      </c>
      <c r="H39" s="719"/>
      <c r="I39" s="759">
        <v>38.333030852994497</v>
      </c>
      <c r="J39" s="760"/>
      <c r="K39" s="325"/>
      <c r="L39" s="705">
        <v>2023</v>
      </c>
      <c r="M39" s="641"/>
      <c r="N39" s="314" t="s">
        <v>29</v>
      </c>
      <c r="Q39" s="695"/>
      <c r="R39" s="695"/>
      <c r="S39" s="695"/>
      <c r="T39" s="695"/>
      <c r="U39" s="695"/>
      <c r="V39" s="695"/>
    </row>
    <row r="40" spans="2:22" s="326" customFormat="1" ht="12.6" hidden="1" customHeight="1">
      <c r="B40" s="705">
        <v>2023</v>
      </c>
      <c r="C40" s="714"/>
      <c r="D40" s="771" t="s">
        <v>35</v>
      </c>
      <c r="E40" s="719">
        <v>38.699092088197098</v>
      </c>
      <c r="F40" s="719"/>
      <c r="G40" s="761">
        <v>0</v>
      </c>
      <c r="H40" s="719"/>
      <c r="I40" s="759">
        <v>38.699092088197098</v>
      </c>
      <c r="J40" s="760"/>
      <c r="K40" s="325"/>
      <c r="L40" s="705">
        <v>2023</v>
      </c>
      <c r="M40" s="641"/>
      <c r="N40" s="314" t="s">
        <v>76</v>
      </c>
      <c r="Q40" s="695"/>
      <c r="R40" s="695"/>
      <c r="S40" s="695"/>
      <c r="T40" s="695"/>
      <c r="U40" s="695"/>
      <c r="V40" s="695"/>
    </row>
    <row r="41" spans="2:22" s="326" customFormat="1" ht="12.6" hidden="1" customHeight="1">
      <c r="B41" s="705">
        <v>2023</v>
      </c>
      <c r="C41" s="714"/>
      <c r="D41" s="314" t="s">
        <v>4</v>
      </c>
      <c r="E41" s="719">
        <v>43.2018557422969</v>
      </c>
      <c r="F41" s="719"/>
      <c r="G41" s="719">
        <v>0</v>
      </c>
      <c r="H41" s="719"/>
      <c r="I41" s="759">
        <v>43.2018557422969</v>
      </c>
      <c r="J41" s="760"/>
      <c r="K41" s="325"/>
      <c r="L41" s="705">
        <v>2023</v>
      </c>
      <c r="M41" s="641"/>
      <c r="N41" s="314" t="s">
        <v>77</v>
      </c>
      <c r="Q41" s="695"/>
      <c r="R41" s="695"/>
      <c r="S41" s="695"/>
      <c r="T41" s="695"/>
      <c r="U41" s="695"/>
      <c r="V41" s="695"/>
    </row>
    <row r="42" spans="2:22" s="326" customFormat="1" ht="12.6" hidden="1" customHeight="1">
      <c r="B42" s="705">
        <v>2023</v>
      </c>
      <c r="C42" s="714"/>
      <c r="D42" s="314" t="s">
        <v>30</v>
      </c>
      <c r="E42" s="719">
        <v>39.217864668695903</v>
      </c>
      <c r="F42" s="719"/>
      <c r="G42" s="719">
        <v>45.260869565217398</v>
      </c>
      <c r="H42" s="719"/>
      <c r="I42" s="759">
        <v>42.23936711695665</v>
      </c>
      <c r="J42" s="760"/>
      <c r="K42" s="325"/>
      <c r="L42" s="705">
        <v>2023</v>
      </c>
      <c r="M42" s="641"/>
      <c r="N42" s="314" t="s">
        <v>78</v>
      </c>
      <c r="Q42" s="695"/>
      <c r="R42" s="695"/>
      <c r="S42" s="695"/>
      <c r="T42" s="695"/>
      <c r="U42" s="695"/>
      <c r="V42" s="695"/>
    </row>
    <row r="43" spans="2:22" s="326" customFormat="1" ht="12.6" hidden="1" customHeight="1">
      <c r="B43" s="705">
        <v>2023</v>
      </c>
      <c r="C43" s="714"/>
      <c r="D43" s="314" t="s">
        <v>36</v>
      </c>
      <c r="E43" s="719">
        <v>43.2751445086705</v>
      </c>
      <c r="F43" s="719"/>
      <c r="G43" s="719">
        <v>48.625</v>
      </c>
      <c r="H43" s="719"/>
      <c r="I43" s="759">
        <v>45.950072254335254</v>
      </c>
      <c r="J43" s="760"/>
      <c r="K43" s="325"/>
      <c r="L43" s="705">
        <v>2023</v>
      </c>
      <c r="M43" s="641"/>
      <c r="N43" s="314" t="s">
        <v>79</v>
      </c>
      <c r="Q43" s="695"/>
      <c r="R43" s="695"/>
      <c r="S43" s="695"/>
      <c r="T43" s="695"/>
      <c r="U43" s="695"/>
      <c r="V43" s="695"/>
    </row>
    <row r="44" spans="2:22" s="326" customFormat="1" ht="12.6" hidden="1" customHeight="1">
      <c r="B44" s="705">
        <v>2023</v>
      </c>
      <c r="C44" s="714"/>
      <c r="D44" s="314" t="s">
        <v>37</v>
      </c>
      <c r="E44" s="719">
        <v>41.797973706428699</v>
      </c>
      <c r="F44" s="719"/>
      <c r="G44" s="719">
        <v>49.111801242235998</v>
      </c>
      <c r="H44" s="719"/>
      <c r="I44" s="759">
        <v>45.454887474332352</v>
      </c>
      <c r="J44" s="760"/>
      <c r="K44" s="325"/>
      <c r="L44" s="705">
        <v>2023</v>
      </c>
      <c r="M44" s="641"/>
      <c r="N44" s="314" t="s">
        <v>80</v>
      </c>
      <c r="Q44" s="695"/>
      <c r="R44" s="695"/>
      <c r="S44" s="695"/>
      <c r="T44" s="695"/>
      <c r="U44" s="695"/>
      <c r="V44" s="695"/>
    </row>
    <row r="45" spans="2:22" s="326" customFormat="1" ht="12.6" hidden="1" customHeight="1">
      <c r="B45" s="705">
        <v>2023</v>
      </c>
      <c r="C45" s="714"/>
      <c r="D45" s="314" t="s">
        <v>31</v>
      </c>
      <c r="E45" s="719">
        <v>39.9264020341856</v>
      </c>
      <c r="F45" s="719"/>
      <c r="G45" s="719">
        <v>47.092948717948701</v>
      </c>
      <c r="H45" s="719"/>
      <c r="I45" s="759">
        <v>45.454887474332352</v>
      </c>
      <c r="J45" s="760"/>
      <c r="K45" s="325"/>
      <c r="L45" s="705">
        <v>2023</v>
      </c>
      <c r="M45" s="641"/>
      <c r="N45" s="314" t="s">
        <v>31</v>
      </c>
      <c r="Q45" s="695"/>
      <c r="R45" s="695"/>
      <c r="S45" s="695"/>
      <c r="T45" s="695"/>
      <c r="U45" s="695"/>
      <c r="V45" s="695"/>
    </row>
    <row r="46" spans="2:22" s="326" customFormat="1" ht="12.6" hidden="1" customHeight="1">
      <c r="B46" s="705">
        <v>2023</v>
      </c>
      <c r="C46" s="714"/>
      <c r="D46" s="314" t="s">
        <v>38</v>
      </c>
      <c r="E46" s="719">
        <v>42.3330527497194</v>
      </c>
      <c r="F46" s="719"/>
      <c r="G46" s="719">
        <v>56.678111587982798</v>
      </c>
      <c r="H46" s="719"/>
      <c r="I46" s="759">
        <v>49.505582168851099</v>
      </c>
      <c r="J46" s="760"/>
      <c r="K46" s="325"/>
      <c r="L46" s="705">
        <v>2023</v>
      </c>
      <c r="M46" s="641"/>
      <c r="N46" s="314" t="s">
        <v>38</v>
      </c>
      <c r="Q46" s="695"/>
      <c r="R46" s="695"/>
      <c r="S46" s="695"/>
      <c r="T46" s="695"/>
      <c r="U46" s="695"/>
      <c r="V46" s="695"/>
    </row>
    <row r="47" spans="2:22" s="326" customFormat="1" ht="12.6" hidden="1" customHeight="1">
      <c r="B47" s="705">
        <v>2023</v>
      </c>
      <c r="C47" s="714"/>
      <c r="D47" s="314" t="s">
        <v>39</v>
      </c>
      <c r="E47" s="719">
        <v>42.881220209723502</v>
      </c>
      <c r="F47" s="719"/>
      <c r="G47" s="719">
        <v>44.537313432835802</v>
      </c>
      <c r="H47" s="719"/>
      <c r="I47" s="759">
        <v>43.709266821279655</v>
      </c>
      <c r="J47" s="760"/>
      <c r="K47" s="325"/>
      <c r="L47" s="705">
        <v>2023</v>
      </c>
      <c r="M47" s="641"/>
      <c r="N47" s="314" t="s">
        <v>39</v>
      </c>
      <c r="Q47" s="695"/>
      <c r="R47" s="695"/>
      <c r="S47" s="695"/>
      <c r="T47" s="695"/>
      <c r="U47" s="695"/>
      <c r="V47" s="695"/>
    </row>
    <row r="48" spans="2:22" s="326" customFormat="1" ht="12.6" hidden="1" customHeight="1">
      <c r="B48" s="705">
        <v>2023</v>
      </c>
      <c r="C48" s="714"/>
      <c r="D48" s="314" t="s">
        <v>32</v>
      </c>
      <c r="E48" s="719">
        <v>37.699522562759903</v>
      </c>
      <c r="F48" s="719"/>
      <c r="G48" s="719">
        <v>39.015576323987503</v>
      </c>
      <c r="H48" s="719"/>
      <c r="I48" s="759">
        <v>38.357549443373699</v>
      </c>
      <c r="J48" s="760"/>
      <c r="K48" s="325"/>
      <c r="L48" s="705">
        <v>2023</v>
      </c>
      <c r="M48" s="641"/>
      <c r="N48" s="314" t="s">
        <v>81</v>
      </c>
      <c r="Q48" s="695"/>
      <c r="R48" s="695"/>
      <c r="S48" s="695"/>
      <c r="T48" s="695"/>
      <c r="U48" s="695"/>
      <c r="V48" s="695"/>
    </row>
    <row r="49" spans="2:22" s="326" customFormat="1" ht="12.6" customHeight="1">
      <c r="B49" s="705">
        <v>2024</v>
      </c>
      <c r="C49" s="714"/>
      <c r="D49" s="314" t="s">
        <v>33</v>
      </c>
      <c r="E49" s="719">
        <v>37.901127635234502</v>
      </c>
      <c r="F49" s="719"/>
      <c r="G49" s="719">
        <v>37.818181818181799</v>
      </c>
      <c r="H49" s="719"/>
      <c r="I49" s="759">
        <v>37.85965472670815</v>
      </c>
      <c r="J49" s="760"/>
      <c r="K49" s="325"/>
      <c r="L49" s="714">
        <v>2024</v>
      </c>
      <c r="M49" s="641"/>
      <c r="N49" s="314" t="s">
        <v>33</v>
      </c>
      <c r="Q49" s="695"/>
      <c r="R49" s="695"/>
      <c r="S49" s="695"/>
      <c r="T49" s="695"/>
      <c r="U49" s="695"/>
      <c r="V49" s="695"/>
    </row>
    <row r="50" spans="2:22" s="326" customFormat="1" ht="12.6" hidden="1" customHeight="1">
      <c r="B50" s="705">
        <v>2024</v>
      </c>
      <c r="C50" s="714"/>
      <c r="D50" s="314" t="s">
        <v>34</v>
      </c>
      <c r="E50" s="719">
        <v>43.598999999999997</v>
      </c>
      <c r="F50" s="719"/>
      <c r="G50" s="719">
        <v>48</v>
      </c>
      <c r="H50" s="719"/>
      <c r="I50" s="759">
        <v>45.799499999999995</v>
      </c>
      <c r="J50" s="760"/>
      <c r="K50" s="325"/>
      <c r="L50" s="714">
        <v>2024</v>
      </c>
      <c r="M50" s="641"/>
      <c r="N50" s="314" t="s">
        <v>34</v>
      </c>
      <c r="Q50" s="695"/>
      <c r="R50" s="695"/>
      <c r="S50" s="695"/>
      <c r="T50" s="695"/>
      <c r="U50" s="695"/>
      <c r="V50" s="695"/>
    </row>
    <row r="51" spans="2:22" s="326" customFormat="1" ht="12.6" hidden="1" customHeight="1">
      <c r="B51" s="705">
        <v>2024</v>
      </c>
      <c r="C51" s="714"/>
      <c r="D51" s="314" t="s">
        <v>29</v>
      </c>
      <c r="E51" s="719">
        <v>41.52605612087573</v>
      </c>
      <c r="F51" s="719"/>
      <c r="G51" s="719">
        <v>44.103999999999999</v>
      </c>
      <c r="H51" s="719"/>
      <c r="I51" s="759">
        <v>42.815028060437868</v>
      </c>
      <c r="J51" s="760"/>
      <c r="K51" s="325"/>
      <c r="L51" s="714">
        <v>2024</v>
      </c>
      <c r="M51" s="641"/>
      <c r="N51" s="314" t="s">
        <v>29</v>
      </c>
      <c r="Q51" s="695"/>
      <c r="R51" s="695"/>
      <c r="S51" s="695"/>
      <c r="T51" s="695"/>
      <c r="U51" s="695"/>
      <c r="V51" s="695"/>
    </row>
    <row r="52" spans="2:22" s="326" customFormat="1" ht="12.6" hidden="1" customHeight="1">
      <c r="B52" s="705">
        <v>2024</v>
      </c>
      <c r="C52" s="714"/>
      <c r="D52" s="314" t="s">
        <v>35</v>
      </c>
      <c r="E52" s="719">
        <v>39.9447927199191</v>
      </c>
      <c r="F52" s="719"/>
      <c r="G52" s="719">
        <v>44.556149732620298</v>
      </c>
      <c r="H52" s="719"/>
      <c r="I52" s="759">
        <v>42.250471226269696</v>
      </c>
      <c r="J52" s="760"/>
      <c r="K52" s="325"/>
      <c r="L52" s="714">
        <v>2024</v>
      </c>
      <c r="M52" s="641"/>
      <c r="N52" s="314" t="s">
        <v>76</v>
      </c>
      <c r="Q52" s="695"/>
      <c r="R52" s="695"/>
      <c r="S52" s="695"/>
      <c r="T52" s="695"/>
      <c r="U52" s="695"/>
      <c r="V52" s="695"/>
    </row>
    <row r="53" spans="2:22" s="326" customFormat="1" ht="12.6" hidden="1" customHeight="1">
      <c r="B53" s="705">
        <v>2024</v>
      </c>
      <c r="C53" s="714"/>
      <c r="D53" s="314" t="s">
        <v>4</v>
      </c>
      <c r="E53" s="719">
        <v>39.9447927199191</v>
      </c>
      <c r="F53" s="719"/>
      <c r="G53" s="719">
        <v>44.556149732620298</v>
      </c>
      <c r="H53" s="719"/>
      <c r="I53" s="759">
        <v>42.250471226269696</v>
      </c>
      <c r="J53" s="760"/>
      <c r="K53" s="325"/>
      <c r="L53" s="714">
        <v>2024</v>
      </c>
      <c r="M53" s="641"/>
      <c r="N53" s="314" t="s">
        <v>77</v>
      </c>
      <c r="Q53" s="695"/>
      <c r="R53" s="695"/>
      <c r="S53" s="695"/>
      <c r="T53" s="695"/>
      <c r="U53" s="695"/>
      <c r="V53" s="695"/>
    </row>
    <row r="54" spans="2:22" s="326" customFormat="1" ht="12.6" hidden="1" customHeight="1">
      <c r="B54" s="705">
        <v>2024</v>
      </c>
      <c r="C54" s="714"/>
      <c r="D54" s="314" t="s">
        <v>30</v>
      </c>
      <c r="E54" s="719">
        <v>43.648148148148103</v>
      </c>
      <c r="F54" s="719"/>
      <c r="G54" s="719">
        <v>37.048780487804898</v>
      </c>
      <c r="H54" s="719"/>
      <c r="I54" s="759">
        <v>40.3484643179765</v>
      </c>
      <c r="J54" s="760"/>
      <c r="K54" s="325"/>
      <c r="L54" s="714">
        <v>2024</v>
      </c>
      <c r="M54" s="641"/>
      <c r="N54" s="314" t="s">
        <v>78</v>
      </c>
      <c r="Q54" s="695"/>
      <c r="R54" s="695"/>
      <c r="S54" s="695"/>
      <c r="T54" s="695"/>
      <c r="U54" s="695"/>
      <c r="V54" s="695"/>
    </row>
    <row r="55" spans="2:22" s="326" customFormat="1" ht="12.6" hidden="1" customHeight="1">
      <c r="B55" s="705">
        <v>2024</v>
      </c>
      <c r="C55" s="714"/>
      <c r="D55" s="314" t="s">
        <v>36</v>
      </c>
      <c r="E55" s="719">
        <v>40.929661421077697</v>
      </c>
      <c r="F55" s="719"/>
      <c r="G55" s="719">
        <v>54.597938144329902</v>
      </c>
      <c r="H55" s="719"/>
      <c r="I55" s="759">
        <v>47.763799782703799</v>
      </c>
      <c r="J55" s="760"/>
      <c r="K55" s="325"/>
      <c r="L55" s="714">
        <v>2024</v>
      </c>
      <c r="M55" s="641"/>
      <c r="N55" s="314" t="s">
        <v>79</v>
      </c>
      <c r="Q55" s="695"/>
      <c r="R55" s="695"/>
      <c r="S55" s="695"/>
      <c r="T55" s="695"/>
      <c r="U55" s="695"/>
      <c r="V55" s="695"/>
    </row>
    <row r="56" spans="2:22" s="326" customFormat="1" ht="12.6" hidden="1" customHeight="1">
      <c r="B56" s="705">
        <v>2024</v>
      </c>
      <c r="C56" s="714"/>
      <c r="D56" s="314" t="s">
        <v>37</v>
      </c>
      <c r="E56" s="719">
        <v>44.437145020825398</v>
      </c>
      <c r="F56" s="719"/>
      <c r="G56" s="719">
        <v>0</v>
      </c>
      <c r="H56" s="719"/>
      <c r="I56" s="759">
        <v>44.437145020825398</v>
      </c>
      <c r="J56" s="760"/>
      <c r="K56" s="325"/>
      <c r="L56" s="714">
        <v>2024</v>
      </c>
      <c r="M56" s="641"/>
      <c r="N56" s="314" t="s">
        <v>80</v>
      </c>
      <c r="Q56" s="695"/>
      <c r="R56" s="695"/>
      <c r="S56" s="695"/>
      <c r="T56" s="695"/>
      <c r="U56" s="695"/>
      <c r="V56" s="695"/>
    </row>
    <row r="57" spans="2:22" s="326" customFormat="1" ht="12.6" hidden="1" customHeight="1">
      <c r="B57" s="705">
        <v>2024</v>
      </c>
      <c r="C57" s="714"/>
      <c r="D57" s="314" t="s">
        <v>31</v>
      </c>
      <c r="E57" s="719">
        <v>41.194225721784797</v>
      </c>
      <c r="F57" s="719"/>
      <c r="G57" s="719">
        <v>41.098326359832598</v>
      </c>
      <c r="H57" s="719"/>
      <c r="I57" s="759">
        <v>41.146276040808701</v>
      </c>
      <c r="J57" s="760"/>
      <c r="K57" s="325"/>
      <c r="L57" s="714">
        <v>2024</v>
      </c>
      <c r="M57" s="641"/>
      <c r="N57" s="314" t="s">
        <v>31</v>
      </c>
      <c r="Q57" s="695"/>
      <c r="R57" s="695"/>
      <c r="S57" s="695"/>
      <c r="T57" s="695"/>
      <c r="U57" s="695"/>
      <c r="V57" s="695"/>
    </row>
    <row r="58" spans="2:22" s="326" customFormat="1" ht="12.6" hidden="1" customHeight="1">
      <c r="B58" s="705">
        <v>2024</v>
      </c>
      <c r="C58" s="714"/>
      <c r="D58" s="314" t="s">
        <v>38</v>
      </c>
      <c r="E58" s="719">
        <v>42.145067848722867</v>
      </c>
      <c r="F58" s="719"/>
      <c r="G58" s="719">
        <v>46.913699031974197</v>
      </c>
      <c r="H58" s="719"/>
      <c r="I58" s="759">
        <v>44.529383440348532</v>
      </c>
      <c r="J58" s="760"/>
      <c r="K58" s="325"/>
      <c r="L58" s="714">
        <v>2024</v>
      </c>
      <c r="M58" s="641"/>
      <c r="N58" s="314" t="s">
        <v>38</v>
      </c>
      <c r="Q58" s="695"/>
      <c r="R58" s="695"/>
      <c r="S58" s="695"/>
      <c r="T58" s="695"/>
      <c r="U58" s="695"/>
      <c r="V58" s="695"/>
    </row>
    <row r="59" spans="2:22" s="326" customFormat="1" ht="12.6" hidden="1" customHeight="1">
      <c r="B59" s="705">
        <v>2024</v>
      </c>
      <c r="C59" s="714"/>
      <c r="D59" s="314" t="s">
        <v>39</v>
      </c>
      <c r="E59" s="719">
        <v>41.903144627205236</v>
      </c>
      <c r="F59" s="719"/>
      <c r="G59" s="719">
        <v>40.334435194470522</v>
      </c>
      <c r="H59" s="719"/>
      <c r="I59" s="759">
        <v>41.118789910837876</v>
      </c>
      <c r="J59" s="760"/>
      <c r="K59" s="325"/>
      <c r="L59" s="714">
        <v>2024</v>
      </c>
      <c r="M59" s="641"/>
      <c r="N59" s="314" t="s">
        <v>39</v>
      </c>
      <c r="Q59" s="695"/>
      <c r="R59" s="695"/>
      <c r="S59" s="695"/>
      <c r="T59" s="695"/>
      <c r="U59" s="695"/>
      <c r="V59" s="695"/>
    </row>
    <row r="60" spans="2:22" s="326" customFormat="1" ht="12.6" hidden="1" customHeight="1">
      <c r="B60" s="705">
        <v>2024</v>
      </c>
      <c r="C60" s="714"/>
      <c r="D60" s="314" t="s">
        <v>32</v>
      </c>
      <c r="E60" s="719">
        <v>37.149487136371278</v>
      </c>
      <c r="F60" s="719"/>
      <c r="G60" s="719">
        <v>39.068010075566754</v>
      </c>
      <c r="H60" s="719"/>
      <c r="I60" s="759">
        <v>37.269546027742749</v>
      </c>
      <c r="J60" s="760"/>
      <c r="K60" s="325"/>
      <c r="L60" s="714">
        <v>2024</v>
      </c>
      <c r="M60" s="641"/>
      <c r="N60" s="314" t="s">
        <v>81</v>
      </c>
      <c r="Q60" s="695"/>
      <c r="R60" s="695"/>
      <c r="S60" s="695"/>
      <c r="T60" s="695"/>
      <c r="U60" s="695"/>
      <c r="V60" s="695"/>
    </row>
    <row r="61" spans="2:22" s="326" customFormat="1" ht="12.6" customHeight="1">
      <c r="B61" s="705">
        <v>2025</v>
      </c>
      <c r="C61" s="714"/>
      <c r="D61" s="314" t="s">
        <v>33</v>
      </c>
      <c r="E61" s="719">
        <v>36.856179422835631</v>
      </c>
      <c r="F61" s="719"/>
      <c r="G61" s="719">
        <v>40.687679083094558</v>
      </c>
      <c r="H61" s="719"/>
      <c r="I61" s="759">
        <v>38.771929252965094</v>
      </c>
      <c r="J61" s="760"/>
      <c r="K61" s="325"/>
      <c r="L61" s="714">
        <v>2025</v>
      </c>
      <c r="M61" s="641"/>
      <c r="N61" s="314" t="s">
        <v>33</v>
      </c>
      <c r="Q61" s="695"/>
      <c r="R61" s="695"/>
      <c r="S61" s="695"/>
      <c r="T61" s="695"/>
      <c r="U61" s="695"/>
      <c r="V61" s="695"/>
    </row>
    <row r="62" spans="2:22" s="326" customFormat="1" ht="12.6" customHeight="1">
      <c r="B62" s="705"/>
      <c r="C62" s="714"/>
      <c r="D62" s="314" t="s">
        <v>34</v>
      </c>
      <c r="E62" s="719">
        <v>39.791287063110815</v>
      </c>
      <c r="F62" s="719"/>
      <c r="G62" s="719">
        <v>44.913333333333334</v>
      </c>
      <c r="H62" s="719"/>
      <c r="I62" s="759">
        <v>42.352310198222071</v>
      </c>
      <c r="J62" s="760"/>
      <c r="K62" s="325"/>
      <c r="L62" s="714"/>
      <c r="M62" s="641"/>
      <c r="N62" s="314" t="s">
        <v>75</v>
      </c>
      <c r="Q62" s="695"/>
      <c r="R62" s="695"/>
      <c r="S62" s="695"/>
      <c r="T62" s="695"/>
      <c r="U62" s="695"/>
      <c r="V62" s="695"/>
    </row>
    <row r="63" spans="2:22" s="326" customFormat="1" ht="12.6" customHeight="1">
      <c r="B63" s="705"/>
      <c r="C63" s="714"/>
      <c r="D63" s="314" t="s">
        <v>29</v>
      </c>
      <c r="E63" s="719">
        <v>42.581811541271001</v>
      </c>
      <c r="F63" s="719"/>
      <c r="G63" s="719">
        <v>58.4</v>
      </c>
      <c r="H63" s="719"/>
      <c r="I63" s="759">
        <v>50.4909057706355</v>
      </c>
      <c r="J63" s="760"/>
      <c r="K63" s="325"/>
      <c r="L63" s="714"/>
      <c r="M63" s="641"/>
      <c r="N63" s="314" t="s">
        <v>29</v>
      </c>
      <c r="Q63" s="695"/>
      <c r="R63" s="695"/>
      <c r="S63" s="695"/>
      <c r="T63" s="695"/>
      <c r="U63" s="695"/>
      <c r="V63" s="695"/>
    </row>
    <row r="64" spans="2:22" s="326" customFormat="1" ht="12.6" customHeight="1">
      <c r="B64" s="705"/>
      <c r="C64" s="714"/>
      <c r="D64" s="314" t="s">
        <v>35</v>
      </c>
      <c r="E64" s="719">
        <v>37.273968860966946</v>
      </c>
      <c r="F64" s="719"/>
      <c r="G64" s="720" t="s">
        <v>332</v>
      </c>
      <c r="H64" s="719"/>
      <c r="I64" s="759">
        <v>37.273968860966946</v>
      </c>
      <c r="J64" s="760"/>
      <c r="K64" s="325"/>
      <c r="L64" s="714"/>
      <c r="M64" s="641"/>
      <c r="N64" s="314" t="s">
        <v>76</v>
      </c>
      <c r="Q64" s="695"/>
      <c r="R64" s="695"/>
      <c r="S64" s="695"/>
      <c r="T64" s="695"/>
      <c r="U64" s="695"/>
      <c r="V64" s="695"/>
    </row>
    <row r="65" spans="2:22" s="326" customFormat="1" ht="12.6" customHeight="1">
      <c r="B65" s="705"/>
      <c r="C65" s="714"/>
      <c r="D65" s="314" t="s">
        <v>4</v>
      </c>
      <c r="E65" s="719">
        <v>41.947346189999998</v>
      </c>
      <c r="F65" s="719"/>
      <c r="G65" s="720" t="s">
        <v>332</v>
      </c>
      <c r="H65" s="719"/>
      <c r="I65" s="759">
        <v>41.947346189999998</v>
      </c>
      <c r="J65" s="760"/>
      <c r="K65" s="325"/>
      <c r="L65" s="714"/>
      <c r="M65" s="641"/>
      <c r="N65" s="314" t="s">
        <v>77</v>
      </c>
      <c r="Q65" s="695"/>
      <c r="R65" s="695"/>
      <c r="S65" s="695"/>
      <c r="T65" s="695"/>
      <c r="U65" s="695"/>
      <c r="V65" s="695"/>
    </row>
    <row r="66" spans="2:22" s="326" customFormat="1" ht="12.6" customHeight="1">
      <c r="B66" s="705"/>
      <c r="C66" s="714"/>
      <c r="D66" s="314" t="s">
        <v>30</v>
      </c>
      <c r="E66" s="719">
        <v>38.952181709503883</v>
      </c>
      <c r="F66" s="719"/>
      <c r="G66" s="720" t="s">
        <v>332</v>
      </c>
      <c r="H66" s="719"/>
      <c r="I66" s="759">
        <v>38.952181709503883</v>
      </c>
      <c r="J66" s="760"/>
      <c r="K66" s="325"/>
      <c r="L66" s="714"/>
      <c r="M66" s="641"/>
      <c r="N66" s="314" t="s">
        <v>78</v>
      </c>
      <c r="Q66" s="695"/>
      <c r="R66" s="695"/>
      <c r="S66" s="695"/>
      <c r="T66" s="695"/>
      <c r="U66" s="695"/>
      <c r="V66" s="695"/>
    </row>
    <row r="67" spans="2:22" s="326" customFormat="1" ht="12.6" customHeight="1">
      <c r="B67" s="705"/>
      <c r="C67" s="714"/>
      <c r="D67" s="314" t="s">
        <v>36</v>
      </c>
      <c r="E67" s="719">
        <v>38.085340011558465</v>
      </c>
      <c r="F67" s="719"/>
      <c r="G67" s="720" t="s">
        <v>332</v>
      </c>
      <c r="H67" s="719"/>
      <c r="I67" s="759">
        <v>38.085340011558465</v>
      </c>
      <c r="J67" s="760"/>
      <c r="K67" s="325"/>
      <c r="L67" s="714"/>
      <c r="M67" s="641"/>
      <c r="N67" s="314" t="s">
        <v>79</v>
      </c>
      <c r="Q67" s="695"/>
      <c r="R67" s="695"/>
      <c r="S67" s="695"/>
      <c r="T67" s="695"/>
      <c r="U67" s="695"/>
      <c r="V67" s="695"/>
    </row>
    <row r="68" spans="2:22" s="326" customFormat="1" ht="12.6" customHeight="1">
      <c r="B68" s="705"/>
      <c r="C68" s="714"/>
      <c r="D68" s="314" t="s">
        <v>37</v>
      </c>
      <c r="E68" s="719">
        <v>42.498754197811721</v>
      </c>
      <c r="F68" s="719"/>
      <c r="G68" s="720" t="s">
        <v>332</v>
      </c>
      <c r="H68" s="719"/>
      <c r="I68" s="759">
        <v>42.498754197811721</v>
      </c>
      <c r="J68" s="760"/>
      <c r="K68" s="325"/>
      <c r="L68" s="714"/>
      <c r="M68" s="641"/>
      <c r="N68" s="716" t="s">
        <v>321</v>
      </c>
      <c r="Q68" s="695"/>
      <c r="R68" s="695"/>
      <c r="S68" s="695"/>
      <c r="T68" s="695"/>
      <c r="U68" s="695"/>
      <c r="V68" s="695"/>
    </row>
    <row r="69" spans="2:22" s="326" customFormat="1" ht="12.6" customHeight="1">
      <c r="B69" s="705"/>
      <c r="C69" s="714"/>
      <c r="D69" s="325" t="s">
        <v>31</v>
      </c>
      <c r="E69" s="718">
        <v>38.37251343616947</v>
      </c>
      <c r="F69" s="719"/>
      <c r="G69" s="720" t="s">
        <v>332</v>
      </c>
      <c r="H69" s="719"/>
      <c r="I69" s="759">
        <v>38.37251343616947</v>
      </c>
      <c r="J69" s="759"/>
      <c r="K69" s="325"/>
      <c r="L69" s="705"/>
      <c r="M69" s="641"/>
      <c r="N69" s="716" t="s">
        <v>31</v>
      </c>
      <c r="Q69" s="695"/>
      <c r="R69" s="695"/>
      <c r="S69" s="695"/>
      <c r="T69" s="695"/>
      <c r="U69" s="695"/>
      <c r="V69" s="695"/>
    </row>
    <row r="70" spans="2:22" s="326" customFormat="1" ht="12.6" customHeight="1">
      <c r="B70" s="705"/>
      <c r="C70" s="714"/>
      <c r="D70" s="314" t="s">
        <v>38</v>
      </c>
      <c r="E70" s="719">
        <v>40.479946661196017</v>
      </c>
      <c r="F70" s="719"/>
      <c r="G70" s="720" t="s">
        <v>332</v>
      </c>
      <c r="H70" s="719"/>
      <c r="I70" s="759">
        <v>40.479946661196017</v>
      </c>
      <c r="J70" s="760"/>
      <c r="K70" s="325"/>
      <c r="L70" s="714"/>
      <c r="M70" s="641"/>
      <c r="N70" s="716" t="s">
        <v>38</v>
      </c>
      <c r="Q70" s="695"/>
      <c r="R70" s="695"/>
      <c r="S70" s="695"/>
      <c r="T70" s="695"/>
      <c r="U70" s="695"/>
      <c r="V70" s="695"/>
    </row>
    <row r="71" spans="2:22" s="326" customFormat="1" ht="12.6" customHeight="1">
      <c r="B71" s="705"/>
      <c r="C71" s="714"/>
      <c r="D71" s="314" t="s">
        <v>39</v>
      </c>
      <c r="E71" s="719">
        <v>39.580829566604628</v>
      </c>
      <c r="F71" s="719"/>
      <c r="G71" s="720" t="s">
        <v>332</v>
      </c>
      <c r="H71" s="719"/>
      <c r="I71" s="759">
        <v>39.580829566604628</v>
      </c>
      <c r="J71" s="760"/>
      <c r="K71" s="325"/>
      <c r="L71" s="714"/>
      <c r="M71" s="641"/>
      <c r="N71" s="716" t="s">
        <v>39</v>
      </c>
      <c r="Q71" s="695"/>
      <c r="R71" s="695"/>
      <c r="S71" s="695"/>
      <c r="T71" s="695"/>
      <c r="U71" s="695"/>
      <c r="V71" s="695"/>
    </row>
    <row r="72" spans="2:22" s="326" customFormat="1" ht="12.6" customHeight="1">
      <c r="B72" s="705"/>
      <c r="C72" s="714"/>
      <c r="D72" s="314" t="s">
        <v>32</v>
      </c>
      <c r="E72" s="719">
        <v>35.890937575319356</v>
      </c>
      <c r="F72" s="719"/>
      <c r="G72" s="720" t="s">
        <v>332</v>
      </c>
      <c r="H72" s="719"/>
      <c r="I72" s="759">
        <v>35.890937575319356</v>
      </c>
      <c r="J72" s="760"/>
      <c r="K72" s="325"/>
      <c r="L72" s="714"/>
      <c r="M72" s="641"/>
      <c r="N72" s="716" t="s">
        <v>81</v>
      </c>
      <c r="Q72" s="695"/>
      <c r="R72" s="695"/>
      <c r="S72" s="695"/>
      <c r="T72" s="695"/>
      <c r="U72" s="695"/>
      <c r="V72" s="695"/>
    </row>
    <row r="73" spans="2:22" s="326" customFormat="1" ht="12.6" customHeight="1">
      <c r="B73" s="764">
        <v>2026</v>
      </c>
      <c r="C73" s="765"/>
      <c r="D73" s="895" t="s">
        <v>33</v>
      </c>
      <c r="E73" s="766">
        <v>36.079320700010356</v>
      </c>
      <c r="F73" s="766"/>
      <c r="G73" s="872" t="s">
        <v>332</v>
      </c>
      <c r="H73" s="766"/>
      <c r="I73" s="767">
        <v>36.079320700010356</v>
      </c>
      <c r="J73" s="896"/>
      <c r="K73" s="685"/>
      <c r="L73" s="765">
        <v>2026</v>
      </c>
      <c r="M73" s="725"/>
      <c r="N73" s="825" t="s">
        <v>33</v>
      </c>
      <c r="Q73" s="695"/>
      <c r="R73" s="695"/>
      <c r="S73" s="695"/>
      <c r="T73" s="695"/>
      <c r="U73" s="695"/>
      <c r="V73" s="695"/>
    </row>
    <row r="74" spans="2:22" s="326" customFormat="1" ht="12.6" customHeight="1">
      <c r="B74" s="714"/>
      <c r="C74" s="714"/>
      <c r="D74" s="325"/>
      <c r="E74" s="719"/>
      <c r="F74" s="719"/>
      <c r="G74" s="720"/>
      <c r="H74" s="719"/>
      <c r="I74" s="759"/>
      <c r="J74" s="759"/>
      <c r="K74" s="325"/>
      <c r="L74" s="714"/>
      <c r="M74" s="641"/>
      <c r="Q74" s="695"/>
      <c r="R74" s="695"/>
      <c r="S74" s="695"/>
      <c r="T74" s="695"/>
      <c r="U74" s="695"/>
      <c r="V74" s="695"/>
    </row>
    <row r="75" spans="2:22" ht="12.6" customHeight="1">
      <c r="B75" s="670" t="s">
        <v>82</v>
      </c>
      <c r="C75" s="345" t="s">
        <v>340</v>
      </c>
      <c r="D75" s="345"/>
      <c r="E75" s="739"/>
      <c r="F75" s="739"/>
      <c r="G75" s="739"/>
      <c r="H75" s="739"/>
      <c r="K75" s="695" t="s">
        <v>342</v>
      </c>
    </row>
    <row r="76" spans="2:22" ht="12.6" customHeight="1">
      <c r="B76" s="341"/>
      <c r="C76" s="342"/>
      <c r="D76" s="741" t="s">
        <v>265</v>
      </c>
      <c r="E76" s="739"/>
    </row>
    <row r="77" spans="2:22" ht="12.6" customHeight="1">
      <c r="B77" s="341"/>
      <c r="C77" s="342"/>
      <c r="D77" s="342" t="s">
        <v>337</v>
      </c>
      <c r="E77" s="739"/>
    </row>
    <row r="78" spans="2:22" ht="12.6" customHeight="1"/>
    <row r="79" spans="2:22" ht="12.6" customHeight="1"/>
    <row r="80" spans="2:22" ht="12.6" customHeight="1"/>
    <row r="81" spans="5:13" ht="12.6" customHeight="1">
      <c r="J81" s="695"/>
      <c r="K81" s="694"/>
      <c r="M81" s="695"/>
    </row>
    <row r="82" spans="5:13" ht="12.6" customHeight="1">
      <c r="G82" s="743"/>
      <c r="J82" s="695"/>
      <c r="L82" s="695"/>
      <c r="M82" s="695"/>
    </row>
    <row r="83" spans="5:13" ht="12.6" customHeight="1">
      <c r="J83" s="695"/>
      <c r="K83" s="694"/>
      <c r="M83" s="695"/>
    </row>
    <row r="84" spans="5:13" ht="12.6" customHeight="1">
      <c r="J84" s="695"/>
      <c r="L84" s="695"/>
      <c r="M84" s="695"/>
    </row>
    <row r="85" spans="5:13" ht="12.6" customHeight="1">
      <c r="J85" s="695"/>
      <c r="K85" s="694"/>
      <c r="M85" s="695"/>
    </row>
    <row r="86" spans="5:13" ht="12.6" customHeight="1">
      <c r="E86" s="742"/>
      <c r="F86" s="742"/>
      <c r="J86" s="695"/>
      <c r="L86" s="695"/>
      <c r="M86" s="695"/>
    </row>
    <row r="87" spans="5:13" ht="12.6" customHeight="1">
      <c r="E87" s="742"/>
      <c r="F87" s="742"/>
      <c r="J87" s="695"/>
      <c r="L87" s="695"/>
      <c r="M87" s="695"/>
    </row>
    <row r="88" spans="5:13" ht="12.6" customHeight="1">
      <c r="E88" s="742"/>
      <c r="F88" s="742"/>
      <c r="J88" s="695"/>
      <c r="L88" s="695"/>
      <c r="M88" s="695"/>
    </row>
    <row r="89" spans="5:13" ht="12.6" customHeight="1">
      <c r="E89" s="742"/>
      <c r="F89" s="742"/>
      <c r="J89" s="695"/>
      <c r="L89" s="695"/>
      <c r="M89" s="695"/>
    </row>
    <row r="90" spans="5:13" ht="13.2">
      <c r="E90" s="742"/>
      <c r="F90" s="742"/>
      <c r="J90" s="695"/>
      <c r="L90" s="695"/>
      <c r="M90" s="695"/>
    </row>
    <row r="91" spans="5:13" ht="13.2">
      <c r="E91" s="742"/>
      <c r="F91" s="742"/>
      <c r="J91" s="695"/>
      <c r="L91" s="695"/>
      <c r="M91" s="695"/>
    </row>
    <row r="92" spans="5:13" ht="13.2">
      <c r="E92" s="742"/>
      <c r="F92" s="742"/>
      <c r="J92" s="695"/>
      <c r="L92" s="695"/>
      <c r="M92" s="695"/>
    </row>
    <row r="93" spans="5:13" ht="13.2">
      <c r="E93" s="742"/>
      <c r="F93" s="742"/>
      <c r="J93" s="695"/>
      <c r="L93" s="695"/>
      <c r="M93" s="695"/>
    </row>
    <row r="94" spans="5:13" ht="13.2">
      <c r="E94" s="742"/>
      <c r="F94" s="742"/>
      <c r="L94" s="695"/>
      <c r="M94" s="695"/>
    </row>
    <row r="97" spans="5:13" ht="13.2">
      <c r="E97" s="742"/>
      <c r="F97" s="742"/>
      <c r="L97" s="695"/>
      <c r="M97" s="695"/>
    </row>
    <row r="98" spans="5:13" ht="13.2">
      <c r="E98" s="742"/>
      <c r="F98" s="742"/>
      <c r="L98" s="695"/>
      <c r="M98" s="695"/>
    </row>
  </sheetData>
  <mergeCells count="6">
    <mergeCell ref="N5:N6"/>
    <mergeCell ref="B5:B6"/>
    <mergeCell ref="D5:D6"/>
    <mergeCell ref="E5:I5"/>
    <mergeCell ref="K5:K6"/>
    <mergeCell ref="L5:L6"/>
  </mergeCells>
  <conditionalFormatting sqref="K13:K74">
    <cfRule type="expression" dxfId="0" priority="1" stopIfTrue="1">
      <formula>(#REF!&gt;AVERAGE(#REF!))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 &amp;RInternational Visitors Arrival January 2026</oddHeader>
    <oddFooter>&amp;CPage 9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pageSetUpPr fitToPage="1"/>
  </sheetPr>
  <dimension ref="B2:M19"/>
  <sheetViews>
    <sheetView zoomScale="90" zoomScaleNormal="90" workbookViewId="0">
      <selection activeCell="O11" sqref="O11"/>
    </sheetView>
  </sheetViews>
  <sheetFormatPr defaultColWidth="9.109375" defaultRowHeight="13.2"/>
  <cols>
    <col min="1" max="1" width="9.109375" style="655"/>
    <col min="2" max="2" width="15.44140625" style="655" customWidth="1"/>
    <col min="3" max="11" width="9.109375" style="655"/>
    <col min="12" max="12" width="11.44140625" style="655" customWidth="1"/>
    <col min="13" max="13" width="11.33203125" style="655" bestFit="1" customWidth="1"/>
    <col min="14" max="16384" width="9.109375" style="655"/>
  </cols>
  <sheetData>
    <row r="2" spans="2:13" ht="13.8">
      <c r="C2" s="668" t="s">
        <v>335</v>
      </c>
      <c r="D2" s="668"/>
    </row>
    <row r="3" spans="2:13" ht="13.8">
      <c r="C3" s="668" t="s">
        <v>336</v>
      </c>
      <c r="D3" s="668"/>
    </row>
    <row r="4" spans="2:13" ht="15">
      <c r="C4" s="669"/>
      <c r="D4" s="669"/>
    </row>
    <row r="5" spans="2:13" ht="52.8">
      <c r="B5" s="903"/>
      <c r="C5" s="653" t="s">
        <v>243</v>
      </c>
      <c r="D5" s="654"/>
      <c r="E5" s="660" t="s">
        <v>180</v>
      </c>
      <c r="F5" s="661"/>
      <c r="G5" s="661" t="s">
        <v>162</v>
      </c>
      <c r="H5" s="661"/>
      <c r="I5" s="661" t="s">
        <v>168</v>
      </c>
      <c r="J5" s="661"/>
      <c r="K5" s="661" t="s">
        <v>244</v>
      </c>
      <c r="L5" s="654"/>
      <c r="M5" s="993" t="s">
        <v>198</v>
      </c>
    </row>
    <row r="6" spans="2:13" ht="39.6">
      <c r="B6" s="904"/>
      <c r="C6" s="656" t="s">
        <v>249</v>
      </c>
      <c r="D6" s="657"/>
      <c r="E6" s="662" t="s">
        <v>245</v>
      </c>
      <c r="F6" s="663" t="s">
        <v>211</v>
      </c>
      <c r="G6" s="663" t="s">
        <v>97</v>
      </c>
      <c r="H6" s="663" t="s">
        <v>211</v>
      </c>
      <c r="I6" s="663" t="s">
        <v>247</v>
      </c>
      <c r="J6" s="663" t="s">
        <v>211</v>
      </c>
      <c r="K6" s="663" t="s">
        <v>248</v>
      </c>
      <c r="L6" s="657" t="s">
        <v>211</v>
      </c>
      <c r="M6" s="994"/>
    </row>
    <row r="7" spans="2:13">
      <c r="B7" s="905"/>
      <c r="C7" s="658"/>
      <c r="D7" s="659"/>
      <c r="E7" s="672"/>
      <c r="F7" s="672"/>
      <c r="G7" s="672"/>
      <c r="H7" s="672"/>
      <c r="I7" s="672"/>
      <c r="J7" s="672"/>
      <c r="K7" s="672"/>
      <c r="L7" s="673"/>
      <c r="M7" s="659"/>
    </row>
    <row r="8" spans="2:13" ht="25.5" customHeight="1">
      <c r="B8" s="998" t="s">
        <v>256</v>
      </c>
      <c r="C8" s="999"/>
      <c r="D8" s="1000"/>
      <c r="E8" s="681">
        <v>173</v>
      </c>
      <c r="F8" s="677">
        <v>2.8623428193249503E-2</v>
      </c>
      <c r="G8" s="684">
        <v>5461</v>
      </c>
      <c r="H8" s="677">
        <v>0.9035407015221707</v>
      </c>
      <c r="I8" s="684">
        <v>49</v>
      </c>
      <c r="J8" s="677">
        <v>8.1072137657180673E-3</v>
      </c>
      <c r="K8" s="684">
        <v>361</v>
      </c>
      <c r="L8" s="678">
        <v>5.9728656518861681E-2</v>
      </c>
      <c r="M8" s="666">
        <v>6044</v>
      </c>
    </row>
    <row r="9" spans="2:13" ht="25.5" customHeight="1">
      <c r="B9" s="995" t="s">
        <v>257</v>
      </c>
      <c r="C9" s="996"/>
      <c r="D9" s="997"/>
      <c r="E9" s="682">
        <v>28</v>
      </c>
      <c r="F9" s="664">
        <v>7.7134986225895319E-2</v>
      </c>
      <c r="G9" s="325">
        <v>199</v>
      </c>
      <c r="H9" s="664">
        <v>0.54820936639118456</v>
      </c>
      <c r="I9" s="325">
        <v>7</v>
      </c>
      <c r="J9" s="664">
        <v>1.928374655647383E-2</v>
      </c>
      <c r="K9" s="325">
        <v>129</v>
      </c>
      <c r="L9" s="665">
        <v>0.35537190082644626</v>
      </c>
      <c r="M9" s="666">
        <v>363</v>
      </c>
    </row>
    <row r="10" spans="2:13" ht="25.5" customHeight="1">
      <c r="B10" s="995" t="s">
        <v>271</v>
      </c>
      <c r="C10" s="996"/>
      <c r="D10" s="997"/>
      <c r="E10" s="682">
        <v>129</v>
      </c>
      <c r="F10" s="664">
        <v>0.11082474226804123</v>
      </c>
      <c r="G10" s="325">
        <v>825</v>
      </c>
      <c r="H10" s="664">
        <v>0.70876288659793818</v>
      </c>
      <c r="I10" s="325">
        <v>21</v>
      </c>
      <c r="J10" s="664">
        <v>1.804123711340206E-2</v>
      </c>
      <c r="K10" s="325">
        <v>189</v>
      </c>
      <c r="L10" s="665">
        <v>0.16237113402061856</v>
      </c>
      <c r="M10" s="666">
        <v>1164</v>
      </c>
    </row>
    <row r="11" spans="2:13" ht="25.5" customHeight="1">
      <c r="B11" s="998" t="s">
        <v>258</v>
      </c>
      <c r="C11" s="999"/>
      <c r="D11" s="1000"/>
      <c r="E11" s="682">
        <v>6</v>
      </c>
      <c r="F11" s="664">
        <v>9.2307692307692313E-2</v>
      </c>
      <c r="G11" s="325">
        <v>23</v>
      </c>
      <c r="H11" s="664">
        <v>0.35384615384615387</v>
      </c>
      <c r="I11" s="325">
        <v>3</v>
      </c>
      <c r="J11" s="664">
        <v>4.6153846153846156E-2</v>
      </c>
      <c r="K11" s="325">
        <v>33</v>
      </c>
      <c r="L11" s="665">
        <v>0.50769230769230766</v>
      </c>
      <c r="M11" s="666">
        <v>65</v>
      </c>
    </row>
    <row r="12" spans="2:13" ht="25.5" customHeight="1">
      <c r="B12" s="995" t="s">
        <v>270</v>
      </c>
      <c r="C12" s="996"/>
      <c r="D12" s="997"/>
      <c r="E12" s="682">
        <v>40</v>
      </c>
      <c r="F12" s="664">
        <v>0.13422818791946309</v>
      </c>
      <c r="G12" s="325">
        <v>210</v>
      </c>
      <c r="H12" s="664">
        <v>0.70469798657718119</v>
      </c>
      <c r="I12" s="325">
        <v>19</v>
      </c>
      <c r="J12" s="664">
        <v>6.3758389261744972E-2</v>
      </c>
      <c r="K12" s="325">
        <v>29</v>
      </c>
      <c r="L12" s="665">
        <v>9.7315436241610737E-2</v>
      </c>
      <c r="M12" s="666">
        <v>298</v>
      </c>
    </row>
    <row r="13" spans="2:13" ht="25.5" customHeight="1">
      <c r="B13" s="995" t="s">
        <v>272</v>
      </c>
      <c r="C13" s="996"/>
      <c r="D13" s="997"/>
      <c r="E13" s="682">
        <v>48</v>
      </c>
      <c r="F13" s="664">
        <v>0.11538461538461539</v>
      </c>
      <c r="G13" s="325">
        <v>248</v>
      </c>
      <c r="H13" s="664">
        <v>0.59615384615384615</v>
      </c>
      <c r="I13" s="325">
        <v>15</v>
      </c>
      <c r="J13" s="664">
        <v>3.6057692307692304E-2</v>
      </c>
      <c r="K13" s="325">
        <v>105</v>
      </c>
      <c r="L13" s="665">
        <v>0.25240384615384615</v>
      </c>
      <c r="M13" s="666">
        <v>416</v>
      </c>
    </row>
    <row r="14" spans="2:13" ht="25.5" customHeight="1">
      <c r="B14" s="995" t="s">
        <v>273</v>
      </c>
      <c r="C14" s="996"/>
      <c r="D14" s="997"/>
      <c r="E14" s="682">
        <v>18</v>
      </c>
      <c r="F14" s="664">
        <v>6.8181818181818177E-2</v>
      </c>
      <c r="G14" s="325">
        <v>177</v>
      </c>
      <c r="H14" s="664">
        <v>0.67045454545454541</v>
      </c>
      <c r="I14" s="325">
        <v>22</v>
      </c>
      <c r="J14" s="664">
        <v>8.3333333333333329E-2</v>
      </c>
      <c r="K14" s="325">
        <v>47</v>
      </c>
      <c r="L14" s="665">
        <v>0.17803030303030304</v>
      </c>
      <c r="M14" s="666">
        <v>264</v>
      </c>
    </row>
    <row r="15" spans="2:13" ht="25.5" customHeight="1">
      <c r="B15" s="1004" t="s">
        <v>274</v>
      </c>
      <c r="C15" s="1005"/>
      <c r="D15" s="1006"/>
      <c r="E15" s="682">
        <v>34</v>
      </c>
      <c r="F15" s="664">
        <v>7.3752711496746198E-2</v>
      </c>
      <c r="G15" s="325">
        <v>265</v>
      </c>
      <c r="H15" s="664">
        <v>0.57483731019522777</v>
      </c>
      <c r="I15" s="325">
        <v>18</v>
      </c>
      <c r="J15" s="664">
        <v>3.9045553145336226E-2</v>
      </c>
      <c r="K15" s="325">
        <v>144</v>
      </c>
      <c r="L15" s="665">
        <v>0.31236442516268981</v>
      </c>
      <c r="M15" s="666">
        <v>461</v>
      </c>
    </row>
    <row r="16" spans="2:13" ht="25.5" customHeight="1">
      <c r="B16" s="995" t="s">
        <v>275</v>
      </c>
      <c r="C16" s="996"/>
      <c r="D16" s="997"/>
      <c r="E16" s="683">
        <v>129</v>
      </c>
      <c r="F16" s="679">
        <v>0.22164948453608246</v>
      </c>
      <c r="G16" s="685">
        <v>62</v>
      </c>
      <c r="H16" s="679">
        <v>0.10652920962199312</v>
      </c>
      <c r="I16" s="685">
        <v>143</v>
      </c>
      <c r="J16" s="679">
        <v>0.24570446735395188</v>
      </c>
      <c r="K16" s="685">
        <v>248</v>
      </c>
      <c r="L16" s="680">
        <v>0.42611683848797249</v>
      </c>
      <c r="M16" s="666">
        <v>582</v>
      </c>
    </row>
    <row r="17" spans="2:13" ht="25.5" customHeight="1">
      <c r="B17" s="1001" t="s">
        <v>198</v>
      </c>
      <c r="C17" s="1002"/>
      <c r="D17" s="1003"/>
      <c r="E17" s="674">
        <v>605</v>
      </c>
      <c r="F17" s="675"/>
      <c r="G17" s="674">
        <v>7470</v>
      </c>
      <c r="H17" s="675"/>
      <c r="I17" s="674">
        <v>297</v>
      </c>
      <c r="J17" s="675"/>
      <c r="K17" s="674">
        <v>1285</v>
      </c>
      <c r="L17" s="676"/>
      <c r="M17" s="667">
        <v>9657</v>
      </c>
    </row>
    <row r="18" spans="2:13">
      <c r="C18" s="670" t="s">
        <v>338</v>
      </c>
      <c r="D18" s="670"/>
    </row>
    <row r="19" spans="2:13">
      <c r="M19" s="671"/>
    </row>
  </sheetData>
  <mergeCells count="11">
    <mergeCell ref="M5:M6"/>
    <mergeCell ref="B9:D9"/>
    <mergeCell ref="B10:D10"/>
    <mergeCell ref="B8:D8"/>
    <mergeCell ref="B17:D17"/>
    <mergeCell ref="B11:D11"/>
    <mergeCell ref="B12:D12"/>
    <mergeCell ref="B13:D13"/>
    <mergeCell ref="B14:D14"/>
    <mergeCell ref="B15:D15"/>
    <mergeCell ref="B16:D16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&amp;LVanuatu Bureau of Statistics &amp;RInternational Visitors Arrival January 2026</oddHeader>
    <oddFooter>&amp;CPage 10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3.2"/>
  <cols>
    <col min="1" max="1" width="15" bestFit="1" customWidth="1"/>
    <col min="2" max="3" width="9.33203125" customWidth="1"/>
    <col min="4" max="4" width="12.88671875" bestFit="1" customWidth="1"/>
    <col min="5" max="5" width="13.88671875" bestFit="1" customWidth="1"/>
    <col min="6" max="6" width="10.109375" customWidth="1"/>
  </cols>
  <sheetData>
    <row r="2" spans="1:13" ht="12.75" customHeight="1">
      <c r="A2" s="426"/>
      <c r="B2" s="427"/>
      <c r="C2" s="427"/>
      <c r="D2" s="232"/>
      <c r="E2" s="428"/>
      <c r="F2" s="429"/>
    </row>
    <row r="3" spans="1:13" ht="34.799999999999997">
      <c r="A3" s="504" t="s">
        <v>297</v>
      </c>
      <c r="B3" s="504" t="s">
        <v>18</v>
      </c>
      <c r="C3" s="505" t="s">
        <v>290</v>
      </c>
      <c r="D3" s="505" t="s">
        <v>183</v>
      </c>
      <c r="E3" s="505" t="s">
        <v>181</v>
      </c>
      <c r="F3" s="505" t="s">
        <v>182</v>
      </c>
      <c r="G3" s="505" t="s">
        <v>19</v>
      </c>
    </row>
    <row r="4" spans="1:13">
      <c r="A4" s="435">
        <v>43617</v>
      </c>
      <c r="B4" s="430" t="e">
        <f>'Tab 2.Purpose of visit'!#REF!</f>
        <v>#REF!</v>
      </c>
      <c r="C4" s="430" t="e">
        <f>'Tab 2.Purpose of visit'!#REF!</f>
        <v>#REF!</v>
      </c>
      <c r="D4" s="430" t="e">
        <f>'Tab 2.Purpose of visit'!#REF!</f>
        <v>#REF!</v>
      </c>
      <c r="E4" s="431" t="e">
        <f>'Tab 2.Purpose of visit'!#REF!</f>
        <v>#REF!</v>
      </c>
      <c r="F4" s="430" t="e">
        <f>'Tab 2.Purpose of visit'!#REF!</f>
        <v>#REF!</v>
      </c>
      <c r="G4" s="433" t="e">
        <f t="shared" ref="G4:G14" si="0">SUM(B4:F4)</f>
        <v>#REF!</v>
      </c>
      <c r="J4" s="432"/>
      <c r="K4" s="432"/>
      <c r="L4" s="432"/>
      <c r="M4" s="432"/>
    </row>
    <row r="5" spans="1:13">
      <c r="A5" s="435">
        <v>43647</v>
      </c>
      <c r="B5" s="430" t="e">
        <f>'Tab 2.Purpose of visit'!#REF!</f>
        <v>#REF!</v>
      </c>
      <c r="C5" s="430" t="e">
        <f>'Tab 2.Purpose of visit'!#REF!</f>
        <v>#REF!</v>
      </c>
      <c r="D5" s="430" t="e">
        <f>'Tab 2.Purpose of visit'!#REF!</f>
        <v>#REF!</v>
      </c>
      <c r="E5" s="431" t="e">
        <f>'Tab 2.Purpose of visit'!#REF!</f>
        <v>#REF!</v>
      </c>
      <c r="F5" s="430" t="e">
        <f>'Tab 2.Purpose of visit'!#REF!</f>
        <v>#REF!</v>
      </c>
      <c r="G5" s="433" t="e">
        <f t="shared" si="0"/>
        <v>#REF!</v>
      </c>
      <c r="J5" s="432"/>
      <c r="K5" s="432"/>
      <c r="L5" s="432"/>
      <c r="M5" s="432"/>
    </row>
    <row r="6" spans="1:13">
      <c r="A6" s="435">
        <v>43678</v>
      </c>
      <c r="B6" s="430" t="e">
        <f>'Tab 2.Purpose of visit'!#REF!</f>
        <v>#REF!</v>
      </c>
      <c r="C6" s="430" t="e">
        <f>'Tab 2.Purpose of visit'!#REF!</f>
        <v>#REF!</v>
      </c>
      <c r="D6" s="430" t="e">
        <f>'Tab 2.Purpose of visit'!#REF!</f>
        <v>#REF!</v>
      </c>
      <c r="E6" s="431" t="e">
        <f>'Tab 2.Purpose of visit'!#REF!</f>
        <v>#REF!</v>
      </c>
      <c r="F6" s="430" t="e">
        <f>'Tab 2.Purpose of visit'!#REF!</f>
        <v>#REF!</v>
      </c>
      <c r="G6" s="433" t="e">
        <f t="shared" si="0"/>
        <v>#REF!</v>
      </c>
      <c r="J6" s="432"/>
      <c r="K6" s="432"/>
      <c r="L6" s="432"/>
      <c r="M6" s="432"/>
    </row>
    <row r="7" spans="1:13">
      <c r="A7" s="435">
        <v>43709</v>
      </c>
      <c r="B7" s="430" t="e">
        <f>'Tab 2.Purpose of visit'!#REF!</f>
        <v>#REF!</v>
      </c>
      <c r="C7" s="430" t="e">
        <f>'Tab 2.Purpose of visit'!#REF!</f>
        <v>#REF!</v>
      </c>
      <c r="D7" s="430" t="e">
        <f>'Tab 2.Purpose of visit'!#REF!</f>
        <v>#REF!</v>
      </c>
      <c r="E7" s="431" t="e">
        <f>'Tab 2.Purpose of visit'!#REF!</f>
        <v>#REF!</v>
      </c>
      <c r="F7" s="430" t="e">
        <f>'Tab 2.Purpose of visit'!#REF!</f>
        <v>#REF!</v>
      </c>
      <c r="G7" s="433" t="e">
        <f t="shared" si="0"/>
        <v>#REF!</v>
      </c>
      <c r="J7" s="432"/>
      <c r="K7" s="432"/>
      <c r="L7" s="432"/>
      <c r="M7" s="432"/>
    </row>
    <row r="8" spans="1:13">
      <c r="A8" s="435">
        <v>43739</v>
      </c>
      <c r="B8" s="430" t="e">
        <f>'Tab 2.Purpose of visit'!#REF!</f>
        <v>#REF!</v>
      </c>
      <c r="C8" s="430" t="e">
        <f>'Tab 2.Purpose of visit'!#REF!</f>
        <v>#REF!</v>
      </c>
      <c r="D8" s="430" t="e">
        <f>'Tab 2.Purpose of visit'!#REF!</f>
        <v>#REF!</v>
      </c>
      <c r="E8" s="431" t="e">
        <f>'Tab 2.Purpose of visit'!#REF!</f>
        <v>#REF!</v>
      </c>
      <c r="F8" s="430" t="e">
        <f>'Tab 2.Purpose of visit'!#REF!</f>
        <v>#REF!</v>
      </c>
      <c r="G8" s="433" t="e">
        <f t="shared" si="0"/>
        <v>#REF!</v>
      </c>
      <c r="J8" s="432"/>
      <c r="K8" s="432"/>
      <c r="L8" s="432"/>
      <c r="M8" s="432"/>
    </row>
    <row r="9" spans="1:13">
      <c r="A9" s="435">
        <v>43770</v>
      </c>
      <c r="B9" s="430" t="e">
        <f>'Tab 2.Purpose of visit'!#REF!</f>
        <v>#REF!</v>
      </c>
      <c r="C9" s="430">
        <f>[24]Nov19!$D$15</f>
        <v>467</v>
      </c>
      <c r="D9" s="430">
        <f>[24]Nov19!$D$17+[24]Nov19!$D$19+[24]Nov19!$D$20</f>
        <v>763</v>
      </c>
      <c r="E9" s="431" t="e">
        <f>'Tab 2.Purpose of visit'!#REF!</f>
        <v>#REF!</v>
      </c>
      <c r="F9" s="430">
        <f>[24]Nov19!$D$18</f>
        <v>210</v>
      </c>
      <c r="G9" s="433" t="e">
        <f t="shared" si="0"/>
        <v>#REF!</v>
      </c>
      <c r="J9" s="432"/>
      <c r="K9" s="432"/>
      <c r="L9" s="432"/>
      <c r="M9" s="432"/>
    </row>
    <row r="10" spans="1:13">
      <c r="A10" s="435">
        <v>43800</v>
      </c>
      <c r="B10" s="430" t="e">
        <f>'Tab 2.Purpose of visit'!#REF!</f>
        <v>#REF!</v>
      </c>
      <c r="C10" s="430">
        <f>[24]Dec19!$D$15</f>
        <v>1032</v>
      </c>
      <c r="D10" s="430">
        <f>[24]Dec19!$D$17+[24]Dec19!$D$19+[24]Dec19!$D$20</f>
        <v>420</v>
      </c>
      <c r="E10" s="431">
        <f>[24]Dec19!$D$16+[24]Dec19!$D$21</f>
        <v>467</v>
      </c>
      <c r="F10" s="430">
        <f>[24]Dec19!$D$18</f>
        <v>151</v>
      </c>
      <c r="G10" s="433" t="e">
        <f t="shared" si="0"/>
        <v>#REF!</v>
      </c>
      <c r="J10" s="432"/>
      <c r="K10" s="432"/>
      <c r="L10" s="432"/>
      <c r="M10" s="432"/>
    </row>
    <row r="11" spans="1:13">
      <c r="A11" s="435">
        <v>43831</v>
      </c>
      <c r="B11" s="430" t="e">
        <f>'Tab 2.Purpose of visit'!#REF!</f>
        <v>#REF!</v>
      </c>
      <c r="C11" s="430" t="e">
        <f>'Tab 2.Purpose of visit'!#REF!</f>
        <v>#REF!</v>
      </c>
      <c r="D11" s="430" t="e">
        <f>'Tab 2.Purpose of visit'!#REF!</f>
        <v>#REF!</v>
      </c>
      <c r="E11" s="431" t="e">
        <f>'Tab 2.Purpose of visit'!#REF!</f>
        <v>#REF!</v>
      </c>
      <c r="F11" s="430" t="e">
        <f>'Tab 2.Purpose of visit'!#REF!</f>
        <v>#REF!</v>
      </c>
      <c r="G11" s="433" t="e">
        <f t="shared" si="0"/>
        <v>#REF!</v>
      </c>
      <c r="J11" s="432"/>
      <c r="K11" s="432"/>
      <c r="L11" s="432"/>
      <c r="M11" s="432"/>
    </row>
    <row r="12" spans="1:13">
      <c r="A12" s="435">
        <v>43862</v>
      </c>
      <c r="B12" s="430" t="e">
        <f>'Tab 2.Purpose of visit'!#REF!</f>
        <v>#REF!</v>
      </c>
      <c r="C12" s="430" t="e">
        <f>'Tab 2.Purpose of visit'!#REF!</f>
        <v>#REF!</v>
      </c>
      <c r="D12" s="430" t="e">
        <f>'Tab 2.Purpose of visit'!#REF!</f>
        <v>#REF!</v>
      </c>
      <c r="E12" s="431" t="e">
        <f>'Tab 2.Purpose of visit'!#REF!</f>
        <v>#REF!</v>
      </c>
      <c r="F12" s="430" t="e">
        <f>'Tab 2.Purpose of visit'!#REF!</f>
        <v>#REF!</v>
      </c>
      <c r="G12" s="433" t="e">
        <f t="shared" si="0"/>
        <v>#REF!</v>
      </c>
      <c r="J12" s="432"/>
      <c r="K12" s="432"/>
      <c r="L12" s="432"/>
      <c r="M12" s="432"/>
    </row>
    <row r="13" spans="1:13">
      <c r="A13" s="435">
        <v>43891</v>
      </c>
      <c r="B13" s="430" t="e">
        <f>'Tab 2.Purpose of visit'!#REF!</f>
        <v>#REF!</v>
      </c>
      <c r="C13" s="430" t="e">
        <f>'Tab 2.Purpose of visit'!#REF!</f>
        <v>#REF!</v>
      </c>
      <c r="D13" s="430" t="e">
        <f>'Tab 2.Purpose of visit'!#REF!</f>
        <v>#REF!</v>
      </c>
      <c r="E13" s="431" t="e">
        <f>'Tab 2.Purpose of visit'!#REF!</f>
        <v>#REF!</v>
      </c>
      <c r="F13" s="430" t="e">
        <f>'Tab 2.Purpose of visit'!#REF!</f>
        <v>#REF!</v>
      </c>
      <c r="G13" s="433" t="e">
        <f t="shared" si="0"/>
        <v>#REF!</v>
      </c>
      <c r="J13" s="432"/>
      <c r="K13" s="432"/>
      <c r="L13" s="432"/>
      <c r="M13" s="432"/>
    </row>
    <row r="14" spans="1:13">
      <c r="A14" s="435">
        <v>43922</v>
      </c>
      <c r="B14" s="430" t="e">
        <f>'Tab 2.Purpose of visit'!#REF!</f>
        <v>#REF!</v>
      </c>
      <c r="C14" s="430" t="e">
        <f>'Tab 2.Purpose of visit'!#REF!</f>
        <v>#REF!</v>
      </c>
      <c r="D14" s="430" t="e">
        <f>'Tab 2.Purpose of visit'!#REF!</f>
        <v>#REF!</v>
      </c>
      <c r="E14" s="431" t="e">
        <f>'Tab 2.Purpose of visit'!#REF!</f>
        <v>#REF!</v>
      </c>
      <c r="F14" s="430" t="e">
        <f>'Tab 2.Purpose of visit'!#REF!</f>
        <v>#REF!</v>
      </c>
      <c r="G14" s="433" t="e">
        <f t="shared" si="0"/>
        <v>#REF!</v>
      </c>
      <c r="J14" s="432"/>
      <c r="K14" s="432"/>
      <c r="L14" s="432"/>
      <c r="M14" s="432"/>
    </row>
    <row r="15" spans="1:13">
      <c r="A15" s="435">
        <v>43952</v>
      </c>
      <c r="B15" s="430" t="e">
        <f>'Tab 2.Purpose of visit'!#REF!</f>
        <v>#REF!</v>
      </c>
      <c r="C15" s="430" t="e">
        <f>'Tab 2.Purpose of visit'!#REF!</f>
        <v>#REF!</v>
      </c>
      <c r="D15" s="430" t="e">
        <f>'Tab 2.Purpose of visit'!#REF!</f>
        <v>#REF!</v>
      </c>
      <c r="E15" s="431" t="e">
        <f>'Tab 2.Purpose of visit'!#REF!</f>
        <v>#REF!</v>
      </c>
      <c r="F15" s="430" t="e">
        <f>'Tab 2.Purpose of visit'!#REF!</f>
        <v>#REF!</v>
      </c>
      <c r="G15" s="433" t="e">
        <f>SUM(B15:F15)</f>
        <v>#REF!</v>
      </c>
      <c r="J15" s="432"/>
      <c r="K15" s="432"/>
      <c r="L15" s="432"/>
      <c r="M15" s="432"/>
    </row>
    <row r="16" spans="1:13">
      <c r="A16" s="436" t="s">
        <v>211</v>
      </c>
      <c r="B16" s="432" t="e">
        <f t="shared" ref="B16:G16" si="1">B15/SUM($B$15:$F$15)</f>
        <v>#REF!</v>
      </c>
      <c r="C16" s="432" t="e">
        <f t="shared" si="1"/>
        <v>#REF!</v>
      </c>
      <c r="D16" s="432" t="e">
        <f t="shared" si="1"/>
        <v>#REF!</v>
      </c>
      <c r="E16" s="432" t="e">
        <f t="shared" si="1"/>
        <v>#REF!</v>
      </c>
      <c r="F16" s="432" t="e">
        <f t="shared" si="1"/>
        <v>#REF!</v>
      </c>
      <c r="G16" s="432" t="e">
        <f t="shared" si="1"/>
        <v>#REF!</v>
      </c>
    </row>
    <row r="17" spans="2:9">
      <c r="B17" s="547" t="e">
        <f t="shared" ref="B17:G17" si="2">(B15/$G$15)*100</f>
        <v>#REF!</v>
      </c>
      <c r="C17" s="547" t="e">
        <f t="shared" si="2"/>
        <v>#REF!</v>
      </c>
      <c r="D17" s="547" t="e">
        <f t="shared" si="2"/>
        <v>#REF!</v>
      </c>
      <c r="E17" s="547" t="e">
        <f t="shared" si="2"/>
        <v>#REF!</v>
      </c>
      <c r="F17" s="547" t="e">
        <f t="shared" si="2"/>
        <v>#REF!</v>
      </c>
      <c r="G17" s="547" t="e">
        <f t="shared" si="2"/>
        <v>#REF!</v>
      </c>
      <c r="I17" s="547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3.2"/>
  <cols>
    <col min="1" max="1" width="22.88671875" style="266" customWidth="1"/>
    <col min="2" max="2" width="18.6640625" style="266" customWidth="1"/>
    <col min="3" max="3" width="15.109375" style="266" customWidth="1"/>
    <col min="4" max="4" width="13.109375" style="266" bestFit="1" customWidth="1"/>
    <col min="5" max="257" width="9.109375" style="266"/>
    <col min="258" max="258" width="12.6640625" style="266" bestFit="1" customWidth="1"/>
    <col min="259" max="513" width="9.109375" style="266"/>
    <col min="514" max="514" width="12.6640625" style="266" bestFit="1" customWidth="1"/>
    <col min="515" max="769" width="9.109375" style="266"/>
    <col min="770" max="770" width="12.6640625" style="266" bestFit="1" customWidth="1"/>
    <col min="771" max="1025" width="9.109375" style="266"/>
    <col min="1026" max="1026" width="12.6640625" style="266" bestFit="1" customWidth="1"/>
    <col min="1027" max="1281" width="9.109375" style="266"/>
    <col min="1282" max="1282" width="12.6640625" style="266" bestFit="1" customWidth="1"/>
    <col min="1283" max="1537" width="9.109375" style="266"/>
    <col min="1538" max="1538" width="12.6640625" style="266" bestFit="1" customWidth="1"/>
    <col min="1539" max="1793" width="9.109375" style="266"/>
    <col min="1794" max="1794" width="12.6640625" style="266" bestFit="1" customWidth="1"/>
    <col min="1795" max="2049" width="9.109375" style="266"/>
    <col min="2050" max="2050" width="12.6640625" style="266" bestFit="1" customWidth="1"/>
    <col min="2051" max="2305" width="9.109375" style="266"/>
    <col min="2306" max="2306" width="12.6640625" style="266" bestFit="1" customWidth="1"/>
    <col min="2307" max="2561" width="9.109375" style="266"/>
    <col min="2562" max="2562" width="12.6640625" style="266" bestFit="1" customWidth="1"/>
    <col min="2563" max="2817" width="9.109375" style="266"/>
    <col min="2818" max="2818" width="12.6640625" style="266" bestFit="1" customWidth="1"/>
    <col min="2819" max="3073" width="9.109375" style="266"/>
    <col min="3074" max="3074" width="12.6640625" style="266" bestFit="1" customWidth="1"/>
    <col min="3075" max="3329" width="9.109375" style="266"/>
    <col min="3330" max="3330" width="12.6640625" style="266" bestFit="1" customWidth="1"/>
    <col min="3331" max="3585" width="9.109375" style="266"/>
    <col min="3586" max="3586" width="12.6640625" style="266" bestFit="1" customWidth="1"/>
    <col min="3587" max="3841" width="9.109375" style="266"/>
    <col min="3842" max="3842" width="12.6640625" style="266" bestFit="1" customWidth="1"/>
    <col min="3843" max="4097" width="9.109375" style="266"/>
    <col min="4098" max="4098" width="12.6640625" style="266" bestFit="1" customWidth="1"/>
    <col min="4099" max="4353" width="9.109375" style="266"/>
    <col min="4354" max="4354" width="12.6640625" style="266" bestFit="1" customWidth="1"/>
    <col min="4355" max="4609" width="9.109375" style="266"/>
    <col min="4610" max="4610" width="12.6640625" style="266" bestFit="1" customWidth="1"/>
    <col min="4611" max="4865" width="9.109375" style="266"/>
    <col min="4866" max="4866" width="12.6640625" style="266" bestFit="1" customWidth="1"/>
    <col min="4867" max="5121" width="9.109375" style="266"/>
    <col min="5122" max="5122" width="12.6640625" style="266" bestFit="1" customWidth="1"/>
    <col min="5123" max="5377" width="9.109375" style="266"/>
    <col min="5378" max="5378" width="12.6640625" style="266" bestFit="1" customWidth="1"/>
    <col min="5379" max="5633" width="9.109375" style="266"/>
    <col min="5634" max="5634" width="12.6640625" style="266" bestFit="1" customWidth="1"/>
    <col min="5635" max="5889" width="9.109375" style="266"/>
    <col min="5890" max="5890" width="12.6640625" style="266" bestFit="1" customWidth="1"/>
    <col min="5891" max="6145" width="9.109375" style="266"/>
    <col min="6146" max="6146" width="12.6640625" style="266" bestFit="1" customWidth="1"/>
    <col min="6147" max="6401" width="9.109375" style="266"/>
    <col min="6402" max="6402" width="12.6640625" style="266" bestFit="1" customWidth="1"/>
    <col min="6403" max="6657" width="9.109375" style="266"/>
    <col min="6658" max="6658" width="12.6640625" style="266" bestFit="1" customWidth="1"/>
    <col min="6659" max="6913" width="9.109375" style="266"/>
    <col min="6914" max="6914" width="12.6640625" style="266" bestFit="1" customWidth="1"/>
    <col min="6915" max="7169" width="9.109375" style="266"/>
    <col min="7170" max="7170" width="12.6640625" style="266" bestFit="1" customWidth="1"/>
    <col min="7171" max="7425" width="9.109375" style="266"/>
    <col min="7426" max="7426" width="12.6640625" style="266" bestFit="1" customWidth="1"/>
    <col min="7427" max="7681" width="9.109375" style="266"/>
    <col min="7682" max="7682" width="12.6640625" style="266" bestFit="1" customWidth="1"/>
    <col min="7683" max="7937" width="9.109375" style="266"/>
    <col min="7938" max="7938" width="12.6640625" style="266" bestFit="1" customWidth="1"/>
    <col min="7939" max="8193" width="9.109375" style="266"/>
    <col min="8194" max="8194" width="12.6640625" style="266" bestFit="1" customWidth="1"/>
    <col min="8195" max="8449" width="9.109375" style="266"/>
    <col min="8450" max="8450" width="12.6640625" style="266" bestFit="1" customWidth="1"/>
    <col min="8451" max="8705" width="9.109375" style="266"/>
    <col min="8706" max="8706" width="12.6640625" style="266" bestFit="1" customWidth="1"/>
    <col min="8707" max="8961" width="9.109375" style="266"/>
    <col min="8962" max="8962" width="12.6640625" style="266" bestFit="1" customWidth="1"/>
    <col min="8963" max="9217" width="9.109375" style="266"/>
    <col min="9218" max="9218" width="12.6640625" style="266" bestFit="1" customWidth="1"/>
    <col min="9219" max="9473" width="9.109375" style="266"/>
    <col min="9474" max="9474" width="12.6640625" style="266" bestFit="1" customWidth="1"/>
    <col min="9475" max="9729" width="9.109375" style="266"/>
    <col min="9730" max="9730" width="12.6640625" style="266" bestFit="1" customWidth="1"/>
    <col min="9731" max="9985" width="9.109375" style="266"/>
    <col min="9986" max="9986" width="12.6640625" style="266" bestFit="1" customWidth="1"/>
    <col min="9987" max="10241" width="9.109375" style="266"/>
    <col min="10242" max="10242" width="12.6640625" style="266" bestFit="1" customWidth="1"/>
    <col min="10243" max="10497" width="9.109375" style="266"/>
    <col min="10498" max="10498" width="12.6640625" style="266" bestFit="1" customWidth="1"/>
    <col min="10499" max="10753" width="9.109375" style="266"/>
    <col min="10754" max="10754" width="12.6640625" style="266" bestFit="1" customWidth="1"/>
    <col min="10755" max="11009" width="9.109375" style="266"/>
    <col min="11010" max="11010" width="12.6640625" style="266" bestFit="1" customWidth="1"/>
    <col min="11011" max="11265" width="9.109375" style="266"/>
    <col min="11266" max="11266" width="12.6640625" style="266" bestFit="1" customWidth="1"/>
    <col min="11267" max="11521" width="9.109375" style="266"/>
    <col min="11522" max="11522" width="12.6640625" style="266" bestFit="1" customWidth="1"/>
    <col min="11523" max="11777" width="9.109375" style="266"/>
    <col min="11778" max="11778" width="12.6640625" style="266" bestFit="1" customWidth="1"/>
    <col min="11779" max="12033" width="9.109375" style="266"/>
    <col min="12034" max="12034" width="12.6640625" style="266" bestFit="1" customWidth="1"/>
    <col min="12035" max="12289" width="9.109375" style="266"/>
    <col min="12290" max="12290" width="12.6640625" style="266" bestFit="1" customWidth="1"/>
    <col min="12291" max="12545" width="9.109375" style="266"/>
    <col min="12546" max="12546" width="12.6640625" style="266" bestFit="1" customWidth="1"/>
    <col min="12547" max="12801" width="9.109375" style="266"/>
    <col min="12802" max="12802" width="12.6640625" style="266" bestFit="1" customWidth="1"/>
    <col min="12803" max="13057" width="9.109375" style="266"/>
    <col min="13058" max="13058" width="12.6640625" style="266" bestFit="1" customWidth="1"/>
    <col min="13059" max="13313" width="9.109375" style="266"/>
    <col min="13314" max="13314" width="12.6640625" style="266" bestFit="1" customWidth="1"/>
    <col min="13315" max="13569" width="9.109375" style="266"/>
    <col min="13570" max="13570" width="12.6640625" style="266" bestFit="1" customWidth="1"/>
    <col min="13571" max="13825" width="9.109375" style="266"/>
    <col min="13826" max="13826" width="12.6640625" style="266" bestFit="1" customWidth="1"/>
    <col min="13827" max="14081" width="9.109375" style="266"/>
    <col min="14082" max="14082" width="12.6640625" style="266" bestFit="1" customWidth="1"/>
    <col min="14083" max="14337" width="9.109375" style="266"/>
    <col min="14338" max="14338" width="12.6640625" style="266" bestFit="1" customWidth="1"/>
    <col min="14339" max="14593" width="9.109375" style="266"/>
    <col min="14594" max="14594" width="12.6640625" style="266" bestFit="1" customWidth="1"/>
    <col min="14595" max="14849" width="9.109375" style="266"/>
    <col min="14850" max="14850" width="12.6640625" style="266" bestFit="1" customWidth="1"/>
    <col min="14851" max="15105" width="9.109375" style="266"/>
    <col min="15106" max="15106" width="12.6640625" style="266" bestFit="1" customWidth="1"/>
    <col min="15107" max="15361" width="9.109375" style="266"/>
    <col min="15362" max="15362" width="12.6640625" style="266" bestFit="1" customWidth="1"/>
    <col min="15363" max="15617" width="9.109375" style="266"/>
    <col min="15618" max="15618" width="12.6640625" style="266" bestFit="1" customWidth="1"/>
    <col min="15619" max="15873" width="9.109375" style="266"/>
    <col min="15874" max="15874" width="12.6640625" style="266" bestFit="1" customWidth="1"/>
    <col min="15875" max="16129" width="9.109375" style="266"/>
    <col min="16130" max="16130" width="12.6640625" style="266" bestFit="1" customWidth="1"/>
    <col min="16131" max="16384" width="9.109375" style="266"/>
  </cols>
  <sheetData>
    <row r="16" spans="1:3">
      <c r="A16" s="585"/>
      <c r="B16" s="586" t="s">
        <v>188</v>
      </c>
      <c r="C16" s="587" t="s">
        <v>189</v>
      </c>
    </row>
    <row r="17" spans="1:4">
      <c r="A17" s="588" t="s">
        <v>300</v>
      </c>
      <c r="B17" s="589"/>
      <c r="C17" s="590"/>
    </row>
    <row r="18" spans="1:4">
      <c r="A18" s="591" t="s">
        <v>20</v>
      </c>
      <c r="B18" s="592" t="e">
        <f>B17-C18</f>
        <v>#REF!</v>
      </c>
      <c r="C18" s="590" t="e">
        <f>C33</f>
        <v>#REF!</v>
      </c>
    </row>
    <row r="19" spans="1:4">
      <c r="A19" s="589" t="s">
        <v>21</v>
      </c>
      <c r="B19" s="592" t="e">
        <f>B18-C19</f>
        <v>#REF!</v>
      </c>
      <c r="C19" s="590" t="e">
        <f t="shared" ref="C19:C26" si="0">C34</f>
        <v>#REF!</v>
      </c>
    </row>
    <row r="20" spans="1:4">
      <c r="A20" s="591" t="s">
        <v>137</v>
      </c>
      <c r="B20" s="592" t="e">
        <f>B19-C20</f>
        <v>#REF!</v>
      </c>
      <c r="C20" s="590" t="e">
        <f t="shared" si="0"/>
        <v>#REF!</v>
      </c>
    </row>
    <row r="21" spans="1:4">
      <c r="A21" s="591" t="s">
        <v>133</v>
      </c>
      <c r="B21" s="592" t="e">
        <f t="shared" ref="B21:B26" si="1">B20-C21</f>
        <v>#REF!</v>
      </c>
      <c r="C21" s="590" t="e">
        <f t="shared" si="0"/>
        <v>#REF!</v>
      </c>
    </row>
    <row r="22" spans="1:4">
      <c r="A22" s="589" t="s">
        <v>135</v>
      </c>
      <c r="B22" s="592" t="e">
        <f t="shared" si="1"/>
        <v>#REF!</v>
      </c>
      <c r="C22" s="590" t="e">
        <f t="shared" si="0"/>
        <v>#REF!</v>
      </c>
    </row>
    <row r="23" spans="1:4">
      <c r="A23" s="589" t="s">
        <v>134</v>
      </c>
      <c r="B23" s="592" t="e">
        <f t="shared" si="1"/>
        <v>#REF!</v>
      </c>
      <c r="C23" s="590" t="e">
        <f t="shared" si="0"/>
        <v>#REF!</v>
      </c>
    </row>
    <row r="24" spans="1:4">
      <c r="A24" s="591" t="s">
        <v>301</v>
      </c>
      <c r="B24" s="592" t="e">
        <f t="shared" si="1"/>
        <v>#REF!</v>
      </c>
      <c r="C24" s="590" t="e">
        <f t="shared" si="0"/>
        <v>#REF!</v>
      </c>
    </row>
    <row r="25" spans="1:4">
      <c r="A25" s="591" t="s">
        <v>22</v>
      </c>
      <c r="B25" s="592" t="e">
        <f t="shared" si="1"/>
        <v>#REF!</v>
      </c>
      <c r="C25" s="590" t="e">
        <f t="shared" si="0"/>
        <v>#REF!</v>
      </c>
    </row>
    <row r="26" spans="1:4">
      <c r="A26" s="591" t="s">
        <v>136</v>
      </c>
      <c r="B26" s="592" t="e">
        <f t="shared" si="1"/>
        <v>#REF!</v>
      </c>
      <c r="C26" s="590" t="e">
        <f t="shared" si="0"/>
        <v>#REF!</v>
      </c>
    </row>
    <row r="27" spans="1:4">
      <c r="A27" s="593"/>
      <c r="B27" s="594"/>
      <c r="C27" s="595" t="e">
        <f>SUM(C18:C26)</f>
        <v>#REF!</v>
      </c>
    </row>
    <row r="28" spans="1:4">
      <c r="A28" s="408" t="s">
        <v>190</v>
      </c>
      <c r="B28" s="408"/>
      <c r="C28" s="408"/>
    </row>
    <row r="29" spans="1:4">
      <c r="A29" s="266" t="s">
        <v>191</v>
      </c>
    </row>
    <row r="32" spans="1:4">
      <c r="A32" s="596" t="str">
        <f>[53]Charts!H5</f>
        <v>Figure 3</v>
      </c>
      <c r="B32" s="597">
        <v>43862</v>
      </c>
      <c r="C32" s="598"/>
      <c r="D32" s="599"/>
    </row>
    <row r="33" spans="1:7">
      <c r="A33" s="591" t="s">
        <v>20</v>
      </c>
      <c r="B33" s="409"/>
      <c r="C33" s="589" t="e">
        <f t="shared" ref="C33:C41" si="2">B33/SUM($B$33:$B$41)*100</f>
        <v>#REF!</v>
      </c>
      <c r="D33" s="600" t="e">
        <f>B33/SUM($B$33:$B$40)*100</f>
        <v>#REF!</v>
      </c>
    </row>
    <row r="34" spans="1:7">
      <c r="A34" s="589" t="s">
        <v>21</v>
      </c>
      <c r="B34" s="409"/>
      <c r="C34" s="589" t="e">
        <f t="shared" si="2"/>
        <v>#REF!</v>
      </c>
      <c r="D34" s="600" t="e">
        <f>B34/SUM($B$33:$B$40)*100</f>
        <v>#REF!</v>
      </c>
    </row>
    <row r="35" spans="1:7">
      <c r="A35" s="591" t="s">
        <v>137</v>
      </c>
      <c r="B35" s="409"/>
      <c r="C35" s="589" t="e">
        <f t="shared" si="2"/>
        <v>#REF!</v>
      </c>
      <c r="D35" s="600" t="e">
        <f t="shared" ref="D35:D40" si="3">B35/SUM($B$33:$B$40)*100</f>
        <v>#REF!</v>
      </c>
    </row>
    <row r="36" spans="1:7">
      <c r="A36" s="591" t="s">
        <v>133</v>
      </c>
      <c r="B36" s="409"/>
      <c r="C36" s="589" t="e">
        <f t="shared" si="2"/>
        <v>#REF!</v>
      </c>
      <c r="D36" s="600" t="e">
        <f t="shared" si="3"/>
        <v>#REF!</v>
      </c>
    </row>
    <row r="37" spans="1:7">
      <c r="A37" s="591" t="s">
        <v>135</v>
      </c>
      <c r="B37" s="409" t="e">
        <f>'Tab 3.Count of usual residence'!#REF!</f>
        <v>#REF!</v>
      </c>
      <c r="C37" s="589" t="e">
        <f t="shared" si="2"/>
        <v>#REF!</v>
      </c>
      <c r="D37" s="600" t="e">
        <f t="shared" si="3"/>
        <v>#REF!</v>
      </c>
    </row>
    <row r="38" spans="1:7">
      <c r="A38" s="589" t="s">
        <v>134</v>
      </c>
      <c r="B38" s="409" t="e">
        <f>'Tab 3.Count of usual residence'!#REF!</f>
        <v>#REF!</v>
      </c>
      <c r="C38" s="589" t="e">
        <f t="shared" si="2"/>
        <v>#REF!</v>
      </c>
      <c r="D38" s="600" t="e">
        <f t="shared" si="3"/>
        <v>#REF!</v>
      </c>
    </row>
    <row r="39" spans="1:7">
      <c r="A39" s="591" t="s">
        <v>301</v>
      </c>
      <c r="B39" s="409" t="e">
        <f>'Tab 3.Count of usual residence'!#REF!</f>
        <v>#REF!</v>
      </c>
      <c r="C39" s="589" t="e">
        <f t="shared" si="2"/>
        <v>#REF!</v>
      </c>
      <c r="D39" s="600" t="e">
        <f t="shared" si="3"/>
        <v>#REF!</v>
      </c>
    </row>
    <row r="40" spans="1:7">
      <c r="A40" s="591" t="s">
        <v>22</v>
      </c>
      <c r="B40" s="409" t="e">
        <f>'Tab 3.Count of usual residence'!#REF!</f>
        <v>#REF!</v>
      </c>
      <c r="C40" s="589" t="e">
        <f t="shared" si="2"/>
        <v>#REF!</v>
      </c>
      <c r="D40" s="600" t="e">
        <f t="shared" si="3"/>
        <v>#REF!</v>
      </c>
    </row>
    <row r="41" spans="1:7">
      <c r="A41" s="591" t="s">
        <v>136</v>
      </c>
      <c r="B41" s="409" t="e">
        <f>'Tab 3.Count of usual residence'!#REF!</f>
        <v>#REF!</v>
      </c>
      <c r="C41" s="589" t="e">
        <f t="shared" si="2"/>
        <v>#REF!</v>
      </c>
      <c r="D41" s="600"/>
    </row>
    <row r="42" spans="1:7">
      <c r="A42" s="593"/>
      <c r="B42" s="601"/>
      <c r="C42" s="594"/>
      <c r="D42" s="602" t="e">
        <f>SUM(D33:D40)</f>
        <v>#REF!</v>
      </c>
    </row>
    <row r="44" spans="1:7">
      <c r="A44" s="266" t="s">
        <v>192</v>
      </c>
    </row>
    <row r="46" spans="1:7">
      <c r="G46" s="318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09375" defaultRowHeight="14.4"/>
  <cols>
    <col min="1" max="1" width="5.88671875" style="337" customWidth="1"/>
    <col min="2" max="2" width="10.6640625" style="337" customWidth="1"/>
    <col min="3" max="3" width="6.5546875" style="337" customWidth="1"/>
    <col min="4" max="5" width="5.88671875" style="337" customWidth="1"/>
    <col min="6" max="6" width="7.44140625" style="337" bestFit="1" customWidth="1"/>
    <col min="7" max="8" width="5.88671875" style="337" customWidth="1"/>
    <col min="9" max="9" width="7.44140625" style="337" customWidth="1"/>
    <col min="10" max="10" width="10.33203125" style="337" customWidth="1"/>
    <col min="11" max="11" width="7.109375" style="337" bestFit="1" customWidth="1"/>
    <col min="12" max="12" width="7" style="337" customWidth="1"/>
    <col min="13" max="13" width="4.5546875" style="337" customWidth="1"/>
    <col min="14" max="14" width="15" style="337" customWidth="1"/>
    <col min="15" max="15" width="21.109375" style="337" bestFit="1" customWidth="1"/>
    <col min="16" max="16384" width="9.109375" style="337"/>
  </cols>
  <sheetData>
    <row r="2" spans="1:12">
      <c r="A2" s="440" t="s">
        <v>227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</row>
    <row r="3" spans="1:12" ht="21" customHeight="1">
      <c r="A3" s="442"/>
      <c r="B3" s="443"/>
      <c r="C3" s="1007" t="s">
        <v>209</v>
      </c>
      <c r="D3" s="1008"/>
      <c r="E3" s="1008"/>
      <c r="F3" s="1008"/>
      <c r="G3" s="1008"/>
      <c r="H3" s="1009"/>
      <c r="I3" s="443"/>
      <c r="J3" s="1010" t="s">
        <v>212</v>
      </c>
      <c r="K3" s="1012" t="s">
        <v>211</v>
      </c>
      <c r="L3" s="1014" t="s">
        <v>213</v>
      </c>
    </row>
    <row r="4" spans="1:12" ht="19.5" customHeight="1">
      <c r="A4" s="444" t="s">
        <v>73</v>
      </c>
      <c r="B4" s="551" t="s">
        <v>115</v>
      </c>
      <c r="C4" s="445" t="s">
        <v>203</v>
      </c>
      <c r="D4" s="445" t="s">
        <v>202</v>
      </c>
      <c r="E4" s="445" t="s">
        <v>201</v>
      </c>
      <c r="F4" s="445" t="s">
        <v>204</v>
      </c>
      <c r="G4" s="445" t="s">
        <v>205</v>
      </c>
      <c r="H4" s="445" t="s">
        <v>206</v>
      </c>
      <c r="I4" s="446" t="s">
        <v>14</v>
      </c>
      <c r="J4" s="1011"/>
      <c r="K4" s="1013"/>
      <c r="L4" s="1015"/>
    </row>
    <row r="5" spans="1:12">
      <c r="A5" s="447">
        <v>2014</v>
      </c>
      <c r="B5" s="552" t="s">
        <v>4</v>
      </c>
      <c r="C5" s="548">
        <v>14</v>
      </c>
      <c r="D5" s="548">
        <v>384</v>
      </c>
      <c r="E5" s="548">
        <v>73</v>
      </c>
      <c r="F5" s="548">
        <v>79</v>
      </c>
      <c r="G5" s="548">
        <v>129</v>
      </c>
      <c r="H5" s="548">
        <v>456</v>
      </c>
      <c r="I5" s="448">
        <f>SUM(C5:H5)</f>
        <v>1135</v>
      </c>
      <c r="J5" s="617" t="e">
        <f>'Table 1 Summary'!#REF!</f>
        <v>#REF!</v>
      </c>
      <c r="K5" s="549" t="e">
        <f>I5/J5*100</f>
        <v>#REF!</v>
      </c>
      <c r="L5" s="449" t="e">
        <f>I5/J5</f>
        <v>#REF!</v>
      </c>
    </row>
    <row r="6" spans="1:12" hidden="1">
      <c r="A6" s="450"/>
      <c r="B6" s="462" t="s">
        <v>30</v>
      </c>
      <c r="C6" s="451">
        <v>40</v>
      </c>
      <c r="D6" s="451">
        <v>756</v>
      </c>
      <c r="E6" s="451">
        <v>108</v>
      </c>
      <c r="F6" s="451">
        <v>139</v>
      </c>
      <c r="G6" s="451">
        <v>238</v>
      </c>
      <c r="H6" s="451">
        <v>961</v>
      </c>
      <c r="I6" s="452">
        <f t="shared" ref="I6:I42" si="0">SUM(C6:H6)</f>
        <v>2242</v>
      </c>
      <c r="J6" s="618" t="e">
        <f>'Table 1 Summary'!#REF!</f>
        <v>#REF!</v>
      </c>
      <c r="K6" s="453" t="e">
        <f t="shared" ref="K6:K15" si="1">I6/J6*100</f>
        <v>#REF!</v>
      </c>
      <c r="L6" s="454" t="e">
        <f t="shared" ref="L6:L15" si="2">I6/J6</f>
        <v>#REF!</v>
      </c>
    </row>
    <row r="7" spans="1:12" hidden="1">
      <c r="A7" s="450"/>
      <c r="B7" s="462" t="s">
        <v>36</v>
      </c>
      <c r="C7" s="451">
        <v>33</v>
      </c>
      <c r="D7" s="455">
        <v>1082</v>
      </c>
      <c r="E7" s="451">
        <v>118</v>
      </c>
      <c r="F7" s="451">
        <v>191</v>
      </c>
      <c r="G7" s="451">
        <v>309</v>
      </c>
      <c r="H7" s="455">
        <v>1393</v>
      </c>
      <c r="I7" s="452">
        <f t="shared" si="0"/>
        <v>3126</v>
      </c>
      <c r="J7" s="618" t="e">
        <f>'Table 1 Summary'!#REF!</f>
        <v>#REF!</v>
      </c>
      <c r="K7" s="453" t="e">
        <f t="shared" si="1"/>
        <v>#REF!</v>
      </c>
      <c r="L7" s="454" t="e">
        <f t="shared" si="2"/>
        <v>#REF!</v>
      </c>
    </row>
    <row r="8" spans="1:12" hidden="1">
      <c r="A8" s="450"/>
      <c r="B8" s="462" t="s">
        <v>37</v>
      </c>
      <c r="C8" s="451">
        <v>40</v>
      </c>
      <c r="D8" s="451">
        <v>890</v>
      </c>
      <c r="E8" s="451">
        <v>59</v>
      </c>
      <c r="F8" s="451">
        <v>265</v>
      </c>
      <c r="G8" s="451">
        <v>357</v>
      </c>
      <c r="H8" s="455">
        <v>1348</v>
      </c>
      <c r="I8" s="452">
        <f t="shared" si="0"/>
        <v>2959</v>
      </c>
      <c r="J8" s="618" t="e">
        <f>'Table 1 Summary'!#REF!</f>
        <v>#REF!</v>
      </c>
      <c r="K8" s="453" t="e">
        <f t="shared" si="1"/>
        <v>#REF!</v>
      </c>
      <c r="L8" s="454" t="e">
        <f t="shared" si="2"/>
        <v>#REF!</v>
      </c>
    </row>
    <row r="9" spans="1:12" hidden="1">
      <c r="A9" s="450"/>
      <c r="B9" s="462" t="s">
        <v>31</v>
      </c>
      <c r="C9" s="451">
        <v>26</v>
      </c>
      <c r="D9" s="451">
        <v>563</v>
      </c>
      <c r="E9" s="451">
        <v>123</v>
      </c>
      <c r="F9" s="451">
        <v>207</v>
      </c>
      <c r="G9" s="451">
        <v>239</v>
      </c>
      <c r="H9" s="451">
        <v>780</v>
      </c>
      <c r="I9" s="452">
        <f t="shared" si="0"/>
        <v>1938</v>
      </c>
      <c r="J9" s="618" t="e">
        <f>'Table 1 Summary'!#REF!</f>
        <v>#REF!</v>
      </c>
      <c r="K9" s="453" t="e">
        <f t="shared" si="1"/>
        <v>#REF!</v>
      </c>
      <c r="L9" s="454" t="e">
        <f t="shared" si="2"/>
        <v>#REF!</v>
      </c>
    </row>
    <row r="10" spans="1:12" hidden="1">
      <c r="A10" s="450"/>
      <c r="B10" s="462" t="s">
        <v>38</v>
      </c>
      <c r="C10" s="451">
        <v>50</v>
      </c>
      <c r="D10" s="451">
        <v>744</v>
      </c>
      <c r="E10" s="451">
        <v>95</v>
      </c>
      <c r="F10" s="451">
        <v>144</v>
      </c>
      <c r="G10" s="451">
        <v>205</v>
      </c>
      <c r="H10" s="451">
        <v>978</v>
      </c>
      <c r="I10" s="452">
        <f t="shared" si="0"/>
        <v>2216</v>
      </c>
      <c r="J10" s="618" t="e">
        <f>'Table 1 Summary'!#REF!</f>
        <v>#REF!</v>
      </c>
      <c r="K10" s="453" t="e">
        <f t="shared" si="1"/>
        <v>#REF!</v>
      </c>
      <c r="L10" s="454" t="e">
        <f t="shared" si="2"/>
        <v>#REF!</v>
      </c>
    </row>
    <row r="11" spans="1:12" hidden="1">
      <c r="A11" s="450"/>
      <c r="B11" s="462" t="s">
        <v>39</v>
      </c>
      <c r="C11" s="451">
        <v>39</v>
      </c>
      <c r="D11" s="451">
        <v>426</v>
      </c>
      <c r="E11" s="451">
        <v>26</v>
      </c>
      <c r="F11" s="451">
        <v>119</v>
      </c>
      <c r="G11" s="451">
        <v>232</v>
      </c>
      <c r="H11" s="451">
        <v>547</v>
      </c>
      <c r="I11" s="452">
        <f t="shared" si="0"/>
        <v>1389</v>
      </c>
      <c r="J11" s="618" t="e">
        <f>'Table 1 Summary'!#REF!</f>
        <v>#REF!</v>
      </c>
      <c r="K11" s="453" t="e">
        <f t="shared" si="1"/>
        <v>#REF!</v>
      </c>
      <c r="L11" s="454" t="e">
        <f t="shared" si="2"/>
        <v>#REF!</v>
      </c>
    </row>
    <row r="12" spans="1:12" hidden="1">
      <c r="A12" s="450"/>
      <c r="B12" s="462" t="s">
        <v>32</v>
      </c>
      <c r="C12" s="451">
        <v>16</v>
      </c>
      <c r="D12" s="451">
        <v>379</v>
      </c>
      <c r="E12" s="451">
        <v>29</v>
      </c>
      <c r="F12" s="451">
        <v>51</v>
      </c>
      <c r="G12" s="451">
        <v>156</v>
      </c>
      <c r="H12" s="451">
        <v>449</v>
      </c>
      <c r="I12" s="452">
        <f t="shared" si="0"/>
        <v>1080</v>
      </c>
      <c r="J12" s="618" t="e">
        <f>'Table 1 Summary'!#REF!</f>
        <v>#REF!</v>
      </c>
      <c r="K12" s="453" t="e">
        <f t="shared" si="1"/>
        <v>#REF!</v>
      </c>
      <c r="L12" s="454" t="e">
        <f t="shared" si="2"/>
        <v>#REF!</v>
      </c>
    </row>
    <row r="13" spans="1:12" hidden="1">
      <c r="A13" s="450">
        <v>2015</v>
      </c>
      <c r="B13" s="462" t="s">
        <v>33</v>
      </c>
      <c r="C13" s="451">
        <v>24</v>
      </c>
      <c r="D13" s="451">
        <v>485</v>
      </c>
      <c r="E13" s="451">
        <v>20</v>
      </c>
      <c r="F13" s="451">
        <v>84</v>
      </c>
      <c r="G13" s="451">
        <v>235</v>
      </c>
      <c r="H13" s="451">
        <v>640</v>
      </c>
      <c r="I13" s="452">
        <f t="shared" si="0"/>
        <v>1488</v>
      </c>
      <c r="J13" s="618" t="e">
        <f>'Table 1 Summary'!#REF!</f>
        <v>#REF!</v>
      </c>
      <c r="K13" s="453" t="e">
        <f t="shared" si="1"/>
        <v>#REF!</v>
      </c>
      <c r="L13" s="454" t="e">
        <f t="shared" si="2"/>
        <v>#REF!</v>
      </c>
    </row>
    <row r="14" spans="1:12" hidden="1">
      <c r="A14" s="450"/>
      <c r="B14" s="462" t="s">
        <v>34</v>
      </c>
      <c r="C14" s="456">
        <v>20</v>
      </c>
      <c r="D14" s="456">
        <v>230</v>
      </c>
      <c r="E14" s="456">
        <v>26</v>
      </c>
      <c r="F14" s="456">
        <v>52</v>
      </c>
      <c r="G14" s="456">
        <v>40</v>
      </c>
      <c r="H14" s="456">
        <v>278</v>
      </c>
      <c r="I14" s="452">
        <f t="shared" si="0"/>
        <v>646</v>
      </c>
      <c r="J14" s="618" t="e">
        <f>'Table 1 Summary'!#REF!</f>
        <v>#REF!</v>
      </c>
      <c r="K14" s="453" t="e">
        <f t="shared" si="1"/>
        <v>#REF!</v>
      </c>
      <c r="L14" s="454" t="e">
        <f t="shared" si="2"/>
        <v>#REF!</v>
      </c>
    </row>
    <row r="15" spans="1:12" hidden="1">
      <c r="A15" s="450"/>
      <c r="B15" s="462" t="s">
        <v>29</v>
      </c>
      <c r="C15" s="456">
        <f>'[29]Visitors by Province'!$H$4</f>
        <v>5</v>
      </c>
      <c r="D15" s="456">
        <f>'[29]Visitors by Province'!$E$4</f>
        <v>274</v>
      </c>
      <c r="E15" s="456">
        <f>'[29]Visitors by Province'!$D$4</f>
        <v>36</v>
      </c>
      <c r="F15" s="456">
        <f>'[29]Visitors by Province'!$C$4</f>
        <v>58</v>
      </c>
      <c r="G15" s="456">
        <f>'[29]Visitors by Province'!$F$4</f>
        <v>139</v>
      </c>
      <c r="H15" s="456">
        <f>'[29]Visitors by Province'!$G$4</f>
        <v>271</v>
      </c>
      <c r="I15" s="452">
        <f t="shared" si="0"/>
        <v>783</v>
      </c>
      <c r="J15" s="618" t="e">
        <f>'Table 1 Summary'!#REF!</f>
        <v>#REF!</v>
      </c>
      <c r="K15" s="453" t="e">
        <f t="shared" si="1"/>
        <v>#REF!</v>
      </c>
      <c r="L15" s="454" t="e">
        <f t="shared" si="2"/>
        <v>#REF!</v>
      </c>
    </row>
    <row r="16" spans="1:12" hidden="1">
      <c r="A16" s="450"/>
      <c r="B16" s="462" t="s">
        <v>35</v>
      </c>
      <c r="C16" s="457">
        <f>'[29]Visitors by Province'!$H$5</f>
        <v>11</v>
      </c>
      <c r="D16" s="457">
        <f>'[29]Visitors by Province'!$E$5</f>
        <v>395</v>
      </c>
      <c r="E16" s="457">
        <f>'[29]Visitors by Province'!$D$5</f>
        <v>75</v>
      </c>
      <c r="F16" s="457">
        <f>'[29]Visitors by Province'!$C$5</f>
        <v>76</v>
      </c>
      <c r="G16" s="457">
        <f>'[29]Visitors by Province'!$F$5</f>
        <v>252</v>
      </c>
      <c r="H16" s="457">
        <f>'[29]Visitors by Province'!$G$5</f>
        <v>387</v>
      </c>
      <c r="I16" s="452">
        <f t="shared" si="0"/>
        <v>1196</v>
      </c>
      <c r="J16" s="618" t="e">
        <f>'Table 1 Summary'!#REF!</f>
        <v>#REF!</v>
      </c>
      <c r="K16" s="453" t="e">
        <f t="shared" ref="K16:K21" si="3">I16/J16*100</f>
        <v>#REF!</v>
      </c>
      <c r="L16" s="454" t="e">
        <f>I16/J16</f>
        <v>#REF!</v>
      </c>
    </row>
    <row r="17" spans="1:12" hidden="1">
      <c r="A17" s="450"/>
      <c r="B17" s="462" t="s">
        <v>4</v>
      </c>
      <c r="C17" s="457">
        <f>'[29]Visitors by Province'!$H$6</f>
        <v>24</v>
      </c>
      <c r="D17" s="457">
        <f>'[29]Visitors by Province'!$E$6</f>
        <v>426</v>
      </c>
      <c r="E17" s="457">
        <f>'[29]Visitors by Province'!$D$6</f>
        <v>51</v>
      </c>
      <c r="F17" s="457">
        <f>'[29]Visitors by Province'!$C$6</f>
        <v>83</v>
      </c>
      <c r="G17" s="457">
        <f>'[29]Visitors by Province'!$F$6</f>
        <v>257</v>
      </c>
      <c r="H17" s="457">
        <f>'[29]Visitors by Province'!$G$6</f>
        <v>377</v>
      </c>
      <c r="I17" s="452">
        <f t="shared" si="0"/>
        <v>1218</v>
      </c>
      <c r="J17" s="618" t="e">
        <f>'Table 1 Summary'!#REF!</f>
        <v>#REF!</v>
      </c>
      <c r="K17" s="453" t="e">
        <f t="shared" si="3"/>
        <v>#REF!</v>
      </c>
      <c r="L17" s="454" t="e">
        <f>I17/J17</f>
        <v>#REF!</v>
      </c>
    </row>
    <row r="18" spans="1:12" hidden="1">
      <c r="A18" s="450"/>
      <c r="B18" s="462" t="s">
        <v>30</v>
      </c>
      <c r="C18" s="457">
        <f>'[29]Visitors by Province'!$H$7</f>
        <v>31</v>
      </c>
      <c r="D18" s="457">
        <f>'[29]Visitors by Province'!$E$7</f>
        <v>659</v>
      </c>
      <c r="E18" s="457">
        <f>'[29]Visitors by Province'!$D$7</f>
        <v>94</v>
      </c>
      <c r="F18" s="457">
        <f>'[29]Visitors by Province'!$C$7</f>
        <v>161</v>
      </c>
      <c r="G18" s="457">
        <f>'[29]Visitors by Province'!$F$7</f>
        <v>339</v>
      </c>
      <c r="H18" s="457">
        <f>'[29]Visitors by Province'!$G$7</f>
        <v>504</v>
      </c>
      <c r="I18" s="452">
        <f t="shared" si="0"/>
        <v>1788</v>
      </c>
      <c r="J18" s="618" t="e">
        <f>'Table 1 Summary'!#REF!</f>
        <v>#REF!</v>
      </c>
      <c r="K18" s="453" t="e">
        <f t="shared" si="3"/>
        <v>#REF!</v>
      </c>
      <c r="L18" s="454" t="e">
        <f>I18/J18</f>
        <v>#REF!</v>
      </c>
    </row>
    <row r="19" spans="1:12" hidden="1">
      <c r="A19" s="450"/>
      <c r="B19" s="462" t="s">
        <v>36</v>
      </c>
      <c r="C19" s="457">
        <f>'[29]Visitors by Province'!$H$8</f>
        <v>57</v>
      </c>
      <c r="D19" s="457">
        <f>'[29]Visitors by Province'!$E$8</f>
        <v>780</v>
      </c>
      <c r="E19" s="457">
        <f>'[29]Visitors by Province'!$D$8</f>
        <v>65</v>
      </c>
      <c r="F19" s="457">
        <f>'[29]Visitors by Province'!$C$8</f>
        <v>170</v>
      </c>
      <c r="G19" s="457">
        <f>'[29]Visitors by Province'!$F$8</f>
        <v>533</v>
      </c>
      <c r="H19" s="457">
        <f>'[29]Visitors by Province'!$G$8</f>
        <v>691</v>
      </c>
      <c r="I19" s="452">
        <f t="shared" si="0"/>
        <v>2296</v>
      </c>
      <c r="J19" s="618" t="e">
        <f>'Table 1 Summary'!#REF!</f>
        <v>#REF!</v>
      </c>
      <c r="K19" s="453" t="e">
        <f t="shared" si="3"/>
        <v>#REF!</v>
      </c>
      <c r="L19" s="454" t="e">
        <f>I19/J19</f>
        <v>#REF!</v>
      </c>
    </row>
    <row r="20" spans="1:12" hidden="1">
      <c r="A20" s="450"/>
      <c r="B20" s="462" t="s">
        <v>37</v>
      </c>
      <c r="C20" s="457">
        <f>'[29]Visitors by Province'!$H$9</f>
        <v>52</v>
      </c>
      <c r="D20" s="457">
        <f>'[29]Visitors by Province'!$E$9</f>
        <v>761</v>
      </c>
      <c r="E20" s="457">
        <f>'[29]Visitors by Province'!$D$9</f>
        <v>72</v>
      </c>
      <c r="F20" s="457">
        <f>'[29]Visitors by Province'!$C$9</f>
        <v>255</v>
      </c>
      <c r="G20" s="457">
        <f>'[29]Visitors by Province'!$F$9</f>
        <v>324</v>
      </c>
      <c r="H20" s="457">
        <f>'[29]Visitors by Province'!$G$9</f>
        <v>672</v>
      </c>
      <c r="I20" s="452">
        <f t="shared" si="0"/>
        <v>2136</v>
      </c>
      <c r="J20" s="618" t="e">
        <f>'Table 1 Summary'!#REF!</f>
        <v>#REF!</v>
      </c>
      <c r="K20" s="453" t="e">
        <f t="shared" si="3"/>
        <v>#REF!</v>
      </c>
      <c r="L20" s="454" t="e">
        <f>I20/J20</f>
        <v>#REF!</v>
      </c>
    </row>
    <row r="21" spans="1:12" hidden="1">
      <c r="A21" s="450"/>
      <c r="B21" s="462" t="s">
        <v>31</v>
      </c>
      <c r="C21" s="457">
        <f>'[29]Visitors by Province'!$H$10</f>
        <v>31</v>
      </c>
      <c r="D21" s="457">
        <f>'[29]Visitors by Province'!$E$10</f>
        <v>522</v>
      </c>
      <c r="E21" s="457">
        <f>'[29]Visitors by Province'!$D$10</f>
        <v>40</v>
      </c>
      <c r="F21" s="457">
        <f>'[29]Visitors by Province'!$C$10</f>
        <v>145</v>
      </c>
      <c r="G21" s="457">
        <f>'[29]Visitors by Province'!$F$10</f>
        <v>395</v>
      </c>
      <c r="H21" s="457">
        <f>'[29]Visitors by Province'!$G$10</f>
        <v>530</v>
      </c>
      <c r="I21" s="452">
        <f t="shared" si="0"/>
        <v>1663</v>
      </c>
      <c r="J21" s="618" t="e">
        <f>'Table 1 Summary'!#REF!</f>
        <v>#REF!</v>
      </c>
      <c r="K21" s="453" t="e">
        <f t="shared" si="3"/>
        <v>#REF!</v>
      </c>
      <c r="L21" s="454" t="e">
        <f t="shared" ref="L21:L26" si="4">I21/J21</f>
        <v>#REF!</v>
      </c>
    </row>
    <row r="22" spans="1:12" hidden="1">
      <c r="A22" s="450"/>
      <c r="B22" s="462" t="s">
        <v>38</v>
      </c>
      <c r="C22" s="457">
        <f>'[30]Visitors by Province'!$I$11</f>
        <v>28</v>
      </c>
      <c r="D22" s="457">
        <f>'[30]Visitors by Province'!$F$11</f>
        <v>784</v>
      </c>
      <c r="E22" s="457">
        <f>'[30]Visitors by Province'!$E$11</f>
        <v>56</v>
      </c>
      <c r="F22" s="457">
        <f>'[30]Visitors by Province'!$D$11</f>
        <v>200</v>
      </c>
      <c r="G22" s="457">
        <f>'[30]Visitors by Province'!$G$11</f>
        <v>543</v>
      </c>
      <c r="H22" s="457">
        <f>'[30]Visitors by Province'!$H$11</f>
        <v>661</v>
      </c>
      <c r="I22" s="452">
        <f t="shared" si="0"/>
        <v>2272</v>
      </c>
      <c r="J22" s="618" t="e">
        <f>'Table 1 Summary'!#REF!</f>
        <v>#REF!</v>
      </c>
      <c r="K22" s="453" t="e">
        <f t="shared" ref="K22:K27" si="5">I22/J22*100</f>
        <v>#REF!</v>
      </c>
      <c r="L22" s="454" t="e">
        <f t="shared" si="4"/>
        <v>#REF!</v>
      </c>
    </row>
    <row r="23" spans="1:12" hidden="1">
      <c r="A23" s="450"/>
      <c r="B23" s="462" t="s">
        <v>39</v>
      </c>
      <c r="C23" s="457">
        <f>'[30]Visitors by Province'!$I$12</f>
        <v>31</v>
      </c>
      <c r="D23" s="457">
        <f>'[30]Visitors by Province'!$F$12</f>
        <v>514</v>
      </c>
      <c r="E23" s="457">
        <f>'[30]Visitors by Province'!$E$12</f>
        <v>21</v>
      </c>
      <c r="F23" s="457">
        <f>'[30]Visitors by Province'!$D$12</f>
        <v>143</v>
      </c>
      <c r="G23" s="457">
        <f>'[30]Visitors by Province'!$G$12</f>
        <v>337</v>
      </c>
      <c r="H23" s="457">
        <f>'[30]Visitors by Province'!$H$12</f>
        <v>426</v>
      </c>
      <c r="I23" s="452">
        <f t="shared" si="0"/>
        <v>1472</v>
      </c>
      <c r="J23" s="618" t="e">
        <f>'Table 1 Summary'!#REF!</f>
        <v>#REF!</v>
      </c>
      <c r="K23" s="453" t="e">
        <f t="shared" si="5"/>
        <v>#REF!</v>
      </c>
      <c r="L23" s="454" t="e">
        <f t="shared" si="4"/>
        <v>#REF!</v>
      </c>
    </row>
    <row r="24" spans="1:12" hidden="1">
      <c r="A24" s="450"/>
      <c r="B24" s="462" t="s">
        <v>32</v>
      </c>
      <c r="C24" s="457">
        <f>'[30]Visitors by Province'!$I$13</f>
        <v>15</v>
      </c>
      <c r="D24" s="457">
        <f>'[30]Visitors by Province'!$F$13</f>
        <v>405</v>
      </c>
      <c r="E24" s="457">
        <f>'[30]Visitors by Province'!$E$13</f>
        <v>40</v>
      </c>
      <c r="F24" s="457">
        <f>'[30]Visitors by Province'!$D$13</f>
        <v>62</v>
      </c>
      <c r="G24" s="457">
        <f>'[30]Visitors by Province'!$G$13</f>
        <v>174</v>
      </c>
      <c r="H24" s="457">
        <f>'[30]Visitors by Province'!$H$13</f>
        <v>378</v>
      </c>
      <c r="I24" s="452">
        <f t="shared" si="0"/>
        <v>1074</v>
      </c>
      <c r="J24" s="618" t="e">
        <f>'Table 1 Summary'!#REF!</f>
        <v>#REF!</v>
      </c>
      <c r="K24" s="453" t="e">
        <f t="shared" si="5"/>
        <v>#REF!</v>
      </c>
      <c r="L24" s="454" t="e">
        <f t="shared" si="4"/>
        <v>#REF!</v>
      </c>
    </row>
    <row r="25" spans="1:12" hidden="1">
      <c r="A25" s="450">
        <v>2016</v>
      </c>
      <c r="B25" s="462" t="s">
        <v>33</v>
      </c>
      <c r="C25" s="457">
        <v>12</v>
      </c>
      <c r="D25" s="457">
        <v>347</v>
      </c>
      <c r="E25" s="457">
        <v>22</v>
      </c>
      <c r="F25" s="457">
        <v>47</v>
      </c>
      <c r="G25" s="457">
        <v>161</v>
      </c>
      <c r="H25" s="457">
        <v>225</v>
      </c>
      <c r="I25" s="452">
        <f t="shared" si="0"/>
        <v>814</v>
      </c>
      <c r="J25" s="618" t="e">
        <f>'Table 1 Summary'!#REF!</f>
        <v>#REF!</v>
      </c>
      <c r="K25" s="453" t="e">
        <f t="shared" si="5"/>
        <v>#REF!</v>
      </c>
      <c r="L25" s="454" t="e">
        <f t="shared" si="4"/>
        <v>#REF!</v>
      </c>
    </row>
    <row r="26" spans="1:12" hidden="1">
      <c r="A26" s="450"/>
      <c r="B26" s="462" t="s">
        <v>34</v>
      </c>
      <c r="C26" s="457">
        <f>'[31]Visitors to outer provinces'!$I$7</f>
        <v>18</v>
      </c>
      <c r="D26" s="457">
        <f>'[31]Visitors to outer provinces'!$F$7</f>
        <v>374</v>
      </c>
      <c r="E26" s="457">
        <f>'[31]Visitors to outer provinces'!$E$7</f>
        <v>27</v>
      </c>
      <c r="F26" s="457">
        <f>'[31]Visitors to outer provinces'!$D$7</f>
        <v>76</v>
      </c>
      <c r="G26" s="457">
        <f>'[31]Visitors to outer provinces'!$G$7</f>
        <v>200</v>
      </c>
      <c r="H26" s="457">
        <f>'[31]Visitors to outer provinces'!$H$7</f>
        <v>361</v>
      </c>
      <c r="I26" s="452">
        <f t="shared" si="0"/>
        <v>1056</v>
      </c>
      <c r="J26" s="618" t="e">
        <f>'Table 1 Summary'!#REF!</f>
        <v>#REF!</v>
      </c>
      <c r="K26" s="458" t="e">
        <f t="shared" si="5"/>
        <v>#REF!</v>
      </c>
      <c r="L26" s="454" t="e">
        <f t="shared" si="4"/>
        <v>#REF!</v>
      </c>
    </row>
    <row r="27" spans="1:12" hidden="1">
      <c r="A27" s="450"/>
      <c r="B27" s="462" t="s">
        <v>29</v>
      </c>
      <c r="C27" s="457">
        <f>'[30]Visitors by Province'!$I$17</f>
        <v>3</v>
      </c>
      <c r="D27" s="457">
        <f>'[30]Visitors by Province'!$F$17</f>
        <v>128</v>
      </c>
      <c r="E27" s="457">
        <f>'[30]Visitors by Province'!$E$17</f>
        <v>12</v>
      </c>
      <c r="F27" s="457">
        <f>'[30]Visitors by Province'!$D$17</f>
        <v>32</v>
      </c>
      <c r="G27" s="457">
        <f>'[30]Visitors by Province'!$G$17</f>
        <v>83</v>
      </c>
      <c r="H27" s="457">
        <f>'[30]Visitors by Province'!$H$17</f>
        <v>101</v>
      </c>
      <c r="I27" s="452">
        <f t="shared" si="0"/>
        <v>359</v>
      </c>
      <c r="J27" s="618" t="e">
        <f>'Table 1 Summary'!#REF!</f>
        <v>#REF!</v>
      </c>
      <c r="K27" s="458" t="e">
        <f t="shared" si="5"/>
        <v>#REF!</v>
      </c>
      <c r="L27" s="454" t="e">
        <f>I27/J27</f>
        <v>#REF!</v>
      </c>
    </row>
    <row r="28" spans="1:12" hidden="1">
      <c r="A28" s="450"/>
      <c r="B28" s="462" t="s">
        <v>35</v>
      </c>
      <c r="C28" s="457">
        <v>15</v>
      </c>
      <c r="D28" s="457">
        <v>626</v>
      </c>
      <c r="E28" s="457">
        <v>62</v>
      </c>
      <c r="F28" s="457">
        <v>101</v>
      </c>
      <c r="G28" s="457">
        <v>321</v>
      </c>
      <c r="H28" s="457">
        <v>581</v>
      </c>
      <c r="I28" s="452">
        <f t="shared" si="0"/>
        <v>1706</v>
      </c>
      <c r="J28" s="618" t="e">
        <f>'Table 1 Summary'!#REF!</f>
        <v>#REF!</v>
      </c>
      <c r="K28" s="458" t="e">
        <f t="shared" ref="K28:K33" si="6">I28/J28*100</f>
        <v>#REF!</v>
      </c>
      <c r="L28" s="454" t="e">
        <f t="shared" ref="L28:L34" si="7">I28/J28</f>
        <v>#REF!</v>
      </c>
    </row>
    <row r="29" spans="1:12" hidden="1">
      <c r="A29" s="450"/>
      <c r="B29" s="462" t="s">
        <v>4</v>
      </c>
      <c r="C29" s="457">
        <v>20</v>
      </c>
      <c r="D29" s="457">
        <v>609</v>
      </c>
      <c r="E29" s="457">
        <v>103</v>
      </c>
      <c r="F29" s="457">
        <v>133</v>
      </c>
      <c r="G29" s="457">
        <v>270</v>
      </c>
      <c r="H29" s="457">
        <v>606</v>
      </c>
      <c r="I29" s="452">
        <f t="shared" si="0"/>
        <v>1741</v>
      </c>
      <c r="J29" s="618" t="e">
        <f>'Table 1 Summary'!#REF!</f>
        <v>#REF!</v>
      </c>
      <c r="K29" s="458" t="e">
        <f t="shared" si="6"/>
        <v>#REF!</v>
      </c>
      <c r="L29" s="454" t="e">
        <f t="shared" si="7"/>
        <v>#REF!</v>
      </c>
    </row>
    <row r="30" spans="1:12" hidden="1">
      <c r="A30" s="450"/>
      <c r="B30" s="462" t="s">
        <v>30</v>
      </c>
      <c r="C30" s="457">
        <f>'[30]Visitors by Province'!$I$20</f>
        <v>46</v>
      </c>
      <c r="D30" s="457">
        <f>'[30]Visitors by Province'!$F$20</f>
        <v>816</v>
      </c>
      <c r="E30" s="457">
        <f>'[30]Visitors by Province'!$E$20</f>
        <v>242</v>
      </c>
      <c r="F30" s="457">
        <f>'[30]Visitors by Province'!$D$20</f>
        <v>225</v>
      </c>
      <c r="G30" s="457">
        <f>'[30]Visitors by Province'!$G$20</f>
        <v>490</v>
      </c>
      <c r="H30" s="457">
        <f>'[30]Visitors by Province'!$H$20</f>
        <v>867</v>
      </c>
      <c r="I30" s="452">
        <f t="shared" si="0"/>
        <v>2686</v>
      </c>
      <c r="J30" s="618" t="e">
        <f>'Table 1 Summary'!#REF!</f>
        <v>#REF!</v>
      </c>
      <c r="K30" s="458" t="e">
        <f t="shared" si="6"/>
        <v>#REF!</v>
      </c>
      <c r="L30" s="454" t="e">
        <f t="shared" si="7"/>
        <v>#REF!</v>
      </c>
    </row>
    <row r="31" spans="1:12" hidden="1">
      <c r="A31" s="450"/>
      <c r="B31" s="462" t="s">
        <v>36</v>
      </c>
      <c r="C31" s="457">
        <v>55</v>
      </c>
      <c r="D31" s="457">
        <v>1432</v>
      </c>
      <c r="E31" s="457">
        <v>116</v>
      </c>
      <c r="F31" s="457">
        <v>254</v>
      </c>
      <c r="G31" s="457">
        <v>896</v>
      </c>
      <c r="H31" s="457">
        <v>1330</v>
      </c>
      <c r="I31" s="452">
        <f t="shared" si="0"/>
        <v>4083</v>
      </c>
      <c r="J31" s="618" t="e">
        <f>'Table 1 Summary'!#REF!</f>
        <v>#REF!</v>
      </c>
      <c r="K31" s="458" t="e">
        <f t="shared" si="6"/>
        <v>#REF!</v>
      </c>
      <c r="L31" s="454" t="e">
        <f t="shared" si="7"/>
        <v>#REF!</v>
      </c>
    </row>
    <row r="32" spans="1:12" hidden="1">
      <c r="A32" s="450"/>
      <c r="B32" s="462" t="s">
        <v>37</v>
      </c>
      <c r="C32" s="457">
        <v>64</v>
      </c>
      <c r="D32" s="457">
        <v>1085</v>
      </c>
      <c r="E32" s="457">
        <v>130</v>
      </c>
      <c r="F32" s="457">
        <v>263</v>
      </c>
      <c r="G32" s="457">
        <v>527</v>
      </c>
      <c r="H32" s="457">
        <v>1140</v>
      </c>
      <c r="I32" s="452">
        <f t="shared" si="0"/>
        <v>3209</v>
      </c>
      <c r="J32" s="618" t="e">
        <f>'Table 1 Summary'!#REF!</f>
        <v>#REF!</v>
      </c>
      <c r="K32" s="458" t="e">
        <f t="shared" si="6"/>
        <v>#REF!</v>
      </c>
      <c r="L32" s="454" t="e">
        <f t="shared" si="7"/>
        <v>#REF!</v>
      </c>
    </row>
    <row r="33" spans="1:14" hidden="1">
      <c r="A33" s="450"/>
      <c r="B33" s="462" t="s">
        <v>31</v>
      </c>
      <c r="C33" s="457">
        <v>64</v>
      </c>
      <c r="D33" s="457">
        <v>1001</v>
      </c>
      <c r="E33" s="457">
        <v>65</v>
      </c>
      <c r="F33" s="457">
        <v>185</v>
      </c>
      <c r="G33" s="457">
        <v>579</v>
      </c>
      <c r="H33" s="457">
        <v>898</v>
      </c>
      <c r="I33" s="452">
        <f t="shared" si="0"/>
        <v>2792</v>
      </c>
      <c r="J33" s="618" t="e">
        <f>'Table 1 Summary'!#REF!</f>
        <v>#REF!</v>
      </c>
      <c r="K33" s="458" t="e">
        <f t="shared" si="6"/>
        <v>#REF!</v>
      </c>
      <c r="L33" s="454" t="e">
        <f t="shared" si="7"/>
        <v>#REF!</v>
      </c>
    </row>
    <row r="34" spans="1:14" hidden="1">
      <c r="A34" s="450"/>
      <c r="B34" s="462" t="s">
        <v>38</v>
      </c>
      <c r="C34" s="457">
        <v>44</v>
      </c>
      <c r="D34" s="457">
        <v>384</v>
      </c>
      <c r="E34" s="457">
        <v>29</v>
      </c>
      <c r="F34" s="457">
        <v>85</v>
      </c>
      <c r="G34" s="457">
        <v>235</v>
      </c>
      <c r="H34" s="457">
        <v>407</v>
      </c>
      <c r="I34" s="452">
        <f t="shared" si="0"/>
        <v>1184</v>
      </c>
      <c r="J34" s="618" t="e">
        <f>'Table 1 Summary'!#REF!</f>
        <v>#REF!</v>
      </c>
      <c r="K34" s="458" t="e">
        <f t="shared" ref="K34:K39" si="8">I34/J34*100</f>
        <v>#REF!</v>
      </c>
      <c r="L34" s="454" t="e">
        <f t="shared" si="7"/>
        <v>#REF!</v>
      </c>
    </row>
    <row r="35" spans="1:14" hidden="1">
      <c r="A35" s="450"/>
      <c r="B35" s="462" t="s">
        <v>39</v>
      </c>
      <c r="C35" s="457">
        <v>18</v>
      </c>
      <c r="D35" s="457">
        <f>'[30]Visitors by Province'!$F$25</f>
        <v>604</v>
      </c>
      <c r="E35" s="457">
        <v>43</v>
      </c>
      <c r="F35" s="457">
        <v>103</v>
      </c>
      <c r="G35" s="457">
        <f>'[30]Visitors by Province'!$G$25</f>
        <v>301</v>
      </c>
      <c r="H35" s="457">
        <v>536</v>
      </c>
      <c r="I35" s="452">
        <f t="shared" si="0"/>
        <v>1605</v>
      </c>
      <c r="J35" s="618" t="e">
        <f>'Table 1 Summary'!#REF!</f>
        <v>#REF!</v>
      </c>
      <c r="K35" s="458" t="e">
        <f t="shared" si="8"/>
        <v>#REF!</v>
      </c>
      <c r="L35" s="454" t="e">
        <f>I35/J35</f>
        <v>#REF!</v>
      </c>
    </row>
    <row r="36" spans="1:14" hidden="1">
      <c r="A36" s="459">
        <v>2016</v>
      </c>
      <c r="B36" s="462" t="s">
        <v>32</v>
      </c>
      <c r="C36" s="457">
        <v>38</v>
      </c>
      <c r="D36" s="457">
        <v>422</v>
      </c>
      <c r="E36" s="457">
        <v>28</v>
      </c>
      <c r="F36" s="457">
        <v>210</v>
      </c>
      <c r="G36" s="457">
        <v>252</v>
      </c>
      <c r="H36" s="457">
        <v>582</v>
      </c>
      <c r="I36" s="452">
        <f t="shared" si="0"/>
        <v>1532</v>
      </c>
      <c r="J36" s="618">
        <v>9749</v>
      </c>
      <c r="K36" s="458">
        <f t="shared" si="8"/>
        <v>15.714432249461483</v>
      </c>
      <c r="L36" s="454">
        <f>I36/J36</f>
        <v>0.15714432249461482</v>
      </c>
    </row>
    <row r="37" spans="1:14" hidden="1">
      <c r="A37" s="450"/>
      <c r="B37" s="462" t="s">
        <v>33</v>
      </c>
      <c r="C37" s="457">
        <v>29</v>
      </c>
      <c r="D37" s="457">
        <v>732</v>
      </c>
      <c r="E37" s="457">
        <v>29</v>
      </c>
      <c r="F37" s="457">
        <v>118</v>
      </c>
      <c r="G37" s="457">
        <v>138</v>
      </c>
      <c r="H37" s="457">
        <v>743</v>
      </c>
      <c r="I37" s="452">
        <f t="shared" si="0"/>
        <v>1789</v>
      </c>
      <c r="J37" s="618" t="e">
        <f>'Table 1 Summary'!#REF!</f>
        <v>#REF!</v>
      </c>
      <c r="K37" s="458" t="e">
        <f t="shared" si="8"/>
        <v>#REF!</v>
      </c>
      <c r="L37" s="454" t="e">
        <f>I37/J37</f>
        <v>#REF!</v>
      </c>
    </row>
    <row r="38" spans="1:14" hidden="1">
      <c r="A38" s="459"/>
      <c r="B38" s="462" t="s">
        <v>34</v>
      </c>
      <c r="C38" s="457">
        <f>'[30]Visitors by Province'!$I$30</f>
        <v>41</v>
      </c>
      <c r="D38" s="457">
        <f>'[30]Visitors by Province'!$F$30</f>
        <v>323</v>
      </c>
      <c r="E38" s="457">
        <f>'[30]Visitors by Province'!$E$30</f>
        <v>18</v>
      </c>
      <c r="F38" s="457">
        <f>'[30]Visitors by Province'!$D$30</f>
        <v>62</v>
      </c>
      <c r="G38" s="457">
        <f>'[30]Visitors by Province'!$G$30</f>
        <v>65</v>
      </c>
      <c r="H38" s="457">
        <f>'[30]Visitors by Province'!$H$30</f>
        <v>356</v>
      </c>
      <c r="I38" s="452">
        <f t="shared" si="0"/>
        <v>865</v>
      </c>
      <c r="J38" s="618" t="e">
        <f>'Table 1 Summary'!#REF!</f>
        <v>#REF!</v>
      </c>
      <c r="K38" s="458" t="e">
        <f t="shared" si="8"/>
        <v>#REF!</v>
      </c>
      <c r="L38" s="454" t="e">
        <f>I38/J38</f>
        <v>#REF!</v>
      </c>
    </row>
    <row r="39" spans="1:14" hidden="1">
      <c r="A39" s="450"/>
      <c r="B39" s="462" t="s">
        <v>29</v>
      </c>
      <c r="C39" s="457">
        <f>'[30]Visitors by Province'!$I$32</f>
        <v>14</v>
      </c>
      <c r="D39" s="457">
        <f>'[30]Visitors by Province'!$F$32</f>
        <v>552</v>
      </c>
      <c r="E39" s="457">
        <f>'[30]Visitors by Province'!$E$32</f>
        <v>15</v>
      </c>
      <c r="F39" s="457">
        <f>'[30]Visitors by Province'!$D$32</f>
        <v>112</v>
      </c>
      <c r="G39" s="457">
        <f>'[30]Visitors by Province'!$G$32</f>
        <v>185</v>
      </c>
      <c r="H39" s="457">
        <f>'[30]Visitors by Province'!$H$32</f>
        <v>516</v>
      </c>
      <c r="I39" s="452">
        <f t="shared" si="0"/>
        <v>1394</v>
      </c>
      <c r="J39" s="618" t="e">
        <f>'Table 1 Summary'!#REF!</f>
        <v>#REF!</v>
      </c>
      <c r="K39" s="458" t="e">
        <f t="shared" si="8"/>
        <v>#REF!</v>
      </c>
      <c r="L39" s="454" t="e">
        <f>I39/J39</f>
        <v>#REF!</v>
      </c>
    </row>
    <row r="40" spans="1:14" hidden="1">
      <c r="A40" s="450"/>
      <c r="B40" s="462" t="s">
        <v>35</v>
      </c>
      <c r="C40" s="457">
        <f>'[30]Visitors by Province'!$I$33</f>
        <v>49</v>
      </c>
      <c r="D40" s="457">
        <f>'[30]Visitors by Province'!$F$33</f>
        <v>686</v>
      </c>
      <c r="E40" s="457">
        <f>'[30]Visitors by Province'!$E$33</f>
        <v>99</v>
      </c>
      <c r="F40" s="457">
        <f>'[30]Visitors by Province'!$D$33</f>
        <v>127</v>
      </c>
      <c r="G40" s="457">
        <f>'[30]Visitors by Province'!$G$33</f>
        <v>379</v>
      </c>
      <c r="H40" s="457">
        <f>'[30]Visitors by Province'!$H$33</f>
        <v>895</v>
      </c>
      <c r="I40" s="452">
        <f t="shared" si="0"/>
        <v>2235</v>
      </c>
      <c r="J40" s="618" t="e">
        <f>'Table 1 Summary'!#REF!</f>
        <v>#REF!</v>
      </c>
      <c r="K40" s="458" t="e">
        <f t="shared" ref="K40:K45" si="9">I40/J40*100</f>
        <v>#REF!</v>
      </c>
      <c r="L40" s="454" t="e">
        <f t="shared" ref="L40:L45" si="10">I40/J40</f>
        <v>#REF!</v>
      </c>
    </row>
    <row r="41" spans="1:14" hidden="1">
      <c r="A41" s="450"/>
      <c r="B41" s="462" t="s">
        <v>4</v>
      </c>
      <c r="C41" s="457">
        <f>'[30]Visitors by Province'!$I$34</f>
        <v>52</v>
      </c>
      <c r="D41" s="457">
        <f>'[30]Visitors by Province'!$F$34</f>
        <v>740</v>
      </c>
      <c r="E41" s="457">
        <f>'[30]Visitors by Province'!$E$34</f>
        <v>188</v>
      </c>
      <c r="F41" s="457">
        <f>'[30]Visitors by Province'!$D$34</f>
        <v>144</v>
      </c>
      <c r="G41" s="457">
        <f>'[30]Visitors by Province'!$G$34</f>
        <v>299</v>
      </c>
      <c r="H41" s="457">
        <f>'[30]Visitors by Province'!$H$34</f>
        <v>811</v>
      </c>
      <c r="I41" s="452">
        <f t="shared" si="0"/>
        <v>2234</v>
      </c>
      <c r="J41" s="618" t="e">
        <f>'Table 1 Summary'!#REF!</f>
        <v>#REF!</v>
      </c>
      <c r="K41" s="458" t="e">
        <f t="shared" si="9"/>
        <v>#REF!</v>
      </c>
      <c r="L41" s="454" t="e">
        <f t="shared" si="10"/>
        <v>#REF!</v>
      </c>
    </row>
    <row r="42" spans="1:14" hidden="1">
      <c r="A42" s="450"/>
      <c r="B42" s="462" t="s">
        <v>30</v>
      </c>
      <c r="C42" s="457">
        <f>'[30]Visitors by Province'!$I$35</f>
        <v>88</v>
      </c>
      <c r="D42" s="460">
        <v>940</v>
      </c>
      <c r="E42" s="460">
        <v>152</v>
      </c>
      <c r="F42" s="460">
        <v>192</v>
      </c>
      <c r="G42" s="460">
        <v>397</v>
      </c>
      <c r="H42" s="460">
        <v>1006</v>
      </c>
      <c r="I42" s="452">
        <f t="shared" si="0"/>
        <v>2775</v>
      </c>
      <c r="J42" s="618" t="e">
        <f>'Table 1 Summary'!#REF!</f>
        <v>#REF!</v>
      </c>
      <c r="K42" s="458" t="e">
        <f t="shared" si="9"/>
        <v>#REF!</v>
      </c>
      <c r="L42" s="454" t="e">
        <f t="shared" si="10"/>
        <v>#REF!</v>
      </c>
    </row>
    <row r="43" spans="1:14" hidden="1">
      <c r="A43" s="450"/>
      <c r="B43" s="462" t="s">
        <v>36</v>
      </c>
      <c r="C43" s="457">
        <f>'[30]Visitors by Province'!$I$36</f>
        <v>112</v>
      </c>
      <c r="D43" s="457">
        <f>'[32]Visitors by Province'!$F$36</f>
        <v>1473</v>
      </c>
      <c r="E43" s="457">
        <f>'[30]Visitors by Province'!$E$36</f>
        <v>102</v>
      </c>
      <c r="F43" s="457">
        <f>'[32]Visitors by Province'!$D$36</f>
        <v>243</v>
      </c>
      <c r="G43" s="457">
        <f>'[32]Visitors by Province'!$G$36</f>
        <v>541</v>
      </c>
      <c r="H43" s="457">
        <f>'[32]Visitors by Province'!$H$36</f>
        <v>1516</v>
      </c>
      <c r="I43" s="452">
        <f t="shared" ref="I43:I48" si="11">SUM(C43:H43)</f>
        <v>3987</v>
      </c>
      <c r="J43" s="618" t="e">
        <f>'Table 1 Summary'!#REF!</f>
        <v>#REF!</v>
      </c>
      <c r="K43" s="458" t="e">
        <f t="shared" si="9"/>
        <v>#REF!</v>
      </c>
      <c r="L43" s="454" t="e">
        <f t="shared" si="10"/>
        <v>#REF!</v>
      </c>
    </row>
    <row r="44" spans="1:14" hidden="1">
      <c r="A44" s="450"/>
      <c r="B44" s="462" t="s">
        <v>37</v>
      </c>
      <c r="C44" s="457">
        <f>'[30]Visitors by Province'!$I$37</f>
        <v>52</v>
      </c>
      <c r="D44" s="457">
        <f>'[33]Visitors by Province'!$F$37</f>
        <v>609</v>
      </c>
      <c r="E44" s="457">
        <f>'[33]Visitors by Province'!$E$37</f>
        <v>103</v>
      </c>
      <c r="F44" s="457">
        <f>'[33]Visitors by Province'!$D$37</f>
        <v>133</v>
      </c>
      <c r="G44" s="457">
        <f>'[33]Visitors by Province'!$G$37</f>
        <v>270</v>
      </c>
      <c r="H44" s="457">
        <f>'[33]Visitors by Province'!$H$37</f>
        <v>606</v>
      </c>
      <c r="I44" s="452">
        <f t="shared" si="11"/>
        <v>1773</v>
      </c>
      <c r="J44" s="618" t="e">
        <f>'Table 1 Summary'!#REF!</f>
        <v>#REF!</v>
      </c>
      <c r="K44" s="458" t="e">
        <f t="shared" si="9"/>
        <v>#REF!</v>
      </c>
      <c r="L44" s="454" t="e">
        <f t="shared" si="10"/>
        <v>#REF!</v>
      </c>
    </row>
    <row r="45" spans="1:14" hidden="1">
      <c r="A45" s="450"/>
      <c r="B45" s="462" t="s">
        <v>31</v>
      </c>
      <c r="C45" s="457">
        <f>'[30]Visitors by Province'!$I$38</f>
        <v>65</v>
      </c>
      <c r="D45" s="457">
        <f>'[33]Visitors by Province'!$F$38</f>
        <v>816</v>
      </c>
      <c r="E45" s="457">
        <f>'[30]Visitors by Province'!$E$38</f>
        <v>114</v>
      </c>
      <c r="F45" s="457">
        <f>'[30]Visitors by Province'!$D$38</f>
        <v>202</v>
      </c>
      <c r="G45" s="457">
        <f>'[30]Visitors by Province'!$G$38</f>
        <v>274</v>
      </c>
      <c r="H45" s="457">
        <f>'[33]Visitors by Province'!$H$38</f>
        <v>867</v>
      </c>
      <c r="I45" s="452">
        <f t="shared" si="11"/>
        <v>2338</v>
      </c>
      <c r="J45" s="618" t="e">
        <f>'Table 1 Summary'!#REF!</f>
        <v>#REF!</v>
      </c>
      <c r="K45" s="458" t="e">
        <f t="shared" si="9"/>
        <v>#REF!</v>
      </c>
      <c r="L45" s="454" t="e">
        <f t="shared" si="10"/>
        <v>#REF!</v>
      </c>
      <c r="N45" s="339"/>
    </row>
    <row r="46" spans="1:14" hidden="1">
      <c r="A46" s="450">
        <v>2017</v>
      </c>
      <c r="B46" s="462" t="s">
        <v>38</v>
      </c>
      <c r="C46" s="457">
        <f>'[30]Visitors by Province'!$I$39</f>
        <v>87</v>
      </c>
      <c r="D46" s="457">
        <f>'[30]Visitors by Province'!$F$39</f>
        <v>947</v>
      </c>
      <c r="E46" s="457">
        <f>'[30]Visitors by Province'!$E$39</f>
        <v>99</v>
      </c>
      <c r="F46" s="457">
        <f>'[30]Visitors by Province'!$D$39:$D$39</f>
        <v>297</v>
      </c>
      <c r="G46" s="457">
        <f>'[30]Visitors by Province'!$G$39</f>
        <v>317</v>
      </c>
      <c r="H46" s="457">
        <f>'[30]Visitors by Province'!$H$39</f>
        <v>1150</v>
      </c>
      <c r="I46" s="452">
        <f t="shared" si="11"/>
        <v>2897</v>
      </c>
      <c r="J46" s="618" t="e">
        <f>'Table 1 Summary'!#REF!</f>
        <v>#REF!</v>
      </c>
      <c r="K46" s="458" t="e">
        <f t="shared" ref="K46:K61" si="12">I46/J46*100</f>
        <v>#REF!</v>
      </c>
      <c r="L46" s="454" t="e">
        <f t="shared" ref="L46:L61" si="13">I46/J46</f>
        <v>#REF!</v>
      </c>
    </row>
    <row r="47" spans="1:14" hidden="1">
      <c r="A47" s="450">
        <v>2017</v>
      </c>
      <c r="B47" s="462" t="s">
        <v>39</v>
      </c>
      <c r="C47" s="457">
        <f>'[30]Visitors by Province'!$I$40</f>
        <v>52</v>
      </c>
      <c r="D47" s="457">
        <f>'[30]Visitors by Province'!$F$40</f>
        <v>770</v>
      </c>
      <c r="E47" s="457">
        <f>'[30]Visitors by Province'!$E$40</f>
        <v>47</v>
      </c>
      <c r="F47" s="457">
        <f>'[30]Visitors by Province'!$D$40</f>
        <v>145</v>
      </c>
      <c r="G47" s="457">
        <f>'[30]Visitors by Province'!$G$40</f>
        <v>226</v>
      </c>
      <c r="H47" s="457">
        <f>'[30]Visitors by Province'!$H$40</f>
        <v>769</v>
      </c>
      <c r="I47" s="452">
        <f t="shared" si="11"/>
        <v>2009</v>
      </c>
      <c r="J47" s="618" t="e">
        <f>'Table 1 Summary'!#REF!</f>
        <v>#REF!</v>
      </c>
      <c r="K47" s="458" t="e">
        <f t="shared" si="12"/>
        <v>#REF!</v>
      </c>
      <c r="L47" s="454" t="e">
        <f t="shared" si="13"/>
        <v>#REF!</v>
      </c>
      <c r="N47" s="340"/>
    </row>
    <row r="48" spans="1:14" hidden="1">
      <c r="A48" s="450">
        <v>2017</v>
      </c>
      <c r="B48" s="462" t="s">
        <v>32</v>
      </c>
      <c r="C48" s="457">
        <f>'[30]Visitors by Province'!$I$41</f>
        <v>16</v>
      </c>
      <c r="D48" s="457">
        <f>'[30]Visitors by Province'!$F$41</f>
        <v>711</v>
      </c>
      <c r="E48" s="457">
        <f>'[30]Visitors by Province'!$E$41</f>
        <v>56</v>
      </c>
      <c r="F48" s="457">
        <f>'[30]Visitors by Province'!$D$41</f>
        <v>127</v>
      </c>
      <c r="G48" s="457">
        <f>'[30]Visitors by Province'!$G$41</f>
        <v>119</v>
      </c>
      <c r="H48" s="457">
        <f>'[30]Visitors by Province'!$H$41</f>
        <v>874</v>
      </c>
      <c r="I48" s="452">
        <f t="shared" si="11"/>
        <v>1903</v>
      </c>
      <c r="J48" s="618" t="e">
        <f>'Table 1 Summary'!#REF!</f>
        <v>#REF!</v>
      </c>
      <c r="K48" s="458" t="e">
        <f t="shared" si="12"/>
        <v>#REF!</v>
      </c>
      <c r="L48" s="454" t="e">
        <f t="shared" si="13"/>
        <v>#REF!</v>
      </c>
    </row>
    <row r="49" spans="1:12">
      <c r="A49" s="450">
        <v>2018</v>
      </c>
      <c r="B49" s="462" t="s">
        <v>33</v>
      </c>
      <c r="C49" s="457">
        <f>'[33]Visitors by Province'!$I$65</f>
        <v>31</v>
      </c>
      <c r="D49" s="457">
        <f>'[33]Visitors by Province'!$F$65</f>
        <v>1186</v>
      </c>
      <c r="E49" s="457">
        <f>'[33]Visitors by Province'!$E$65</f>
        <v>22</v>
      </c>
      <c r="F49" s="457">
        <f>'[33]Visitors by Province'!$D$65</f>
        <v>154</v>
      </c>
      <c r="G49" s="457">
        <f>'[33]Visitors by Province'!$G$65</f>
        <v>209</v>
      </c>
      <c r="H49" s="457">
        <f>'[33]Visitors by Province'!$H$65</f>
        <v>1114</v>
      </c>
      <c r="I49" s="452">
        <f t="shared" ref="I49:I54" si="14">SUM(C49:H49)</f>
        <v>2716</v>
      </c>
      <c r="J49" s="618" t="e">
        <f>'Table 1 Summary'!#REF!</f>
        <v>#REF!</v>
      </c>
      <c r="K49" s="458" t="e">
        <f t="shared" si="12"/>
        <v>#REF!</v>
      </c>
      <c r="L49" s="454" t="e">
        <f t="shared" si="13"/>
        <v>#REF!</v>
      </c>
    </row>
    <row r="50" spans="1:12">
      <c r="A50" s="450"/>
      <c r="B50" s="462" t="s">
        <v>34</v>
      </c>
      <c r="C50" s="457">
        <f>'[33]Visitors by Province'!$I$66</f>
        <v>10</v>
      </c>
      <c r="D50" s="457">
        <f>'[33]Visitors by Province'!$F$66</f>
        <v>524</v>
      </c>
      <c r="E50" s="457">
        <f>'[33]Visitors by Province'!$E$66</f>
        <v>33</v>
      </c>
      <c r="F50" s="457">
        <f>'[33]Visitors by Province'!$D$66</f>
        <v>78</v>
      </c>
      <c r="G50" s="457">
        <f>'[33]Visitors by Province'!$G$66</f>
        <v>142</v>
      </c>
      <c r="H50" s="457">
        <f>'[33]Visitors by Province'!$H$66</f>
        <v>623</v>
      </c>
      <c r="I50" s="452">
        <f>SUM(C50:H50)</f>
        <v>1410</v>
      </c>
      <c r="J50" s="618" t="e">
        <f>'Table 1 Summary'!#REF!</f>
        <v>#REF!</v>
      </c>
      <c r="K50" s="458" t="e">
        <f t="shared" si="12"/>
        <v>#REF!</v>
      </c>
      <c r="L50" s="454" t="e">
        <f t="shared" si="13"/>
        <v>#REF!</v>
      </c>
    </row>
    <row r="51" spans="1:12">
      <c r="A51" s="450"/>
      <c r="B51" s="553" t="s">
        <v>29</v>
      </c>
      <c r="C51" s="461">
        <f>'[33]Visitors by Province'!$I$67</f>
        <v>30</v>
      </c>
      <c r="D51" s="461">
        <f>'[33]Visitors by Province'!$F$67</f>
        <v>473</v>
      </c>
      <c r="E51" s="461">
        <f>'[33]Visitors by Province'!$E$67</f>
        <v>33</v>
      </c>
      <c r="F51" s="461">
        <f>'[33]Visitors by Province'!$D$67</f>
        <v>61</v>
      </c>
      <c r="G51" s="461">
        <f>'[33]Visitors by Province'!$G$67</f>
        <v>112</v>
      </c>
      <c r="H51" s="461">
        <f>'[33]Visitors by Province'!$H$67</f>
        <v>441</v>
      </c>
      <c r="I51" s="550">
        <f t="shared" si="14"/>
        <v>1150</v>
      </c>
      <c r="J51" s="618" t="e">
        <f>'Table 1 Summary'!#REF!</f>
        <v>#REF!</v>
      </c>
      <c r="K51" s="458" t="e">
        <f t="shared" si="12"/>
        <v>#REF!</v>
      </c>
      <c r="L51" s="454" t="e">
        <f t="shared" si="13"/>
        <v>#REF!</v>
      </c>
    </row>
    <row r="52" spans="1:12">
      <c r="A52" s="450"/>
      <c r="B52" s="462" t="s">
        <v>35</v>
      </c>
      <c r="C52" s="457">
        <f>'[33]Visitors by Province'!$I$68</f>
        <v>22</v>
      </c>
      <c r="D52" s="457">
        <f>'[33]Visitors by Province'!$F$68</f>
        <v>821</v>
      </c>
      <c r="E52" s="457">
        <f>'[33]Visitors by Province'!$E$68</f>
        <v>74</v>
      </c>
      <c r="F52" s="457">
        <f>'[33]Visitors by Province'!$D$68</f>
        <v>119</v>
      </c>
      <c r="G52" s="457">
        <f>'[33]Visitors by Province'!$G$68</f>
        <v>365</v>
      </c>
      <c r="H52" s="457">
        <f>'[33]Visitors by Province'!$H$68</f>
        <v>943</v>
      </c>
      <c r="I52" s="452">
        <f>SUM(C52:H52)</f>
        <v>2344</v>
      </c>
      <c r="J52" s="618" t="e">
        <f>'Table 1 Summary'!#REF!</f>
        <v>#REF!</v>
      </c>
      <c r="K52" s="458" t="e">
        <f t="shared" si="12"/>
        <v>#REF!</v>
      </c>
      <c r="L52" s="454" t="e">
        <f t="shared" si="13"/>
        <v>#REF!</v>
      </c>
    </row>
    <row r="53" spans="1:12">
      <c r="A53" s="450"/>
      <c r="B53" s="462" t="s">
        <v>4</v>
      </c>
      <c r="C53" s="457">
        <f>'[33]Visitors by Province'!$I$69</f>
        <v>46</v>
      </c>
      <c r="D53" s="457">
        <f>'[33]Visitors by Province'!$F$69</f>
        <v>935</v>
      </c>
      <c r="E53" s="457">
        <f>'[33]Visitors by Province'!$E$69</f>
        <v>143</v>
      </c>
      <c r="F53" s="457">
        <f>'[33]Visitors by Province'!$D$69</f>
        <v>204</v>
      </c>
      <c r="G53" s="457">
        <f>'[33]Visitors by Province'!$G$69</f>
        <v>485</v>
      </c>
      <c r="H53" s="457">
        <f>'[33]Visitors by Province'!$H$69</f>
        <v>1050</v>
      </c>
      <c r="I53" s="452">
        <f t="shared" si="14"/>
        <v>2863</v>
      </c>
      <c r="J53" s="618" t="e">
        <f>'Table 1 Summary'!#REF!</f>
        <v>#REF!</v>
      </c>
      <c r="K53" s="458" t="e">
        <f t="shared" si="12"/>
        <v>#REF!</v>
      </c>
      <c r="L53" s="454" t="e">
        <f t="shared" si="13"/>
        <v>#REF!</v>
      </c>
    </row>
    <row r="54" spans="1:12">
      <c r="A54" s="450"/>
      <c r="B54" s="462" t="s">
        <v>30</v>
      </c>
      <c r="C54" s="457">
        <f>'[34]Visitors by Province'!$I$70</f>
        <v>36</v>
      </c>
      <c r="D54" s="457">
        <f>'[34]Visitors by Province'!$F$70</f>
        <v>900</v>
      </c>
      <c r="E54" s="457">
        <f>'[34]Visitors by Province'!$E$70</f>
        <v>112</v>
      </c>
      <c r="F54" s="457">
        <f>'[34]Visitors by Province'!$D$70</f>
        <v>200</v>
      </c>
      <c r="G54" s="457">
        <f>'[34]Visitors by Province'!$G$70</f>
        <v>244</v>
      </c>
      <c r="H54" s="457">
        <f>'[34]Visitors by Province'!$H$70</f>
        <v>998</v>
      </c>
      <c r="I54" s="452">
        <f t="shared" si="14"/>
        <v>2490</v>
      </c>
      <c r="J54" s="618" t="e">
        <f>'Table 1 Summary'!#REF!</f>
        <v>#REF!</v>
      </c>
      <c r="K54" s="458" t="e">
        <f t="shared" si="12"/>
        <v>#REF!</v>
      </c>
      <c r="L54" s="454" t="e">
        <f t="shared" si="13"/>
        <v>#REF!</v>
      </c>
    </row>
    <row r="55" spans="1:12">
      <c r="A55" s="450"/>
      <c r="B55" s="462" t="s">
        <v>36</v>
      </c>
      <c r="C55" s="457">
        <f>'[34]Visitors by Province'!$I$71</f>
        <v>57</v>
      </c>
      <c r="D55" s="457">
        <f>'[34]Visitors by Province'!$F$71</f>
        <v>1732</v>
      </c>
      <c r="E55" s="457">
        <f>'[34]Visitors by Province'!$E$71</f>
        <v>112</v>
      </c>
      <c r="F55" s="457">
        <f>'[34]Visitors by Province'!$D$71</f>
        <v>317</v>
      </c>
      <c r="G55" s="457">
        <f>'[34]Visitors by Province'!$G$71</f>
        <v>576</v>
      </c>
      <c r="H55" s="457">
        <f>'[34]Visitors by Province'!$H$71</f>
        <v>1659</v>
      </c>
      <c r="I55" s="452">
        <f t="shared" ref="I55:I61" si="15">SUM(C55:H55)</f>
        <v>4453</v>
      </c>
      <c r="J55" s="618" t="e">
        <f>'Table 1 Summary'!#REF!</f>
        <v>#REF!</v>
      </c>
      <c r="K55" s="458" t="e">
        <f t="shared" si="12"/>
        <v>#REF!</v>
      </c>
      <c r="L55" s="454" t="e">
        <f t="shared" si="13"/>
        <v>#REF!</v>
      </c>
    </row>
    <row r="56" spans="1:12">
      <c r="A56" s="450"/>
      <c r="B56" s="462" t="s">
        <v>37</v>
      </c>
      <c r="C56" s="457">
        <f>'[34]Visitors by Province'!$I$72</f>
        <v>62</v>
      </c>
      <c r="D56" s="457">
        <f>'[34]Visitors by Province'!$F$72</f>
        <v>1405</v>
      </c>
      <c r="E56" s="457">
        <f>'[34]Visitors by Province'!$E$72</f>
        <v>62</v>
      </c>
      <c r="F56" s="457">
        <f>'[34]Visitors by Province'!$D$72</f>
        <v>349</v>
      </c>
      <c r="G56" s="457">
        <f>'[34]Visitors by Province'!$G$72</f>
        <v>478</v>
      </c>
      <c r="H56" s="457">
        <f>'[34]Visitors by Province'!$H$72</f>
        <v>1566</v>
      </c>
      <c r="I56" s="452">
        <f t="shared" si="15"/>
        <v>3922</v>
      </c>
      <c r="J56" s="618" t="e">
        <f>'Table 1 Summary'!#REF!</f>
        <v>#REF!</v>
      </c>
      <c r="K56" s="458" t="e">
        <f t="shared" si="12"/>
        <v>#REF!</v>
      </c>
      <c r="L56" s="454" t="e">
        <f t="shared" si="13"/>
        <v>#REF!</v>
      </c>
    </row>
    <row r="57" spans="1:12">
      <c r="A57" s="450">
        <v>2018</v>
      </c>
      <c r="B57" s="462" t="s">
        <v>31</v>
      </c>
      <c r="C57" s="457">
        <f>'[33]Visitors by Province'!$E$76</f>
        <v>32</v>
      </c>
      <c r="D57" s="457">
        <f>'[33]Visitors by Province'!$F$76</f>
        <v>1058</v>
      </c>
      <c r="E57" s="457">
        <f>'[33]Visitors by Province'!$I$76</f>
        <v>82</v>
      </c>
      <c r="F57" s="457">
        <f>'[33]Visitors by Province'!$D$76</f>
        <v>260</v>
      </c>
      <c r="G57" s="457">
        <f>'[33]Visitors by Province'!$G$76</f>
        <v>548</v>
      </c>
      <c r="H57" s="457">
        <f>'[33]Visitors by Province'!$H$76</f>
        <v>1172</v>
      </c>
      <c r="I57" s="452">
        <f t="shared" si="15"/>
        <v>3152</v>
      </c>
      <c r="J57" s="618" t="e">
        <f>'Table 1 Summary'!#REF!</f>
        <v>#REF!</v>
      </c>
      <c r="K57" s="458" t="e">
        <f t="shared" si="12"/>
        <v>#REF!</v>
      </c>
      <c r="L57" s="454" t="e">
        <f t="shared" si="13"/>
        <v>#REF!</v>
      </c>
    </row>
    <row r="58" spans="1:12">
      <c r="A58" s="450"/>
      <c r="B58" s="462" t="s">
        <v>38</v>
      </c>
      <c r="C58" s="457">
        <f>'[35]Visitors by Province'!$E$77</f>
        <v>88</v>
      </c>
      <c r="D58" s="457">
        <f>'[35]Visitors by Province'!$F$77</f>
        <v>1377</v>
      </c>
      <c r="E58" s="457">
        <f>'[35]Visitors by Province'!$I$77</f>
        <v>64</v>
      </c>
      <c r="F58" s="457">
        <f>'[35]Visitors by Province'!$D$77</f>
        <v>298</v>
      </c>
      <c r="G58" s="457">
        <f>'[35]Visitors by Province'!$G$77</f>
        <v>501</v>
      </c>
      <c r="H58" s="457">
        <f>'[35]Visitors by Province'!$H$77</f>
        <v>1361</v>
      </c>
      <c r="I58" s="452">
        <f t="shared" si="15"/>
        <v>3689</v>
      </c>
      <c r="J58" s="618" t="e">
        <f>'Table 1 Summary'!#REF!</f>
        <v>#REF!</v>
      </c>
      <c r="K58" s="458" t="e">
        <f t="shared" si="12"/>
        <v>#REF!</v>
      </c>
      <c r="L58" s="454" t="e">
        <f t="shared" si="13"/>
        <v>#REF!</v>
      </c>
    </row>
    <row r="59" spans="1:12">
      <c r="A59" s="450"/>
      <c r="B59" s="462" t="s">
        <v>39</v>
      </c>
      <c r="C59" s="457">
        <f>'[35]Visitors by Province'!$E$78</f>
        <v>39</v>
      </c>
      <c r="D59" s="457">
        <f>'[35]Visitors by Province'!$F$78</f>
        <v>755</v>
      </c>
      <c r="E59" s="457">
        <f>'[35]Visitors by Province'!$I$78</f>
        <v>51</v>
      </c>
      <c r="F59" s="457">
        <f>'[35]Visitors by Province'!$D$78</f>
        <v>141</v>
      </c>
      <c r="G59" s="457">
        <f>'[35]Visitors by Province'!$G$78</f>
        <v>273</v>
      </c>
      <c r="H59" s="457">
        <f>'[35]Visitors by Province'!$H$78</f>
        <v>783</v>
      </c>
      <c r="I59" s="452">
        <f t="shared" si="15"/>
        <v>2042</v>
      </c>
      <c r="J59" s="618" t="e">
        <f>'Table 1 Summary'!#REF!</f>
        <v>#REF!</v>
      </c>
      <c r="K59" s="458" t="e">
        <f t="shared" si="12"/>
        <v>#REF!</v>
      </c>
      <c r="L59" s="454" t="e">
        <f t="shared" si="13"/>
        <v>#REF!</v>
      </c>
    </row>
    <row r="60" spans="1:12" hidden="1">
      <c r="A60" s="450">
        <v>2018</v>
      </c>
      <c r="B60" s="462" t="s">
        <v>32</v>
      </c>
      <c r="C60" s="457">
        <f>'[35]Visitors by Province'!$E$79</f>
        <v>18</v>
      </c>
      <c r="D60" s="457">
        <f>'[35]Visitors by Province'!$F$79</f>
        <v>357</v>
      </c>
      <c r="E60" s="457">
        <f>'[35]Visitors by Province'!$I$79</f>
        <v>7</v>
      </c>
      <c r="F60" s="457">
        <f>'[35]Visitors by Province'!$D$79</f>
        <v>38</v>
      </c>
      <c r="G60" s="457">
        <f>'[35]Visitors by Province'!$G$79</f>
        <v>76</v>
      </c>
      <c r="H60" s="457">
        <f>'[35]Visitors by Province'!$H$79</f>
        <v>380</v>
      </c>
      <c r="I60" s="452">
        <f t="shared" si="15"/>
        <v>876</v>
      </c>
      <c r="J60" s="618" t="e">
        <f>'Table 1 Summary'!#REF!</f>
        <v>#REF!</v>
      </c>
      <c r="K60" s="458" t="e">
        <f t="shared" si="12"/>
        <v>#REF!</v>
      </c>
      <c r="L60" s="454" t="e">
        <f t="shared" si="13"/>
        <v>#REF!</v>
      </c>
    </row>
    <row r="61" spans="1:12" hidden="1">
      <c r="A61" s="450">
        <v>2019</v>
      </c>
      <c r="B61" s="462" t="s">
        <v>33</v>
      </c>
      <c r="C61" s="457">
        <v>20</v>
      </c>
      <c r="D61" s="457">
        <v>965</v>
      </c>
      <c r="E61" s="457">
        <v>47</v>
      </c>
      <c r="F61" s="457">
        <v>66</v>
      </c>
      <c r="G61" s="457">
        <v>192</v>
      </c>
      <c r="H61" s="457">
        <v>789</v>
      </c>
      <c r="I61" s="452">
        <f t="shared" si="15"/>
        <v>2079</v>
      </c>
      <c r="J61" s="618" t="e">
        <f>'Table 1 Summary'!#REF!</f>
        <v>#REF!</v>
      </c>
      <c r="K61" s="458" t="e">
        <f t="shared" si="12"/>
        <v>#REF!</v>
      </c>
      <c r="L61" s="454" t="e">
        <f t="shared" si="13"/>
        <v>#REF!</v>
      </c>
    </row>
    <row r="62" spans="1:12" hidden="1">
      <c r="A62" s="450">
        <v>2019</v>
      </c>
      <c r="B62" s="462" t="s">
        <v>34</v>
      </c>
      <c r="C62" s="457">
        <f>'[54]Annex 1'!$F$5</f>
        <v>19</v>
      </c>
      <c r="D62" s="457">
        <f>'[54]Annex 1'!$F$6</f>
        <v>399</v>
      </c>
      <c r="E62" s="457">
        <f>'[54]Annex 1'!$F$8</f>
        <v>13</v>
      </c>
      <c r="F62" s="457">
        <f>'[54]Annex 1'!$F$4</f>
        <v>41</v>
      </c>
      <c r="G62" s="457">
        <f>'[54]Annex 1'!$F$9</f>
        <v>236</v>
      </c>
      <c r="H62" s="457">
        <f>'[54]Annex 1'!$F$7</f>
        <v>514</v>
      </c>
      <c r="I62" s="452">
        <f t="shared" ref="I62:I67" si="16">SUM(C62:H62)</f>
        <v>1222</v>
      </c>
      <c r="J62" s="618" t="e">
        <f>'Table 1 Summary'!#REF!</f>
        <v>#REF!</v>
      </c>
      <c r="K62" s="458" t="e">
        <f>I62/J62*100</f>
        <v>#REF!</v>
      </c>
      <c r="L62" s="454" t="e">
        <f>I62/J62</f>
        <v>#REF!</v>
      </c>
    </row>
    <row r="63" spans="1:12" hidden="1">
      <c r="A63" s="450">
        <v>2019</v>
      </c>
      <c r="B63" s="462" t="s">
        <v>29</v>
      </c>
      <c r="C63" s="457">
        <f>'[37]Vis By Province'!$F$4</f>
        <v>28</v>
      </c>
      <c r="D63" s="457">
        <f>'[37]Vis By Province'!$F$5</f>
        <v>599</v>
      </c>
      <c r="E63" s="457">
        <f>'[37]Vis By Province'!$F$8</f>
        <v>21</v>
      </c>
      <c r="F63" s="457">
        <f>'[37]Vis By Province'!$F$3</f>
        <v>94</v>
      </c>
      <c r="G63" s="457">
        <f>'[37]Vis By Province'!$F$6</f>
        <v>292</v>
      </c>
      <c r="H63" s="457">
        <f>'[37]Vis By Province'!$F$7</f>
        <v>508</v>
      </c>
      <c r="I63" s="452">
        <f t="shared" si="16"/>
        <v>1542</v>
      </c>
      <c r="J63" s="618" t="e">
        <f>'Table 1 Summary'!#REF!</f>
        <v>#REF!</v>
      </c>
      <c r="K63" s="458" t="e">
        <f t="shared" ref="K63:K68" si="17">I63/J63*100</f>
        <v>#REF!</v>
      </c>
      <c r="L63" s="454" t="e">
        <f t="shared" ref="L63:L68" si="18">I63/J63</f>
        <v>#REF!</v>
      </c>
    </row>
    <row r="64" spans="1:12" hidden="1">
      <c r="A64" s="450">
        <v>2019</v>
      </c>
      <c r="B64" s="462" t="s">
        <v>35</v>
      </c>
      <c r="C64" s="457">
        <f>[55]EXTRA!$B$5</f>
        <v>109</v>
      </c>
      <c r="D64" s="457">
        <f>[55]EXTRA!$B$6</f>
        <v>1085</v>
      </c>
      <c r="E64" s="457">
        <f>[55]EXTRA!$B$9</f>
        <v>38</v>
      </c>
      <c r="F64" s="457">
        <f>[55]EXTRA!$B$4</f>
        <v>127</v>
      </c>
      <c r="G64" s="457">
        <f>[55]EXTRA!$B$7</f>
        <v>531</v>
      </c>
      <c r="H64" s="457">
        <f>[55]EXTRA!$B$8</f>
        <v>1018</v>
      </c>
      <c r="I64" s="452">
        <f t="shared" si="16"/>
        <v>2908</v>
      </c>
      <c r="J64" s="618" t="e">
        <f>'Table 1 Summary'!#REF!</f>
        <v>#REF!</v>
      </c>
      <c r="K64" s="458" t="e">
        <f t="shared" si="17"/>
        <v>#REF!</v>
      </c>
      <c r="L64" s="454" t="e">
        <f t="shared" si="18"/>
        <v>#REF!</v>
      </c>
    </row>
    <row r="65" spans="1:13" hidden="1">
      <c r="A65" s="450">
        <v>2019</v>
      </c>
      <c r="B65" s="462" t="s">
        <v>4</v>
      </c>
      <c r="C65" s="457">
        <f>'[39]Annex 1'!$B$4</f>
        <v>162</v>
      </c>
      <c r="D65" s="457">
        <f>'[39]Annex 1'!$B$5</f>
        <v>1061</v>
      </c>
      <c r="E65" s="457">
        <f>'[39]Annex 1'!$B$8</f>
        <v>47</v>
      </c>
      <c r="F65" s="457">
        <f>'[39]Annex 1'!$B$3</f>
        <v>134</v>
      </c>
      <c r="G65" s="457">
        <f>'[39]Annex 1'!$B$6</f>
        <v>352</v>
      </c>
      <c r="H65" s="457">
        <f>'[39]Annex 1'!$B$7</f>
        <v>946</v>
      </c>
      <c r="I65" s="452">
        <f t="shared" si="16"/>
        <v>2702</v>
      </c>
      <c r="J65" s="618" t="e">
        <f>'Table 1 Summary'!#REF!</f>
        <v>#REF!</v>
      </c>
      <c r="K65" s="458" t="e">
        <f t="shared" si="17"/>
        <v>#REF!</v>
      </c>
      <c r="L65" s="454" t="e">
        <f t="shared" si="18"/>
        <v>#REF!</v>
      </c>
    </row>
    <row r="66" spans="1:13">
      <c r="A66" s="450">
        <v>2019</v>
      </c>
      <c r="B66" s="462" t="s">
        <v>30</v>
      </c>
      <c r="C66" s="457">
        <f>[40]Province!$C$4</f>
        <v>124</v>
      </c>
      <c r="D66" s="457">
        <f>[40]Province!$C$5</f>
        <v>898</v>
      </c>
      <c r="E66" s="457">
        <f>[40]Province!$C$8</f>
        <v>35</v>
      </c>
      <c r="F66" s="457">
        <f>[40]Province!$C$3</f>
        <v>158</v>
      </c>
      <c r="G66" s="457">
        <f>[40]Province!$C$6</f>
        <v>385</v>
      </c>
      <c r="H66" s="457">
        <f>[40]Province!$C$7</f>
        <v>926</v>
      </c>
      <c r="I66" s="452">
        <f t="shared" si="16"/>
        <v>2526</v>
      </c>
      <c r="J66" s="618" t="e">
        <f>'Table 1 Summary'!#REF!</f>
        <v>#REF!</v>
      </c>
      <c r="K66" s="458" t="e">
        <f t="shared" si="17"/>
        <v>#REF!</v>
      </c>
      <c r="L66" s="454" t="e">
        <f t="shared" si="18"/>
        <v>#REF!</v>
      </c>
    </row>
    <row r="67" spans="1:13">
      <c r="A67" s="450">
        <v>2019</v>
      </c>
      <c r="B67" s="462" t="s">
        <v>36</v>
      </c>
      <c r="C67" s="457">
        <v>83</v>
      </c>
      <c r="D67" s="457">
        <v>1860</v>
      </c>
      <c r="E67" s="457">
        <v>53</v>
      </c>
      <c r="F67" s="457">
        <v>186</v>
      </c>
      <c r="G67" s="457">
        <v>906</v>
      </c>
      <c r="H67" s="457">
        <v>1648</v>
      </c>
      <c r="I67" s="452">
        <f t="shared" si="16"/>
        <v>4736</v>
      </c>
      <c r="J67" s="618" t="e">
        <f>'Table 1 Summary'!#REF!</f>
        <v>#REF!</v>
      </c>
      <c r="K67" s="458" t="e">
        <f t="shared" si="17"/>
        <v>#REF!</v>
      </c>
      <c r="L67" s="454" t="e">
        <f t="shared" si="18"/>
        <v>#REF!</v>
      </c>
    </row>
    <row r="68" spans="1:13">
      <c r="A68" s="450"/>
      <c r="B68" s="462" t="s">
        <v>37</v>
      </c>
      <c r="C68" s="457">
        <v>109</v>
      </c>
      <c r="D68" s="457">
        <v>1085</v>
      </c>
      <c r="E68" s="457">
        <v>38</v>
      </c>
      <c r="F68" s="457">
        <v>127</v>
      </c>
      <c r="G68" s="457">
        <v>531</v>
      </c>
      <c r="H68" s="457">
        <v>1018</v>
      </c>
      <c r="I68" s="452">
        <f>SUM(C68:H68)</f>
        <v>2908</v>
      </c>
      <c r="J68" s="618" t="e">
        <f>'Table 1 Summary'!#REF!</f>
        <v>#REF!</v>
      </c>
      <c r="K68" s="458" t="e">
        <f t="shared" si="17"/>
        <v>#REF!</v>
      </c>
      <c r="L68" s="454" t="e">
        <f t="shared" si="18"/>
        <v>#REF!</v>
      </c>
    </row>
    <row r="69" spans="1:13">
      <c r="A69" s="450"/>
      <c r="B69" s="462" t="s">
        <v>31</v>
      </c>
      <c r="C69" s="457">
        <f>'[42]Annex 1'!$B$4</f>
        <v>48</v>
      </c>
      <c r="D69" s="457">
        <f>'[42]Annex 1'!$B$5</f>
        <v>1123</v>
      </c>
      <c r="E69" s="457">
        <f>'[42]Annex 1'!$B$8</f>
        <v>43</v>
      </c>
      <c r="F69" s="457">
        <f>'[42]Annex 1'!$B$3</f>
        <v>124</v>
      </c>
      <c r="G69" s="457">
        <f>'[42]Annex 1'!$B$6</f>
        <v>376</v>
      </c>
      <c r="H69" s="457">
        <f>'[42]Annex 1'!$B$7</f>
        <v>1053</v>
      </c>
      <c r="I69" s="452">
        <f>SUM(C69:H69)</f>
        <v>2767</v>
      </c>
      <c r="J69" s="618" t="e">
        <f>'Table 1 Summary'!#REF!</f>
        <v>#REF!</v>
      </c>
      <c r="K69" s="458" t="e">
        <f>I69/J69*100</f>
        <v>#REF!</v>
      </c>
      <c r="L69" s="454" t="e">
        <f>I69/J69</f>
        <v>#REF!</v>
      </c>
    </row>
    <row r="70" spans="1:13">
      <c r="A70" s="450"/>
      <c r="B70" s="462" t="s">
        <v>38</v>
      </c>
      <c r="C70" s="457">
        <f>'[43]Annex 1'!$B$4</f>
        <v>54</v>
      </c>
      <c r="D70" s="457">
        <f>'[43]Annex 1'!$B$5</f>
        <v>1234</v>
      </c>
      <c r="E70" s="457">
        <f>'[43]Annex 1'!$B$8</f>
        <v>52</v>
      </c>
      <c r="F70" s="457">
        <f>'[43]Annex 1'!$B$3</f>
        <v>126</v>
      </c>
      <c r="G70" s="457">
        <f>'[43]Annex 1'!$B$6</f>
        <v>418</v>
      </c>
      <c r="H70" s="457">
        <f>'[43]Annex 1'!$B$7</f>
        <v>1073</v>
      </c>
      <c r="I70" s="452">
        <f>SUM(C70:H70)</f>
        <v>2957</v>
      </c>
      <c r="J70" s="618" t="e">
        <f>'Table 1 Summary'!#REF!</f>
        <v>#REF!</v>
      </c>
      <c r="K70" s="458" t="e">
        <f>I70/J70*100</f>
        <v>#REF!</v>
      </c>
      <c r="L70" s="454" t="e">
        <f>I70/J70</f>
        <v>#REF!</v>
      </c>
    </row>
    <row r="71" spans="1:13">
      <c r="A71" s="450"/>
      <c r="B71" s="462" t="s">
        <v>39</v>
      </c>
      <c r="C71" s="457">
        <f>'[44]Annex 1'!$B$6</f>
        <v>20</v>
      </c>
      <c r="D71" s="457">
        <f>'[44]Annex 1'!$B$7</f>
        <v>790</v>
      </c>
      <c r="E71" s="457">
        <f>'[44]Annex 1'!$B$10</f>
        <v>26</v>
      </c>
      <c r="F71" s="457">
        <f>'[44]Annex 1'!$B$5</f>
        <v>86</v>
      </c>
      <c r="G71" s="457">
        <f>'[44]Annex 1'!$B$8</f>
        <v>282</v>
      </c>
      <c r="H71" s="457">
        <f>'[44]Annex 1'!$B$9</f>
        <v>861</v>
      </c>
      <c r="I71" s="452">
        <v>2065</v>
      </c>
      <c r="J71" s="618" t="e">
        <f>'Table 1 Summary'!#REF!</f>
        <v>#REF!</v>
      </c>
      <c r="K71" s="458" t="e">
        <f>I71/J71*100</f>
        <v>#REF!</v>
      </c>
      <c r="L71" s="454" t="e">
        <f>I71/J71</f>
        <v>#REF!</v>
      </c>
    </row>
    <row r="72" spans="1:13">
      <c r="A72" s="450"/>
      <c r="B72" s="462" t="s">
        <v>32</v>
      </c>
      <c r="C72" s="457">
        <f>'[45]Annex 1'!$B$4</f>
        <v>23</v>
      </c>
      <c r="D72" s="457">
        <f>'[45]Annex 1'!$B$5</f>
        <v>706</v>
      </c>
      <c r="E72" s="457">
        <f>'[45]Annex 1'!$B$8</f>
        <v>27</v>
      </c>
      <c r="F72" s="457">
        <f>'[45]Annex 1'!$B$3</f>
        <v>108</v>
      </c>
      <c r="G72" s="457">
        <f>'[45]Annex 1'!$B$6</f>
        <v>238</v>
      </c>
      <c r="H72" s="457">
        <f>'[45]Annex 1'!$B$7</f>
        <v>745</v>
      </c>
      <c r="I72" s="452">
        <f t="shared" ref="I72:I77" si="19">SUM(C72:H72)</f>
        <v>1847</v>
      </c>
      <c r="J72" s="618" t="e">
        <f>'Table 1 Summary'!#REF!</f>
        <v>#REF!</v>
      </c>
      <c r="K72" s="458" t="e">
        <f>I72/J72*100</f>
        <v>#REF!</v>
      </c>
      <c r="L72" s="454" t="e">
        <f>I72/J72</f>
        <v>#REF!</v>
      </c>
    </row>
    <row r="73" spans="1:13">
      <c r="A73" s="450">
        <v>2020</v>
      </c>
      <c r="B73" s="462" t="s">
        <v>33</v>
      </c>
      <c r="C73" s="457">
        <f>'[46]Annex 1'!$B$4</f>
        <v>47</v>
      </c>
      <c r="D73" s="457">
        <f>'[46]Annex 1'!$B$5</f>
        <v>1387</v>
      </c>
      <c r="E73" s="457">
        <f>'[46]Annex 1'!$B$8</f>
        <v>55</v>
      </c>
      <c r="F73" s="457">
        <f>'[46]Annex 1'!$B$3</f>
        <v>106</v>
      </c>
      <c r="G73" s="457">
        <f>'[46]Annex 1'!$B$6</f>
        <v>350</v>
      </c>
      <c r="H73" s="457">
        <f>'[46]Annex 1'!$B$7</f>
        <v>1346</v>
      </c>
      <c r="I73" s="452">
        <f t="shared" si="19"/>
        <v>3291</v>
      </c>
      <c r="J73" s="618" t="e">
        <f>'Table 1 Summary'!#REF!</f>
        <v>#REF!</v>
      </c>
      <c r="K73" s="458" t="e">
        <f>I73/J73*100</f>
        <v>#REF!</v>
      </c>
      <c r="L73" s="454" t="e">
        <f>I73/J73</f>
        <v>#REF!</v>
      </c>
    </row>
    <row r="74" spans="1:13">
      <c r="A74" s="450"/>
      <c r="B74" s="462" t="s">
        <v>34</v>
      </c>
      <c r="C74" s="457">
        <f>'[47]Annex 1'!$B$6</f>
        <v>23</v>
      </c>
      <c r="D74" s="457">
        <f>'[47]Annex 1'!$B$7</f>
        <v>703</v>
      </c>
      <c r="E74" s="457">
        <f>'[47]Annex 1'!$B$10</f>
        <v>35</v>
      </c>
      <c r="F74" s="457">
        <f>'[47]Annex 1'!$B$5</f>
        <v>73</v>
      </c>
      <c r="G74" s="457">
        <f>'[47]Annex 1'!$B$8</f>
        <v>115</v>
      </c>
      <c r="H74" s="457">
        <f>'[47]Annex 1'!$B$9</f>
        <v>605</v>
      </c>
      <c r="I74" s="452">
        <f t="shared" si="19"/>
        <v>1554</v>
      </c>
      <c r="J74" s="618" t="e">
        <f>'Table 1 Summary'!#REF!</f>
        <v>#REF!</v>
      </c>
      <c r="K74" s="458" t="e">
        <f t="shared" ref="K74:K79" si="20">I74/J74*100</f>
        <v>#REF!</v>
      </c>
      <c r="L74" s="454" t="e">
        <f t="shared" ref="L74:L79" si="21">I74/J74</f>
        <v>#REF!</v>
      </c>
    </row>
    <row r="75" spans="1:13">
      <c r="A75" s="450"/>
      <c r="B75" s="462" t="s">
        <v>29</v>
      </c>
      <c r="C75" s="457">
        <f>'[48]Annex 1'!$B$6</f>
        <v>20</v>
      </c>
      <c r="D75" s="457">
        <f>'[48]Annex 1'!$B$7</f>
        <v>572</v>
      </c>
      <c r="E75" s="457">
        <f>'[48]Annex 1'!$B$10</f>
        <v>28</v>
      </c>
      <c r="F75" s="457">
        <f>'[48]Annex 1'!$B$5</f>
        <v>67</v>
      </c>
      <c r="G75" s="457">
        <f>'[48]Annex 1'!$B$8</f>
        <v>167</v>
      </c>
      <c r="H75" s="457">
        <f>'[48]Annex 1'!$B$9</f>
        <v>313</v>
      </c>
      <c r="I75" s="452">
        <f t="shared" si="19"/>
        <v>1167</v>
      </c>
      <c r="J75" s="618" t="e">
        <f>'Table 1 Summary'!#REF!</f>
        <v>#REF!</v>
      </c>
      <c r="K75" s="458" t="e">
        <f t="shared" si="20"/>
        <v>#REF!</v>
      </c>
      <c r="L75" s="454" t="e">
        <f t="shared" si="21"/>
        <v>#REF!</v>
      </c>
    </row>
    <row r="76" spans="1:13">
      <c r="A76" s="450"/>
      <c r="B76" s="462" t="s">
        <v>35</v>
      </c>
      <c r="C76" s="560">
        <f>'[49]Annex 1'!$B$9</f>
        <v>0</v>
      </c>
      <c r="D76" s="457">
        <f>'[49]Annex 1'!$B$5</f>
        <v>82</v>
      </c>
      <c r="E76" s="457">
        <f>'[49]Annex 1'!$B$8</f>
        <v>14</v>
      </c>
      <c r="F76" s="457">
        <f>'[49]Annex 1'!$B$4</f>
        <v>19</v>
      </c>
      <c r="G76" s="457">
        <f>'[49]Annex 1'!$B$6</f>
        <v>1</v>
      </c>
      <c r="H76" s="457">
        <f>'[49]Annex 1'!$B$7</f>
        <v>35</v>
      </c>
      <c r="I76" s="452">
        <f t="shared" si="19"/>
        <v>151</v>
      </c>
      <c r="J76" s="618" t="e">
        <f>'Table 1 Summary'!#REF!</f>
        <v>#REF!</v>
      </c>
      <c r="K76" s="561" t="e">
        <f t="shared" si="20"/>
        <v>#REF!</v>
      </c>
      <c r="L76" s="454" t="e">
        <f t="shared" si="21"/>
        <v>#REF!</v>
      </c>
    </row>
    <row r="77" spans="1:13" ht="18" customHeight="1">
      <c r="A77" s="450"/>
      <c r="B77" s="462" t="s">
        <v>4</v>
      </c>
      <c r="C77" s="560">
        <f>'[50]Annex 1'!$B$4</f>
        <v>2</v>
      </c>
      <c r="D77" s="457">
        <f>'[50]Annex 1'!$B$5</f>
        <v>13</v>
      </c>
      <c r="E77" s="457">
        <f>'[50]Annex 1'!$B$7</f>
        <v>5</v>
      </c>
      <c r="F77" s="457">
        <f>'[50]Annex 1'!$B$3</f>
        <v>2</v>
      </c>
      <c r="G77" s="457" t="s">
        <v>43</v>
      </c>
      <c r="H77" s="457">
        <f>'[50]Annex 1'!$B$6</f>
        <v>4</v>
      </c>
      <c r="I77" s="452">
        <f t="shared" si="19"/>
        <v>26</v>
      </c>
      <c r="J77" s="618" t="e">
        <f>'Table 1 Summary'!#REF!</f>
        <v>#REF!</v>
      </c>
      <c r="K77" s="561" t="e">
        <f t="shared" si="20"/>
        <v>#REF!</v>
      </c>
      <c r="L77" s="454" t="e">
        <f t="shared" si="21"/>
        <v>#REF!</v>
      </c>
    </row>
    <row r="78" spans="1:13" ht="18" customHeight="1">
      <c r="A78" s="450"/>
      <c r="B78" s="462" t="s">
        <v>30</v>
      </c>
      <c r="C78" s="560">
        <f>'[51]Annex 1'!$B$6</f>
        <v>4</v>
      </c>
      <c r="D78" s="457">
        <f>'[51]Annex 1'!$B$7</f>
        <v>22</v>
      </c>
      <c r="E78" s="457">
        <f>'[51]Annex 1'!$B$10</f>
        <v>1</v>
      </c>
      <c r="F78" s="457">
        <f>'[51]Annex 1'!$B$5</f>
        <v>1</v>
      </c>
      <c r="G78" s="457">
        <f>'[51]Annex 1'!$B$8</f>
        <v>1</v>
      </c>
      <c r="H78" s="457">
        <f>'[51]Annex 1'!$B$9</f>
        <v>10</v>
      </c>
      <c r="I78" s="452">
        <f>SUM(C78:H78)</f>
        <v>39</v>
      </c>
      <c r="J78" s="618" t="e">
        <f>'Table 1 Summary'!#REF!</f>
        <v>#REF!</v>
      </c>
      <c r="K78" s="561" t="e">
        <f t="shared" si="20"/>
        <v>#REF!</v>
      </c>
      <c r="L78" s="454" t="e">
        <f t="shared" si="21"/>
        <v>#REF!</v>
      </c>
    </row>
    <row r="79" spans="1:13" ht="18" customHeight="1">
      <c r="A79" s="610"/>
      <c r="B79" s="615" t="s">
        <v>36</v>
      </c>
      <c r="C79" s="611">
        <v>0</v>
      </c>
      <c r="D79" s="612">
        <f>'[52]Annex 1'!$B$5</f>
        <v>5</v>
      </c>
      <c r="E79" s="612" t="s">
        <v>310</v>
      </c>
      <c r="F79" s="612">
        <f>'[52]Annex 1'!$B$4</f>
        <v>1</v>
      </c>
      <c r="G79" s="612" t="s">
        <v>43</v>
      </c>
      <c r="H79" s="612" t="s">
        <v>43</v>
      </c>
      <c r="I79" s="616">
        <f>SUM(C79:H79)</f>
        <v>6</v>
      </c>
      <c r="J79" s="619" t="e">
        <f>'Table 1 Summary'!#REF!</f>
        <v>#REF!</v>
      </c>
      <c r="K79" s="613" t="e">
        <f t="shared" si="20"/>
        <v>#REF!</v>
      </c>
      <c r="L79" s="614" t="e">
        <f t="shared" si="21"/>
        <v>#REF!</v>
      </c>
    </row>
    <row r="80" spans="1:13" s="286" customFormat="1" ht="13.8">
      <c r="A80" s="341" t="s">
        <v>197</v>
      </c>
      <c r="B80" s="342" t="s">
        <v>230</v>
      </c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</row>
    <row r="81" spans="1:13" s="347" customFormat="1" ht="10.199999999999999">
      <c r="A81" s="344"/>
      <c r="B81" s="345"/>
      <c r="C81" s="346" t="s">
        <v>203</v>
      </c>
      <c r="D81" s="346" t="s">
        <v>202</v>
      </c>
      <c r="E81" s="346" t="s">
        <v>201</v>
      </c>
      <c r="F81" s="346" t="s">
        <v>204</v>
      </c>
      <c r="G81" s="346" t="s">
        <v>205</v>
      </c>
      <c r="H81" s="346" t="s">
        <v>206</v>
      </c>
      <c r="I81" s="346"/>
      <c r="J81" s="346"/>
      <c r="K81" s="346"/>
      <c r="L81" s="346"/>
      <c r="M81" s="346"/>
    </row>
    <row r="82" spans="1:13" s="338" customFormat="1" ht="13.2">
      <c r="A82" s="348" t="s">
        <v>210</v>
      </c>
      <c r="C82" s="354">
        <f>C79/$I79*100</f>
        <v>0</v>
      </c>
      <c r="D82" s="354">
        <f t="shared" ref="D82:I82" si="22">D79/$I79*100</f>
        <v>83.333333333333343</v>
      </c>
      <c r="E82" s="354" t="e">
        <f>E79/$I79*100</f>
        <v>#VALUE!</v>
      </c>
      <c r="F82" s="354">
        <f t="shared" si="22"/>
        <v>16.666666666666664</v>
      </c>
      <c r="G82" s="354" t="e">
        <f>G79/$I79*100</f>
        <v>#VALUE!</v>
      </c>
      <c r="H82" s="354" t="e">
        <f>H79/$I79*100</f>
        <v>#VALUE!</v>
      </c>
      <c r="I82" s="354">
        <f t="shared" si="22"/>
        <v>100</v>
      </c>
      <c r="K82" s="349"/>
      <c r="L82" s="350"/>
    </row>
    <row r="83" spans="1:13">
      <c r="C83" s="351">
        <f>C79/$I79</f>
        <v>0</v>
      </c>
      <c r="D83" s="351">
        <f t="shared" ref="D83:I83" si="23">D79/$I79</f>
        <v>0.83333333333333337</v>
      </c>
      <c r="E83" s="351" t="e">
        <f t="shared" si="23"/>
        <v>#VALUE!</v>
      </c>
      <c r="F83" s="351">
        <f t="shared" si="23"/>
        <v>0.16666666666666666</v>
      </c>
      <c r="G83" s="351" t="e">
        <f t="shared" si="23"/>
        <v>#VALUE!</v>
      </c>
      <c r="H83" s="351" t="e">
        <f>H79/$I79</f>
        <v>#VALUE!</v>
      </c>
      <c r="I83" s="351">
        <f t="shared" si="23"/>
        <v>1</v>
      </c>
      <c r="J83" s="352"/>
      <c r="K83" s="350"/>
      <c r="L83" s="338"/>
      <c r="M83" s="352"/>
    </row>
    <row r="85" spans="1:13">
      <c r="L85" s="353" t="s">
        <v>209</v>
      </c>
      <c r="M85" s="353" t="s">
        <v>234</v>
      </c>
    </row>
    <row r="86" spans="1:13">
      <c r="L86" s="346" t="s">
        <v>202</v>
      </c>
      <c r="M86" s="354">
        <f>D82</f>
        <v>83.333333333333343</v>
      </c>
    </row>
    <row r="87" spans="1:13">
      <c r="L87" s="346" t="s">
        <v>206</v>
      </c>
      <c r="M87" s="354" t="e">
        <f>H82</f>
        <v>#VALUE!</v>
      </c>
    </row>
    <row r="88" spans="1:13">
      <c r="L88" s="346" t="s">
        <v>205</v>
      </c>
      <c r="M88" s="354" t="e">
        <f>G82</f>
        <v>#VALUE!</v>
      </c>
    </row>
    <row r="89" spans="1:13">
      <c r="L89" s="346" t="s">
        <v>204</v>
      </c>
      <c r="M89" s="354">
        <f>F82</f>
        <v>16.666666666666664</v>
      </c>
    </row>
    <row r="90" spans="1:13">
      <c r="L90" s="346" t="s">
        <v>203</v>
      </c>
      <c r="M90" s="354">
        <f>C82</f>
        <v>0</v>
      </c>
    </row>
    <row r="91" spans="1:13">
      <c r="L91" s="346" t="s">
        <v>201</v>
      </c>
      <c r="M91" s="354" t="e">
        <f>E82</f>
        <v>#VALUE!</v>
      </c>
    </row>
    <row r="92" spans="1:13">
      <c r="L92" s="348"/>
    </row>
    <row r="98" spans="8:12">
      <c r="L98" s="362" t="s">
        <v>236</v>
      </c>
    </row>
    <row r="101" spans="8:12">
      <c r="H101" s="355"/>
      <c r="I101" s="356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8671875" defaultRowHeight="14.4"/>
  <cols>
    <col min="1" max="1" width="19.6640625" style="437" bestFit="1" customWidth="1"/>
    <col min="2" max="2" width="10.33203125" style="437" bestFit="1" customWidth="1"/>
    <col min="3" max="3" width="8.6640625" style="437" bestFit="1" customWidth="1"/>
    <col min="4" max="4" width="7.5546875" style="437" bestFit="1" customWidth="1"/>
    <col min="5" max="8" width="7.44140625" style="437" bestFit="1" customWidth="1"/>
    <col min="9" max="16384" width="8.88671875" style="437"/>
  </cols>
  <sheetData>
    <row r="3" spans="1:8">
      <c r="A3" s="480" t="s">
        <v>299</v>
      </c>
      <c r="B3" s="480" t="s">
        <v>285</v>
      </c>
      <c r="C3" s="480" t="s">
        <v>286</v>
      </c>
      <c r="D3" s="480" t="s">
        <v>287</v>
      </c>
      <c r="E3" s="480" t="s">
        <v>288</v>
      </c>
      <c r="F3" s="480" t="s">
        <v>289</v>
      </c>
      <c r="G3" s="480" t="s">
        <v>292</v>
      </c>
      <c r="H3" s="480" t="s">
        <v>14</v>
      </c>
    </row>
    <row r="4" spans="1:8">
      <c r="A4" s="437" t="s">
        <v>20</v>
      </c>
      <c r="B4" s="439">
        <v>0</v>
      </c>
      <c r="C4" s="439">
        <v>0</v>
      </c>
      <c r="D4" s="439">
        <v>0</v>
      </c>
      <c r="E4" s="439">
        <v>0</v>
      </c>
      <c r="F4" s="439"/>
      <c r="G4" s="439"/>
      <c r="H4" s="439">
        <v>0</v>
      </c>
    </row>
    <row r="5" spans="1:8">
      <c r="A5" s="437" t="s">
        <v>207</v>
      </c>
      <c r="B5" s="439">
        <v>0</v>
      </c>
      <c r="C5" s="439">
        <v>0</v>
      </c>
      <c r="D5" s="439">
        <v>0</v>
      </c>
      <c r="E5" s="439">
        <v>0</v>
      </c>
      <c r="F5" s="439">
        <v>0</v>
      </c>
      <c r="G5" s="439">
        <v>0</v>
      </c>
      <c r="H5" s="439">
        <f t="shared" ref="H5:H11" si="0">SUM(B5:G5)</f>
        <v>0</v>
      </c>
    </row>
    <row r="6" spans="1:8">
      <c r="A6" s="437" t="s">
        <v>21</v>
      </c>
      <c r="B6" s="439">
        <v>0</v>
      </c>
      <c r="C6" s="439">
        <v>0</v>
      </c>
      <c r="D6" s="439">
        <v>0</v>
      </c>
      <c r="E6" s="439">
        <v>0</v>
      </c>
      <c r="F6" s="439">
        <v>0</v>
      </c>
      <c r="G6" s="439">
        <v>0</v>
      </c>
      <c r="H6" s="439">
        <v>0</v>
      </c>
    </row>
    <row r="7" spans="1:8">
      <c r="A7" s="437" t="s">
        <v>22</v>
      </c>
      <c r="B7" s="439">
        <v>0</v>
      </c>
      <c r="C7" s="439">
        <v>0</v>
      </c>
      <c r="D7" s="439">
        <v>0</v>
      </c>
      <c r="E7" s="439">
        <v>0</v>
      </c>
      <c r="F7" s="439">
        <v>0</v>
      </c>
      <c r="G7" s="439">
        <v>0</v>
      </c>
      <c r="H7" s="439">
        <f t="shared" si="0"/>
        <v>0</v>
      </c>
    </row>
    <row r="8" spans="1:8">
      <c r="A8" s="437" t="s">
        <v>134</v>
      </c>
      <c r="B8" s="439">
        <v>0</v>
      </c>
      <c r="C8" s="439">
        <v>0</v>
      </c>
      <c r="D8" s="439">
        <v>0</v>
      </c>
      <c r="E8" s="439">
        <v>0</v>
      </c>
      <c r="F8" s="439">
        <v>0</v>
      </c>
      <c r="G8" s="439">
        <v>0</v>
      </c>
      <c r="H8" s="439">
        <f t="shared" si="0"/>
        <v>0</v>
      </c>
    </row>
    <row r="9" spans="1:8">
      <c r="A9" s="437" t="s">
        <v>133</v>
      </c>
      <c r="B9" s="439">
        <v>0</v>
      </c>
      <c r="C9" s="439">
        <v>0</v>
      </c>
      <c r="D9" s="439">
        <v>0</v>
      </c>
      <c r="E9" s="439">
        <v>0</v>
      </c>
      <c r="F9" s="439">
        <v>0</v>
      </c>
      <c r="G9" s="439">
        <v>0</v>
      </c>
      <c r="H9" s="439">
        <f>SUM(B9:G9)</f>
        <v>0</v>
      </c>
    </row>
    <row r="10" spans="1:8">
      <c r="A10" s="437" t="s">
        <v>136</v>
      </c>
      <c r="B10" s="439">
        <v>0</v>
      </c>
      <c r="C10" s="439">
        <v>0</v>
      </c>
      <c r="D10" s="439">
        <v>0</v>
      </c>
      <c r="E10" s="439">
        <v>0</v>
      </c>
      <c r="F10" s="439">
        <v>0</v>
      </c>
      <c r="G10" s="439">
        <v>0</v>
      </c>
      <c r="H10" s="439">
        <f t="shared" si="0"/>
        <v>0</v>
      </c>
    </row>
    <row r="11" spans="1:8">
      <c r="A11" s="437" t="s">
        <v>235</v>
      </c>
      <c r="B11" s="439">
        <v>0</v>
      </c>
      <c r="C11" s="439">
        <v>0</v>
      </c>
      <c r="D11" s="439">
        <v>0</v>
      </c>
      <c r="E11" s="439">
        <v>0</v>
      </c>
      <c r="F11" s="439">
        <v>0</v>
      </c>
      <c r="G11" s="439">
        <v>0</v>
      </c>
      <c r="H11" s="439">
        <f t="shared" si="0"/>
        <v>0</v>
      </c>
    </row>
    <row r="12" spans="1:8">
      <c r="A12" s="437" t="s">
        <v>251</v>
      </c>
      <c r="B12" s="439">
        <v>1</v>
      </c>
      <c r="C12" s="439">
        <v>0</v>
      </c>
      <c r="D12" s="439">
        <v>5</v>
      </c>
      <c r="E12" s="439">
        <v>0</v>
      </c>
      <c r="F12" s="439"/>
      <c r="G12" s="439">
        <v>0</v>
      </c>
      <c r="H12" s="439">
        <f>SUM(B12:G12)</f>
        <v>6</v>
      </c>
    </row>
    <row r="13" spans="1:8">
      <c r="A13" s="438" t="s">
        <v>284</v>
      </c>
      <c r="B13" s="479">
        <f t="shared" ref="B13:H13" si="1">SUM(B4:B12)</f>
        <v>1</v>
      </c>
      <c r="C13" s="479">
        <f t="shared" si="1"/>
        <v>0</v>
      </c>
      <c r="D13" s="479">
        <f t="shared" si="1"/>
        <v>5</v>
      </c>
      <c r="E13" s="479">
        <f t="shared" si="1"/>
        <v>0</v>
      </c>
      <c r="F13" s="479">
        <f t="shared" si="1"/>
        <v>0</v>
      </c>
      <c r="G13" s="479">
        <f t="shared" si="1"/>
        <v>0</v>
      </c>
      <c r="H13" s="439">
        <f t="shared" si="1"/>
        <v>6</v>
      </c>
    </row>
    <row r="14" spans="1:8">
      <c r="A14" s="438"/>
      <c r="B14" s="479"/>
      <c r="C14" s="479"/>
      <c r="D14" s="479"/>
      <c r="E14" s="479"/>
      <c r="F14" s="479"/>
      <c r="G14" s="479"/>
      <c r="H14" s="479"/>
    </row>
    <row r="16" spans="1:8">
      <c r="A16" s="465"/>
      <c r="B16" s="1016" t="s">
        <v>209</v>
      </c>
      <c r="C16" s="1016"/>
      <c r="D16" s="1016"/>
      <c r="E16" s="1016"/>
      <c r="F16" s="1016"/>
      <c r="G16" s="1016"/>
      <c r="H16" s="465"/>
    </row>
    <row r="17" spans="1:8" ht="24">
      <c r="A17" s="466" t="s">
        <v>243</v>
      </c>
      <c r="B17" s="467" t="s">
        <v>204</v>
      </c>
      <c r="C17" s="467" t="s">
        <v>203</v>
      </c>
      <c r="D17" s="467" t="s">
        <v>202</v>
      </c>
      <c r="E17" s="467" t="s">
        <v>205</v>
      </c>
      <c r="F17" s="467" t="s">
        <v>206</v>
      </c>
      <c r="G17" s="467" t="s">
        <v>201</v>
      </c>
      <c r="H17" s="468" t="s">
        <v>19</v>
      </c>
    </row>
    <row r="18" spans="1:8" ht="3.6" customHeight="1">
      <c r="A18" s="469"/>
      <c r="B18" s="470"/>
      <c r="C18" s="470"/>
      <c r="D18" s="470"/>
      <c r="E18" s="470"/>
      <c r="F18" s="470"/>
      <c r="G18" s="470"/>
      <c r="H18" s="471"/>
    </row>
    <row r="19" spans="1:8">
      <c r="A19" s="472" t="s">
        <v>20</v>
      </c>
      <c r="B19" s="473" t="e">
        <f>B4/$H$4</f>
        <v>#DIV/0!</v>
      </c>
      <c r="C19" s="473" t="e">
        <f t="shared" ref="C19:H19" si="2">C4/$H$4</f>
        <v>#DIV/0!</v>
      </c>
      <c r="D19" s="473" t="e">
        <f>D4/$H$4</f>
        <v>#DIV/0!</v>
      </c>
      <c r="E19" s="473" t="e">
        <f t="shared" si="2"/>
        <v>#DIV/0!</v>
      </c>
      <c r="F19" s="473" t="e">
        <f t="shared" si="2"/>
        <v>#DIV/0!</v>
      </c>
      <c r="G19" s="555" t="e">
        <f t="shared" si="2"/>
        <v>#DIV/0!</v>
      </c>
      <c r="H19" s="473" t="e">
        <f t="shared" si="2"/>
        <v>#DIV/0!</v>
      </c>
    </row>
    <row r="20" spans="1:8">
      <c r="A20" s="472" t="s">
        <v>207</v>
      </c>
      <c r="B20" s="473" t="e">
        <f t="shared" ref="B20:H20" si="3">B5/$H$5</f>
        <v>#DIV/0!</v>
      </c>
      <c r="C20" s="473" t="e">
        <f t="shared" si="3"/>
        <v>#DIV/0!</v>
      </c>
      <c r="D20" s="473" t="e">
        <f t="shared" si="3"/>
        <v>#DIV/0!</v>
      </c>
      <c r="E20" s="473" t="e">
        <f t="shared" si="3"/>
        <v>#DIV/0!</v>
      </c>
      <c r="F20" s="473" t="e">
        <f t="shared" si="3"/>
        <v>#DIV/0!</v>
      </c>
      <c r="G20" s="473" t="e">
        <f t="shared" si="3"/>
        <v>#DIV/0!</v>
      </c>
      <c r="H20" s="474" t="e">
        <f t="shared" si="3"/>
        <v>#DIV/0!</v>
      </c>
    </row>
    <row r="21" spans="1:8">
      <c r="A21" s="472" t="s">
        <v>21</v>
      </c>
      <c r="B21" s="473" t="e">
        <f t="shared" ref="B21:H21" si="4">B6/$H$6</f>
        <v>#DIV/0!</v>
      </c>
      <c r="C21" s="473" t="e">
        <f t="shared" si="4"/>
        <v>#DIV/0!</v>
      </c>
      <c r="D21" s="473" t="e">
        <f t="shared" si="4"/>
        <v>#DIV/0!</v>
      </c>
      <c r="E21" s="473" t="e">
        <f t="shared" si="4"/>
        <v>#DIV/0!</v>
      </c>
      <c r="F21" s="473" t="e">
        <f t="shared" si="4"/>
        <v>#DIV/0!</v>
      </c>
      <c r="G21" s="473" t="e">
        <f t="shared" si="4"/>
        <v>#DIV/0!</v>
      </c>
      <c r="H21" s="474" t="e">
        <f t="shared" si="4"/>
        <v>#DIV/0!</v>
      </c>
    </row>
    <row r="22" spans="1:8">
      <c r="A22" s="472" t="s">
        <v>22</v>
      </c>
      <c r="B22" s="473" t="e">
        <f>B7/$H$7</f>
        <v>#DIV/0!</v>
      </c>
      <c r="C22" s="473" t="e">
        <f t="shared" ref="C22:H22" si="5">C7/$H$7</f>
        <v>#DIV/0!</v>
      </c>
      <c r="D22" s="473" t="e">
        <f t="shared" si="5"/>
        <v>#DIV/0!</v>
      </c>
      <c r="E22" s="473" t="e">
        <f t="shared" si="5"/>
        <v>#DIV/0!</v>
      </c>
      <c r="F22" s="473" t="e">
        <f t="shared" si="5"/>
        <v>#DIV/0!</v>
      </c>
      <c r="G22" s="473" t="e">
        <f t="shared" si="5"/>
        <v>#DIV/0!</v>
      </c>
      <c r="H22" s="474" t="e">
        <f t="shared" si="5"/>
        <v>#DIV/0!</v>
      </c>
    </row>
    <row r="23" spans="1:8">
      <c r="A23" s="472" t="s">
        <v>134</v>
      </c>
      <c r="B23" s="473" t="e">
        <f>B8/$H$8</f>
        <v>#DIV/0!</v>
      </c>
      <c r="C23" s="473" t="e">
        <f t="shared" ref="C23:H23" si="6">C8/$H$8</f>
        <v>#DIV/0!</v>
      </c>
      <c r="D23" s="473" t="e">
        <f t="shared" si="6"/>
        <v>#DIV/0!</v>
      </c>
      <c r="E23" s="473" t="e">
        <f t="shared" si="6"/>
        <v>#DIV/0!</v>
      </c>
      <c r="F23" s="473" t="e">
        <f t="shared" si="6"/>
        <v>#DIV/0!</v>
      </c>
      <c r="G23" s="473" t="e">
        <f t="shared" si="6"/>
        <v>#DIV/0!</v>
      </c>
      <c r="H23" s="474" t="e">
        <f t="shared" si="6"/>
        <v>#DIV/0!</v>
      </c>
    </row>
    <row r="24" spans="1:8">
      <c r="A24" s="472" t="s">
        <v>133</v>
      </c>
      <c r="B24" s="473" t="e">
        <f>B9/$H$9</f>
        <v>#DIV/0!</v>
      </c>
      <c r="C24" s="473" t="e">
        <f t="shared" ref="C24:H24" si="7">C9/$H$9</f>
        <v>#DIV/0!</v>
      </c>
      <c r="D24" s="473" t="e">
        <f t="shared" si="7"/>
        <v>#DIV/0!</v>
      </c>
      <c r="E24" s="473" t="e">
        <f>E9/$H$9</f>
        <v>#DIV/0!</v>
      </c>
      <c r="F24" s="473" t="e">
        <f t="shared" si="7"/>
        <v>#DIV/0!</v>
      </c>
      <c r="G24" s="473" t="e">
        <f>G9/$H$9</f>
        <v>#DIV/0!</v>
      </c>
      <c r="H24" s="474" t="e">
        <f t="shared" si="7"/>
        <v>#DIV/0!</v>
      </c>
    </row>
    <row r="25" spans="1:8">
      <c r="A25" s="472" t="s">
        <v>136</v>
      </c>
      <c r="B25" s="473" t="e">
        <f>B10/$H$10</f>
        <v>#DIV/0!</v>
      </c>
      <c r="C25" s="473" t="e">
        <f t="shared" ref="C25:H25" si="8">C10/$H$10</f>
        <v>#DIV/0!</v>
      </c>
      <c r="D25" s="473" t="e">
        <f t="shared" si="8"/>
        <v>#DIV/0!</v>
      </c>
      <c r="E25" s="473" t="e">
        <f t="shared" si="8"/>
        <v>#DIV/0!</v>
      </c>
      <c r="F25" s="473" t="e">
        <f t="shared" si="8"/>
        <v>#DIV/0!</v>
      </c>
      <c r="G25" s="473" t="e">
        <f t="shared" si="8"/>
        <v>#DIV/0!</v>
      </c>
      <c r="H25" s="474" t="e">
        <f t="shared" si="8"/>
        <v>#DIV/0!</v>
      </c>
    </row>
    <row r="26" spans="1:8">
      <c r="A26" s="472" t="s">
        <v>235</v>
      </c>
      <c r="B26" s="473" t="e">
        <f>B11/$H$11</f>
        <v>#DIV/0!</v>
      </c>
      <c r="C26" s="473" t="e">
        <f t="shared" ref="C26:H26" si="9">C11/$H$11</f>
        <v>#DIV/0!</v>
      </c>
      <c r="D26" s="473" t="e">
        <f t="shared" si="9"/>
        <v>#DIV/0!</v>
      </c>
      <c r="E26" s="473" t="e">
        <f t="shared" si="9"/>
        <v>#DIV/0!</v>
      </c>
      <c r="F26" s="473" t="e">
        <f t="shared" si="9"/>
        <v>#DIV/0!</v>
      </c>
      <c r="G26" s="473" t="e">
        <f t="shared" si="9"/>
        <v>#DIV/0!</v>
      </c>
      <c r="H26" s="474" t="e">
        <f t="shared" si="9"/>
        <v>#DIV/0!</v>
      </c>
    </row>
    <row r="27" spans="1:8">
      <c r="A27" s="472" t="s">
        <v>251</v>
      </c>
      <c r="B27" s="473">
        <f t="shared" ref="B27:H27" si="10">B12/$H$12</f>
        <v>0.16666666666666666</v>
      </c>
      <c r="C27" s="473">
        <f t="shared" si="10"/>
        <v>0</v>
      </c>
      <c r="D27" s="473">
        <f t="shared" si="10"/>
        <v>0.83333333333333337</v>
      </c>
      <c r="E27" s="473">
        <f t="shared" si="10"/>
        <v>0</v>
      </c>
      <c r="F27" s="473">
        <f t="shared" si="10"/>
        <v>0</v>
      </c>
      <c r="G27" s="473">
        <f t="shared" si="10"/>
        <v>0</v>
      </c>
      <c r="H27" s="474">
        <f t="shared" si="10"/>
        <v>1</v>
      </c>
    </row>
    <row r="28" spans="1:8" ht="4.2" customHeight="1">
      <c r="A28" s="475"/>
      <c r="B28" s="476"/>
      <c r="C28" s="476"/>
      <c r="D28" s="476"/>
      <c r="E28" s="476"/>
      <c r="F28" s="476"/>
      <c r="G28" s="476"/>
      <c r="H28" s="477"/>
    </row>
  </sheetData>
  <mergeCells count="1">
    <mergeCell ref="B16:G1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3.2"/>
  <cols>
    <col min="1" max="1" width="9.5546875" customWidth="1"/>
    <col min="2" max="2" width="7.33203125" customWidth="1"/>
    <col min="3" max="4" width="14.88671875" customWidth="1"/>
    <col min="5" max="5" width="1.6640625" customWidth="1"/>
    <col min="6" max="6" width="12.44140625" customWidth="1"/>
    <col min="7" max="7" width="1.6640625" customWidth="1"/>
    <col min="8" max="8" width="12.88671875" customWidth="1"/>
    <col min="9" max="9" width="1.6640625" customWidth="1"/>
    <col min="10" max="10" width="14.88671875" customWidth="1"/>
    <col min="11" max="11" width="1.6640625" customWidth="1"/>
    <col min="12" max="12" width="14.6640625" customWidth="1"/>
    <col min="13" max="13" width="0.33203125" hidden="1" customWidth="1"/>
    <col min="14" max="14" width="14.88671875" customWidth="1"/>
  </cols>
  <sheetData>
    <row r="2" spans="1:14" ht="17.399999999999999">
      <c r="A2" s="327" t="s">
        <v>307</v>
      </c>
      <c r="B2" s="269"/>
      <c r="C2" s="269"/>
      <c r="D2" s="269"/>
      <c r="E2" s="269"/>
      <c r="F2" s="281"/>
      <c r="G2" s="281"/>
      <c r="H2" s="269"/>
      <c r="I2" s="269"/>
      <c r="J2" s="269"/>
      <c r="K2" s="269"/>
      <c r="L2" s="269"/>
      <c r="M2" s="269"/>
      <c r="N2" s="269"/>
    </row>
    <row r="3" spans="1:14" ht="20.100000000000001" customHeight="1">
      <c r="A3" s="1017" t="s">
        <v>73</v>
      </c>
      <c r="B3" s="1022" t="s">
        <v>115</v>
      </c>
      <c r="C3" s="1017" t="s">
        <v>209</v>
      </c>
      <c r="D3" s="1018"/>
      <c r="E3" s="1018"/>
      <c r="F3" s="1018"/>
      <c r="G3" s="1018"/>
      <c r="H3" s="1018"/>
      <c r="I3" s="1018"/>
      <c r="J3" s="1018"/>
      <c r="K3" s="1018"/>
      <c r="L3" s="1019"/>
      <c r="M3" s="603"/>
      <c r="N3" s="1020" t="s">
        <v>19</v>
      </c>
    </row>
    <row r="4" spans="1:14" ht="20.100000000000001" customHeight="1">
      <c r="A4" s="1024"/>
      <c r="B4" s="1023"/>
      <c r="C4" s="389" t="s">
        <v>201</v>
      </c>
      <c r="D4" s="390" t="s">
        <v>202</v>
      </c>
      <c r="E4" s="390"/>
      <c r="F4" s="390" t="s">
        <v>203</v>
      </c>
      <c r="G4" s="390"/>
      <c r="H4" s="390" t="s">
        <v>204</v>
      </c>
      <c r="I4" s="390"/>
      <c r="J4" s="390" t="s">
        <v>205</v>
      </c>
      <c r="K4" s="390"/>
      <c r="L4" s="536" t="s">
        <v>206</v>
      </c>
      <c r="M4" s="307"/>
      <c r="N4" s="1021"/>
    </row>
    <row r="5" spans="1:14" hidden="1">
      <c r="A5" s="301">
        <v>2014</v>
      </c>
      <c r="B5" s="535" t="s">
        <v>68</v>
      </c>
      <c r="C5" s="302">
        <v>4.6428571428571432</v>
      </c>
      <c r="D5" s="294">
        <v>5.416666666666667</v>
      </c>
      <c r="E5" s="294"/>
      <c r="F5" s="294">
        <v>4.2608695652173916</v>
      </c>
      <c r="G5" s="294"/>
      <c r="H5" s="294">
        <v>5.833333333333333</v>
      </c>
      <c r="I5" s="294"/>
      <c r="J5" s="294">
        <v>1.4645669291338583</v>
      </c>
      <c r="K5" s="294"/>
      <c r="L5" s="537">
        <v>2.8355263157894739</v>
      </c>
      <c r="M5" s="294"/>
      <c r="N5" s="395">
        <f t="shared" ref="N5:N12" si="0">AVERAGE(C5:L5)</f>
        <v>4.0756366588329778</v>
      </c>
    </row>
    <row r="6" spans="1:14" ht="14.4" hidden="1">
      <c r="A6" s="299"/>
      <c r="B6" s="535" t="s">
        <v>30</v>
      </c>
      <c r="C6" s="302">
        <v>5.5641025641025639</v>
      </c>
      <c r="D6" s="294">
        <v>5.4140211640211637</v>
      </c>
      <c r="E6" s="294"/>
      <c r="F6" s="294">
        <v>4.0185185185185182</v>
      </c>
      <c r="G6" s="294"/>
      <c r="H6" s="294">
        <v>5.6330935251798557</v>
      </c>
      <c r="I6" s="294"/>
      <c r="J6" s="294">
        <v>2.0472103004291844</v>
      </c>
      <c r="K6" s="294"/>
      <c r="L6" s="537">
        <v>2.5</v>
      </c>
      <c r="M6" s="294"/>
      <c r="N6" s="395">
        <f t="shared" si="0"/>
        <v>4.1961576787085475</v>
      </c>
    </row>
    <row r="7" spans="1:14" ht="14.4" hidden="1">
      <c r="A7" s="299"/>
      <c r="B7" s="535" t="s">
        <v>36</v>
      </c>
      <c r="C7" s="302">
        <v>5.9375</v>
      </c>
      <c r="D7" s="294">
        <v>5.9460966542750926</v>
      </c>
      <c r="E7" s="294"/>
      <c r="F7" s="294">
        <v>9.8482142857142865</v>
      </c>
      <c r="G7" s="294"/>
      <c r="H7" s="294">
        <v>4.7880434782608692</v>
      </c>
      <c r="I7" s="294"/>
      <c r="J7" s="294">
        <v>1.5201342281879195</v>
      </c>
      <c r="K7" s="294"/>
      <c r="L7" s="537">
        <v>3.694683908045977</v>
      </c>
      <c r="M7" s="294"/>
      <c r="N7" s="395">
        <f t="shared" si="0"/>
        <v>5.2891120924140242</v>
      </c>
    </row>
    <row r="8" spans="1:14" ht="14.4" hidden="1">
      <c r="A8" s="299"/>
      <c r="B8" s="535" t="s">
        <v>37</v>
      </c>
      <c r="C8" s="302">
        <v>4.6500000000000004</v>
      </c>
      <c r="D8" s="294">
        <v>5.9359550561797754</v>
      </c>
      <c r="E8" s="294"/>
      <c r="F8" s="294">
        <v>7.4576271186440675</v>
      </c>
      <c r="G8" s="294"/>
      <c r="H8" s="294">
        <v>6.1018867924528299</v>
      </c>
      <c r="I8" s="294"/>
      <c r="J8" s="294">
        <v>2.2106741573033708</v>
      </c>
      <c r="K8" s="294"/>
      <c r="L8" s="537">
        <v>2.5237388724035608</v>
      </c>
      <c r="M8" s="294"/>
      <c r="N8" s="395">
        <f t="shared" si="0"/>
        <v>4.8133136661639346</v>
      </c>
    </row>
    <row r="9" spans="1:14" ht="14.4" hidden="1">
      <c r="A9" s="299"/>
      <c r="B9" s="535" t="s">
        <v>31</v>
      </c>
      <c r="C9" s="302">
        <v>3.7307692307692308</v>
      </c>
      <c r="D9" s="294">
        <v>7.0287253141831236</v>
      </c>
      <c r="E9" s="294"/>
      <c r="F9" s="294">
        <v>4.9512195121951219</v>
      </c>
      <c r="G9" s="294"/>
      <c r="H9" s="294">
        <v>4.7317073170731705</v>
      </c>
      <c r="I9" s="294"/>
      <c r="J9" s="294">
        <v>3.5815899581589958</v>
      </c>
      <c r="K9" s="294"/>
      <c r="L9" s="537">
        <v>3.1058064516129034</v>
      </c>
      <c r="M9" s="294"/>
      <c r="N9" s="395">
        <f t="shared" si="0"/>
        <v>4.5216362973320914</v>
      </c>
    </row>
    <row r="10" spans="1:14" hidden="1">
      <c r="A10" s="300"/>
      <c r="B10" s="535" t="s">
        <v>38</v>
      </c>
      <c r="C10" s="302">
        <v>4.58</v>
      </c>
      <c r="D10" s="294">
        <v>5.545698924731183</v>
      </c>
      <c r="E10" s="294"/>
      <c r="F10" s="294">
        <v>5.1263157894736846</v>
      </c>
      <c r="G10" s="294"/>
      <c r="H10" s="294">
        <v>5.020833333333333</v>
      </c>
      <c r="I10" s="294"/>
      <c r="J10" s="294">
        <v>3.7024390243902441</v>
      </c>
      <c r="K10" s="294"/>
      <c r="L10" s="537">
        <v>2.8415132924335378</v>
      </c>
      <c r="M10" s="294"/>
      <c r="N10" s="395">
        <f t="shared" si="0"/>
        <v>4.4694667273936632</v>
      </c>
    </row>
    <row r="11" spans="1:14" ht="14.4" hidden="1">
      <c r="A11" s="299"/>
      <c r="B11" s="535" t="s">
        <v>39</v>
      </c>
      <c r="C11" s="302">
        <v>7.7105263157894735</v>
      </c>
      <c r="D11" s="294">
        <v>6.187793427230047</v>
      </c>
      <c r="E11" s="294"/>
      <c r="F11" s="294">
        <v>5.115384615384615</v>
      </c>
      <c r="G11" s="294"/>
      <c r="H11" s="294">
        <v>5.579831932773109</v>
      </c>
      <c r="I11" s="294"/>
      <c r="J11" s="294">
        <v>2.3116883116883118</v>
      </c>
      <c r="K11" s="294"/>
      <c r="L11" s="537">
        <v>3.3180987202925047</v>
      </c>
      <c r="M11" s="294"/>
      <c r="N11" s="395">
        <f t="shared" si="0"/>
        <v>5.0372205538596768</v>
      </c>
    </row>
    <row r="12" spans="1:14" ht="14.4" hidden="1">
      <c r="A12" s="299"/>
      <c r="B12" s="535" t="s">
        <v>32</v>
      </c>
      <c r="C12" s="302">
        <v>5.4375</v>
      </c>
      <c r="D12" s="294">
        <v>6.8232189973614776</v>
      </c>
      <c r="E12" s="294"/>
      <c r="F12" s="294">
        <v>13.607142857142858</v>
      </c>
      <c r="G12" s="294"/>
      <c r="H12" s="294">
        <v>9.6666666666666661</v>
      </c>
      <c r="I12" s="294"/>
      <c r="J12" s="294">
        <v>1.6923076923076923</v>
      </c>
      <c r="K12" s="294"/>
      <c r="L12" s="537">
        <v>3.376391982182628</v>
      </c>
      <c r="M12" s="294"/>
      <c r="N12" s="395">
        <f t="shared" si="0"/>
        <v>6.7672046992768857</v>
      </c>
    </row>
    <row r="13" spans="1:14" hidden="1">
      <c r="A13" s="301">
        <v>2015</v>
      </c>
      <c r="B13" s="535" t="s">
        <v>33</v>
      </c>
      <c r="C13" s="302">
        <v>6.833333333333333</v>
      </c>
      <c r="D13" s="294">
        <v>5.9152892561983474</v>
      </c>
      <c r="E13" s="294"/>
      <c r="F13" s="294">
        <v>5.5</v>
      </c>
      <c r="G13" s="294"/>
      <c r="H13" s="294">
        <v>8.5975609756097562</v>
      </c>
      <c r="I13" s="294"/>
      <c r="J13" s="294">
        <v>2.5665236051502145</v>
      </c>
      <c r="K13" s="294"/>
      <c r="L13" s="537">
        <v>2.8669796557120502</v>
      </c>
      <c r="M13" s="294"/>
      <c r="N13" s="395">
        <f>AVERAGE(C13:L13)</f>
        <v>5.379947804333951</v>
      </c>
    </row>
    <row r="14" spans="1:14" hidden="1">
      <c r="A14" s="301"/>
      <c r="B14" s="535" t="s">
        <v>34</v>
      </c>
      <c r="C14" s="302">
        <v>7.25</v>
      </c>
      <c r="D14" s="294">
        <v>5.3086956521739133</v>
      </c>
      <c r="E14" s="294"/>
      <c r="F14" s="294">
        <v>7.4230769230769234</v>
      </c>
      <c r="G14" s="294"/>
      <c r="H14" s="294">
        <v>7.4807692307692308</v>
      </c>
      <c r="I14" s="294"/>
      <c r="J14" s="294">
        <v>3.35</v>
      </c>
      <c r="K14" s="294"/>
      <c r="L14" s="537">
        <v>2.8309352517985613</v>
      </c>
      <c r="M14" s="294"/>
      <c r="N14" s="395">
        <v>5.6072461763031001</v>
      </c>
    </row>
    <row r="15" spans="1:14" hidden="1">
      <c r="A15" s="301"/>
      <c r="B15" s="535" t="s">
        <v>29</v>
      </c>
      <c r="C15" s="303">
        <f>[29]Ave.LOS!$H$4</f>
        <v>22.4</v>
      </c>
      <c r="D15" s="295">
        <f>[29]Ave.LOS!$E$4</f>
        <v>5.6842105263157894</v>
      </c>
      <c r="E15" s="295"/>
      <c r="F15" s="295">
        <f>[29]Ave.LOS!$D$4</f>
        <v>11.875</v>
      </c>
      <c r="G15" s="295"/>
      <c r="H15" s="294">
        <f>[29]Ave.LOS!$C$4</f>
        <v>5.784313725490196</v>
      </c>
      <c r="I15" s="294"/>
      <c r="J15" s="294">
        <f>[29]Ave.LOS!$F$4</f>
        <v>8.1538461538461533</v>
      </c>
      <c r="K15" s="294"/>
      <c r="L15" s="537">
        <f>[29]Ave.LOS!$G$4</f>
        <v>3.2231075697211153</v>
      </c>
      <c r="M15" s="294"/>
      <c r="N15" s="395">
        <f>[29]Ave.LOS!$B$4</f>
        <v>9.5200796625622086</v>
      </c>
    </row>
    <row r="16" spans="1:14" hidden="1">
      <c r="A16" s="62"/>
      <c r="B16" s="535" t="s">
        <v>35</v>
      </c>
      <c r="C16" s="304">
        <f>[29]Ave.LOS!$H$5</f>
        <v>9</v>
      </c>
      <c r="D16" s="296">
        <f>[29]Ave.LOS!$E$5</f>
        <v>5.9413265306122449</v>
      </c>
      <c r="E16" s="296"/>
      <c r="F16" s="296">
        <f>[29]Ave.LOS!$D$5</f>
        <v>2.12</v>
      </c>
      <c r="G16" s="296"/>
      <c r="H16" s="296">
        <f>[29]Ave.LOS!$C$5</f>
        <v>6.5</v>
      </c>
      <c r="I16" s="296"/>
      <c r="J16" s="296">
        <f>[29]Ave.LOS!$F$5</f>
        <v>2.9007936507936507</v>
      </c>
      <c r="K16" s="296"/>
      <c r="L16" s="538">
        <f>[29]Ave.LOS!$G$5</f>
        <v>5.2409326424870466</v>
      </c>
      <c r="M16" s="296"/>
      <c r="N16" s="396">
        <f>[29]Ave.LOS!$B$5</f>
        <v>5.2838421373154905</v>
      </c>
    </row>
    <row r="17" spans="1:14" hidden="1">
      <c r="A17" s="62"/>
      <c r="B17" s="535" t="s">
        <v>4</v>
      </c>
      <c r="C17" s="304">
        <f>[29]Ave.LOS!$H$6</f>
        <v>3.652173913043478</v>
      </c>
      <c r="D17" s="296">
        <f>[29]Ave.LOS!$E$6</f>
        <v>6.0095238095238095</v>
      </c>
      <c r="E17" s="296"/>
      <c r="F17" s="296">
        <f>[29]Ave.LOS!$D$6</f>
        <v>6.12</v>
      </c>
      <c r="G17" s="296"/>
      <c r="H17" s="296">
        <f>[29]Ave.LOS!$C$6</f>
        <v>9.5180722891566258</v>
      </c>
      <c r="I17" s="296"/>
      <c r="J17" s="296">
        <f>[29]Ave.LOS!$F$6</f>
        <v>9.945525291828794</v>
      </c>
      <c r="K17" s="296"/>
      <c r="L17" s="538">
        <f>[29]Ave.LOS!$G$6</f>
        <v>4.1538461538461542</v>
      </c>
      <c r="M17" s="296"/>
      <c r="N17" s="396">
        <f>[29]Ave.LOS!$B$6</f>
        <v>6.5665235762331422</v>
      </c>
    </row>
    <row r="18" spans="1:14" hidden="1">
      <c r="A18" s="62"/>
      <c r="B18" s="535" t="s">
        <v>30</v>
      </c>
      <c r="C18" s="304">
        <f>[29]Ave.LOS!$H$7</f>
        <v>6.290322580645161</v>
      </c>
      <c r="D18" s="296">
        <f>[29]Ave.LOS!$E$7</f>
        <v>5.576631259484067</v>
      </c>
      <c r="E18" s="296"/>
      <c r="F18" s="296">
        <f>[29]Ave.LOS!$D$7</f>
        <v>4.9148936170212769</v>
      </c>
      <c r="G18" s="296"/>
      <c r="H18" s="296">
        <f>[29]Ave.LOS!$C$7</f>
        <v>5.2111801242236027</v>
      </c>
      <c r="I18" s="296"/>
      <c r="J18" s="296">
        <f>[29]Ave.LOS!$F$7</f>
        <v>2.5811209439528024</v>
      </c>
      <c r="K18" s="296"/>
      <c r="L18" s="538">
        <f>[29]Ave.LOS!$G$7</f>
        <v>3.9841269841269842</v>
      </c>
      <c r="M18" s="296"/>
      <c r="N18" s="397">
        <f>[29]Ave.LOS!$B$7</f>
        <v>4.759712584908983</v>
      </c>
    </row>
    <row r="19" spans="1:14" hidden="1">
      <c r="A19" s="62"/>
      <c r="B19" s="535" t="s">
        <v>36</v>
      </c>
      <c r="C19" s="304">
        <f>[29]Ave.LOS!$H$8</f>
        <v>4.6842105263157894</v>
      </c>
      <c r="D19" s="296">
        <f>[29]Ave.LOS!$E$8</f>
        <v>6.2836970474967906</v>
      </c>
      <c r="E19" s="296"/>
      <c r="F19" s="296">
        <f>[29]Ave.LOS!$D$8</f>
        <v>13.507692307692308</v>
      </c>
      <c r="G19" s="296"/>
      <c r="H19" s="296">
        <f>[29]Ave.LOS!$C$8</f>
        <v>6.0647058823529409</v>
      </c>
      <c r="I19" s="296"/>
      <c r="J19" s="296">
        <f>[29]Ave.LOS!$F$8</f>
        <v>3.9605263157894739</v>
      </c>
      <c r="K19" s="296"/>
      <c r="L19" s="538">
        <f>[29]Ave.LOS!$G$8</f>
        <v>3.4182344428364688</v>
      </c>
      <c r="M19" s="296"/>
      <c r="N19" s="397">
        <f>[29]Ave.LOS!$B$8</f>
        <v>6.3198444204139621</v>
      </c>
    </row>
    <row r="20" spans="1:14" ht="12" hidden="1" customHeight="1">
      <c r="A20" s="62"/>
      <c r="B20" s="535" t="s">
        <v>37</v>
      </c>
      <c r="C20" s="305">
        <f>[29]Ave.LOS!$H$9</f>
        <v>10.98076923076923</v>
      </c>
      <c r="D20" s="297">
        <f>[29]Ave.LOS!$E$9</f>
        <v>8.7490144546649145</v>
      </c>
      <c r="E20" s="297"/>
      <c r="F20" s="297">
        <f>[29]Ave.LOS!$D$9</f>
        <v>18.138888888888889</v>
      </c>
      <c r="G20" s="297"/>
      <c r="H20" s="297">
        <f>[29]Ave.LOS!$C$9</f>
        <v>9.87843137254902</v>
      </c>
      <c r="I20" s="297"/>
      <c r="J20" s="297">
        <f>[29]Ave.LOS!$F$9</f>
        <v>3.1857585139318885</v>
      </c>
      <c r="K20" s="297"/>
      <c r="L20" s="533">
        <f>[29]Ave.LOS!$G$9</f>
        <v>4.5897435897435894</v>
      </c>
      <c r="M20" s="297"/>
      <c r="N20" s="398">
        <f>[29]Ave.LOS!$B$9</f>
        <v>9.2537676750912556</v>
      </c>
    </row>
    <row r="21" spans="1:14" hidden="1">
      <c r="A21" s="62"/>
      <c r="B21" s="535" t="s">
        <v>31</v>
      </c>
      <c r="C21" s="305">
        <f>[29]Ave.LOS!$H$10</f>
        <v>6.8965517241379306</v>
      </c>
      <c r="D21" s="297">
        <f>[29]Ave.LOS!$E$10</f>
        <v>6.3340206185567007</v>
      </c>
      <c r="E21" s="297"/>
      <c r="F21" s="297">
        <f>[29]Ave.LOS!$D$10</f>
        <v>19.263157894736842</v>
      </c>
      <c r="G21" s="297"/>
      <c r="H21" s="297">
        <f>[29]Ave.LOS!$C$10</f>
        <v>9.2959999999999994</v>
      </c>
      <c r="I21" s="297"/>
      <c r="J21" s="297">
        <f>[29]Ave.LOS!$F$10</f>
        <v>4.3358490566037737</v>
      </c>
      <c r="K21" s="297"/>
      <c r="L21" s="533">
        <f>[29]Ave.LOS!$G$10</f>
        <v>3.2732919254658386</v>
      </c>
      <c r="M21" s="297"/>
      <c r="N21" s="399">
        <f>[29]Ave.LOS!$B$10</f>
        <v>8.2331452032501815</v>
      </c>
    </row>
    <row r="22" spans="1:14" hidden="1">
      <c r="A22" s="11"/>
      <c r="B22" s="75" t="s">
        <v>38</v>
      </c>
      <c r="C22" s="306">
        <f>[30]Ave.LOS!$I$11</f>
        <v>7.2962962962962967</v>
      </c>
      <c r="D22" s="298">
        <f>[30]Ave.LOS!$F$11</f>
        <v>5.853424657534247</v>
      </c>
      <c r="E22" s="298"/>
      <c r="F22" s="298">
        <f>[30]Ave.LOS!$E$11</f>
        <v>4.9821428571428568</v>
      </c>
      <c r="G22" s="298"/>
      <c r="H22" s="298">
        <f>[30]Ave.LOS!$D$11</f>
        <v>6.3299492385786804</v>
      </c>
      <c r="I22" s="298"/>
      <c r="J22" s="298">
        <f>[30]Ave.LOS!$G$11</f>
        <v>4.5463917525773194</v>
      </c>
      <c r="K22" s="298"/>
      <c r="L22" s="539">
        <f>[30]Ave.LOS!$H$11</f>
        <v>2.8961937716262978</v>
      </c>
      <c r="M22" s="298"/>
      <c r="N22" s="399">
        <f>AVERAGE(C22:L22)</f>
        <v>5.3173997622926157</v>
      </c>
    </row>
    <row r="23" spans="1:14" hidden="1">
      <c r="A23" s="11"/>
      <c r="B23" s="506" t="s">
        <v>39</v>
      </c>
      <c r="C23" s="305">
        <f>[30]Ave.LOS!$I$12</f>
        <v>11.466666666666667</v>
      </c>
      <c r="D23" s="297">
        <f>[30]Ave.LOS!$F$12</f>
        <v>6.3270440251572326</v>
      </c>
      <c r="E23" s="297"/>
      <c r="F23" s="297">
        <f>[30]Ave.LOS!$E$12</f>
        <v>12.380952380952381</v>
      </c>
      <c r="G23" s="297"/>
      <c r="H23" s="297">
        <f>[30]Ave.LOS!$D$12</f>
        <v>7.5735294117647056</v>
      </c>
      <c r="I23" s="297"/>
      <c r="J23" s="297">
        <f>[30]Ave.LOS!$G$12</f>
        <v>4.1487603305785123</v>
      </c>
      <c r="K23" s="297"/>
      <c r="L23" s="533">
        <f>[30]Ave.LOS!$H$12</f>
        <v>3.976923076923077</v>
      </c>
      <c r="M23" s="297"/>
      <c r="N23" s="399">
        <f>AVERAGE(C23:L23)</f>
        <v>7.6456459820070961</v>
      </c>
    </row>
    <row r="24" spans="1:14" hidden="1">
      <c r="A24" s="68"/>
      <c r="B24" s="75" t="s">
        <v>32</v>
      </c>
      <c r="C24" s="305">
        <f>[30]Ave.LOS!$I$13</f>
        <v>6.5333333333333332</v>
      </c>
      <c r="D24" s="297">
        <f>[30]Ave.LOS!$F$13</f>
        <v>9.7356020942408374</v>
      </c>
      <c r="E24" s="297"/>
      <c r="F24" s="297">
        <f>[30]Ave.LOS!$E$13</f>
        <v>5.2631578947368425</v>
      </c>
      <c r="G24" s="297"/>
      <c r="H24" s="297">
        <f>[30]Ave.LOS!$D$13</f>
        <v>6.5901639344262293</v>
      </c>
      <c r="I24" s="297"/>
      <c r="J24" s="297">
        <f>[30]Ave.LOS!$G$13</f>
        <v>3.9271523178807946</v>
      </c>
      <c r="K24" s="297"/>
      <c r="L24" s="533">
        <f>[30]Ave.LOS!$H$13</f>
        <v>4.9247910863509752</v>
      </c>
      <c r="M24" s="297"/>
      <c r="N24" s="399">
        <f>AVERAGE(C24:L24)</f>
        <v>6.1623667768281694</v>
      </c>
    </row>
    <row r="25" spans="1:14" hidden="1">
      <c r="A25" s="357">
        <v>2016</v>
      </c>
      <c r="B25" s="360" t="s">
        <v>228</v>
      </c>
      <c r="C25" s="305">
        <f>[30]Ave.LOS!$I$18</f>
        <v>9.3333333333333339</v>
      </c>
      <c r="D25" s="297">
        <f>[30]Ave.LOS!$F$18</f>
        <v>7.1545454545454543</v>
      </c>
      <c r="E25" s="297"/>
      <c r="F25" s="297">
        <f>[30]Ave.LOS!$E$18</f>
        <v>21.238095238095237</v>
      </c>
      <c r="G25" s="297"/>
      <c r="H25" s="297">
        <f>[30]Ave.LOS!$D$18</f>
        <v>5.2444444444444445</v>
      </c>
      <c r="I25" s="297"/>
      <c r="J25" s="297">
        <f>[30]Ave.LOS!$G$18</f>
        <v>3.8461538461538463</v>
      </c>
      <c r="K25" s="297"/>
      <c r="L25" s="533">
        <f>[30]Ave.LOS!$H$18</f>
        <v>3.6746411483253589</v>
      </c>
      <c r="M25" s="297"/>
      <c r="N25" s="398">
        <f>[30]Ave.LOS!$C$18</f>
        <v>8.4152022441496133</v>
      </c>
    </row>
    <row r="26" spans="1:14" hidden="1">
      <c r="A26" s="358"/>
      <c r="B26" s="360" t="s">
        <v>34</v>
      </c>
      <c r="C26" s="305">
        <f>[30]Ave.LOS!$I$19</f>
        <v>7.7647058823529411</v>
      </c>
      <c r="D26" s="297">
        <f>[30]Ave.LOS!$F$19</f>
        <v>8.1937321937321936</v>
      </c>
      <c r="E26" s="297"/>
      <c r="F26" s="297">
        <f>[30]Ave.LOS!$E$19</f>
        <v>15.2</v>
      </c>
      <c r="G26" s="297"/>
      <c r="H26" s="297">
        <f>[30]Ave.LOS!$D$19</f>
        <v>8.7878787878787872</v>
      </c>
      <c r="I26" s="297"/>
      <c r="J26" s="297">
        <f>[30]Ave.LOS!$G$19</f>
        <v>4.2012987012987013</v>
      </c>
      <c r="K26" s="297"/>
      <c r="L26" s="533">
        <f>[30]Ave.LOS!$H$19</f>
        <v>3.4272445820433437</v>
      </c>
      <c r="M26" s="297"/>
      <c r="N26" s="398">
        <f>[30]Ave.LOS!$C$19</f>
        <v>7.9291433578843282</v>
      </c>
    </row>
    <row r="27" spans="1:14" ht="12" hidden="1" customHeight="1">
      <c r="A27" s="358"/>
      <c r="B27" s="360" t="s">
        <v>29</v>
      </c>
      <c r="C27" s="305">
        <f>[30]Ave.LOS!$I$20</f>
        <v>10.333333333333334</v>
      </c>
      <c r="D27" s="297">
        <f>[30]Ave.LOS!$F$20</f>
        <v>4.9609375</v>
      </c>
      <c r="E27" s="297"/>
      <c r="F27" s="297">
        <f>[30]Ave.LOS!$E$20</f>
        <v>4.416666666666667</v>
      </c>
      <c r="G27" s="297"/>
      <c r="H27" s="297">
        <f>[30]Ave.LOS!$D$20</f>
        <v>2.875</v>
      </c>
      <c r="I27" s="297"/>
      <c r="J27" s="297">
        <f>[30]Ave.LOS!$G$20</f>
        <v>4.5542168674698793</v>
      </c>
      <c r="K27" s="297"/>
      <c r="L27" s="533">
        <f>[30]Ave.LOS!$H$20</f>
        <v>3.8118811881188117</v>
      </c>
      <c r="M27" s="297"/>
      <c r="N27" s="398">
        <f>[30]Ave.LOS!$C$20</f>
        <v>5.1586725925981156</v>
      </c>
    </row>
    <row r="28" spans="1:14" ht="14.25" hidden="1" customHeight="1">
      <c r="A28" s="358"/>
      <c r="B28" s="360" t="s">
        <v>35</v>
      </c>
      <c r="C28" s="305">
        <f>[30]Ave.LOS!$I$23</f>
        <v>4.0869565217391308</v>
      </c>
      <c r="D28" s="297">
        <f>[30]Ave.LOS!$F$23</f>
        <v>7.150918635170604</v>
      </c>
      <c r="E28" s="297"/>
      <c r="F28" s="297">
        <f>[30]Ave.LOS!$E$23</f>
        <v>3.1959459459459461</v>
      </c>
      <c r="G28" s="297"/>
      <c r="H28" s="297">
        <f>[30]Ave.LOS!$D$23</f>
        <v>6.2047619047619049</v>
      </c>
      <c r="I28" s="297"/>
      <c r="J28" s="297">
        <f>[30]Ave.LOS!$G$23</f>
        <v>3.7236842105263159</v>
      </c>
      <c r="K28" s="297"/>
      <c r="L28" s="533">
        <f>[30]Ave.LOS!$H$23</f>
        <v>4.1887755102040813</v>
      </c>
      <c r="M28" s="297"/>
      <c r="N28" s="398">
        <f>[30]Ave.LOS!$C$23</f>
        <v>4.7585071213913297</v>
      </c>
    </row>
    <row r="29" spans="1:14" ht="14.25" hidden="1" customHeight="1">
      <c r="A29" s="358"/>
      <c r="B29" s="360" t="s">
        <v>4</v>
      </c>
      <c r="C29" s="305">
        <f>[30]Ave.LOS!$I$24</f>
        <v>4.9259259259259256</v>
      </c>
      <c r="D29" s="297">
        <f>[30]Ave.LOS!$F$24</f>
        <v>5.847433116413594</v>
      </c>
      <c r="E29" s="297"/>
      <c r="F29" s="297">
        <f>[30]Ave.LOS!$E$24</f>
        <v>5.5</v>
      </c>
      <c r="G29" s="297"/>
      <c r="H29" s="297">
        <f>[30]Ave.LOS!$D$24</f>
        <v>6.42914979757085</v>
      </c>
      <c r="I29" s="297"/>
      <c r="J29" s="297">
        <f>[30]Ave.LOS!$G$24</f>
        <v>2.7588325652841781</v>
      </c>
      <c r="K29" s="297"/>
      <c r="L29" s="533">
        <f>[30]Ave.LOS!$H$24</f>
        <v>3.9332797427652735</v>
      </c>
      <c r="M29" s="297"/>
      <c r="N29" s="398">
        <f>[30]Ave.LOS!$C$24</f>
        <v>4.8991035246599699</v>
      </c>
    </row>
    <row r="30" spans="1:14" ht="14.25" hidden="1" customHeight="1">
      <c r="A30" s="358"/>
      <c r="B30" s="360" t="s">
        <v>30</v>
      </c>
      <c r="C30" s="305">
        <f>[30]Ave.LOS!$I$23</f>
        <v>4.0869565217391308</v>
      </c>
      <c r="D30" s="297">
        <f>[30]Ave.LOS!$F$23</f>
        <v>7.150918635170604</v>
      </c>
      <c r="E30" s="297"/>
      <c r="F30" s="297">
        <f>[30]Ave.LOS!$E$23</f>
        <v>3.1959459459459461</v>
      </c>
      <c r="G30" s="297"/>
      <c r="H30" s="297">
        <f>[30]Ave.LOS!$D$23</f>
        <v>6.2047619047619049</v>
      </c>
      <c r="I30" s="297"/>
      <c r="J30" s="297">
        <f>[30]Ave.LOS!$G$23</f>
        <v>3.7236842105263159</v>
      </c>
      <c r="K30" s="297"/>
      <c r="L30" s="533">
        <f>[30]Ave.LOS!$H$23</f>
        <v>4.1887755102040813</v>
      </c>
      <c r="M30" s="297"/>
      <c r="N30" s="398">
        <f>[30]Ave.LOS!$C$23</f>
        <v>4.7585071213913297</v>
      </c>
    </row>
    <row r="31" spans="1:14" ht="14.25" hidden="1" customHeight="1">
      <c r="A31" s="358"/>
      <c r="B31" s="360" t="s">
        <v>36</v>
      </c>
      <c r="C31" s="305">
        <f>[30]Ave.LOS!$I$24</f>
        <v>4.9259259259259256</v>
      </c>
      <c r="D31" s="297">
        <f>[30]Ave.LOS!$F$24</f>
        <v>5.847433116413594</v>
      </c>
      <c r="E31" s="297"/>
      <c r="F31" s="297">
        <f>[30]Ave.LOS!$E$24</f>
        <v>5.5</v>
      </c>
      <c r="G31" s="297"/>
      <c r="H31" s="297">
        <f>[30]Ave.LOS!$D$24</f>
        <v>6.42914979757085</v>
      </c>
      <c r="I31" s="297"/>
      <c r="J31" s="297">
        <f>[30]Ave.LOS!$G$24</f>
        <v>2.7588325652841781</v>
      </c>
      <c r="K31" s="297"/>
      <c r="L31" s="533">
        <f>[30]Ave.LOS!$H$24</f>
        <v>3.9332797427652735</v>
      </c>
      <c r="M31" s="297"/>
      <c r="N31" s="398">
        <f>[30]Ave.LOS!$C$24</f>
        <v>4.8991035246599699</v>
      </c>
    </row>
    <row r="32" spans="1:14" ht="14.25" hidden="1" customHeight="1">
      <c r="A32" s="358"/>
      <c r="B32" s="360" t="s">
        <v>37</v>
      </c>
      <c r="C32" s="305">
        <v>4.2</v>
      </c>
      <c r="D32" s="297">
        <v>7.5</v>
      </c>
      <c r="E32" s="297"/>
      <c r="F32" s="297">
        <v>6.4</v>
      </c>
      <c r="G32" s="297"/>
      <c r="H32" s="297">
        <v>10.1</v>
      </c>
      <c r="I32" s="297"/>
      <c r="J32" s="297">
        <v>4.3</v>
      </c>
      <c r="K32" s="297"/>
      <c r="L32" s="533">
        <v>4.2</v>
      </c>
      <c r="M32" s="297"/>
      <c r="N32" s="398">
        <v>4.2</v>
      </c>
    </row>
    <row r="33" spans="1:14" ht="14.25" hidden="1" customHeight="1">
      <c r="A33" s="358"/>
      <c r="B33" s="360" t="s">
        <v>31</v>
      </c>
      <c r="C33" s="305">
        <v>4.2</v>
      </c>
      <c r="D33" s="297">
        <v>7.4</v>
      </c>
      <c r="E33" s="297"/>
      <c r="F33" s="297">
        <v>5</v>
      </c>
      <c r="G33" s="297"/>
      <c r="H33" s="297">
        <v>5.9</v>
      </c>
      <c r="I33" s="297"/>
      <c r="J33" s="297">
        <v>4</v>
      </c>
      <c r="K33" s="297"/>
      <c r="L33" s="533">
        <v>4</v>
      </c>
      <c r="M33" s="297"/>
      <c r="N33" s="398">
        <v>5.0999999999999996</v>
      </c>
    </row>
    <row r="34" spans="1:14" ht="14.25" hidden="1" customHeight="1">
      <c r="A34" s="358"/>
      <c r="B34" s="360" t="s">
        <v>38</v>
      </c>
      <c r="C34" s="305">
        <v>4.2</v>
      </c>
      <c r="D34" s="297">
        <v>16.100000000000001</v>
      </c>
      <c r="E34" s="297"/>
      <c r="F34" s="297">
        <v>9.3699999999999992</v>
      </c>
      <c r="G34" s="297"/>
      <c r="H34" s="297">
        <v>5.96</v>
      </c>
      <c r="I34" s="297"/>
      <c r="J34" s="297">
        <v>5.38</v>
      </c>
      <c r="K34" s="297"/>
      <c r="L34" s="533">
        <v>3.42</v>
      </c>
      <c r="M34" s="297"/>
      <c r="N34" s="398">
        <v>7.46</v>
      </c>
    </row>
    <row r="35" spans="1:14" ht="14.25" hidden="1" customHeight="1">
      <c r="A35" s="358"/>
      <c r="B35" s="360" t="s">
        <v>39</v>
      </c>
      <c r="C35" s="305">
        <f>[30]Ave.LOS!$I$29</f>
        <v>4.4400000000000004</v>
      </c>
      <c r="D35" s="297">
        <f>[30]Ave.LOS!$F$29</f>
        <v>6.18</v>
      </c>
      <c r="E35" s="297"/>
      <c r="F35" s="297">
        <f>[30]Ave.LOS!$E$29</f>
        <v>8.32</v>
      </c>
      <c r="G35" s="297"/>
      <c r="H35" s="297">
        <f>[30]Ave.LOS!$D$29</f>
        <v>7.75</v>
      </c>
      <c r="I35" s="297"/>
      <c r="J35" s="297">
        <f>[30]Ave.LOS!$G$29</f>
        <v>3.94</v>
      </c>
      <c r="K35" s="297"/>
      <c r="L35" s="533">
        <f>[30]Ave.LOS!$H$29</f>
        <v>4.16</v>
      </c>
      <c r="M35" s="297"/>
      <c r="N35" s="398">
        <f>[30]Ave.LOS!$C$29</f>
        <v>5.8</v>
      </c>
    </row>
    <row r="36" spans="1:14" ht="14.25" hidden="1" customHeight="1">
      <c r="A36" s="358"/>
      <c r="B36" s="360" t="s">
        <v>32</v>
      </c>
      <c r="C36" s="305">
        <v>10.5</v>
      </c>
      <c r="D36" s="297">
        <v>8.1</v>
      </c>
      <c r="E36" s="297"/>
      <c r="F36" s="297">
        <v>4.4000000000000004</v>
      </c>
      <c r="G36" s="297"/>
      <c r="H36" s="297">
        <v>4.5999999999999996</v>
      </c>
      <c r="I36" s="297"/>
      <c r="J36" s="297">
        <v>3.7</v>
      </c>
      <c r="K36" s="297"/>
      <c r="L36" s="533">
        <v>3.3</v>
      </c>
      <c r="M36" s="297"/>
      <c r="N36" s="398">
        <v>5.8</v>
      </c>
    </row>
    <row r="37" spans="1:14" ht="14.25" hidden="1" customHeight="1">
      <c r="A37" s="357">
        <v>2017</v>
      </c>
      <c r="B37" s="360" t="s">
        <v>33</v>
      </c>
      <c r="C37" s="305">
        <v>4.4400000000000004</v>
      </c>
      <c r="D37" s="297">
        <v>6.18</v>
      </c>
      <c r="E37" s="297"/>
      <c r="F37" s="297">
        <v>8.32</v>
      </c>
      <c r="G37" s="297"/>
      <c r="H37" s="297">
        <v>7.75</v>
      </c>
      <c r="I37" s="297"/>
      <c r="J37" s="297">
        <v>3.39</v>
      </c>
      <c r="K37" s="297"/>
      <c r="L37" s="533">
        <v>4.16</v>
      </c>
      <c r="M37" s="297"/>
      <c r="N37" s="398">
        <v>8.68</v>
      </c>
    </row>
    <row r="38" spans="1:14" ht="14.25" hidden="1" customHeight="1">
      <c r="A38" s="359"/>
      <c r="B38" s="360" t="s">
        <v>34</v>
      </c>
      <c r="C38" s="305">
        <f>[30]Ave.LOS!$I$33</f>
        <v>6.975609756097561</v>
      </c>
      <c r="D38" s="297">
        <f>[30]Ave.LOS!$F$33</f>
        <v>7.5341614906832302</v>
      </c>
      <c r="E38" s="297"/>
      <c r="F38" s="297">
        <f>[30]Ave.LOS!$E$33</f>
        <v>9.8333333333333339</v>
      </c>
      <c r="G38" s="297"/>
      <c r="H38" s="297">
        <f>[30]Ave.LOS!$D$33</f>
        <v>7.967741935483871</v>
      </c>
      <c r="I38" s="297"/>
      <c r="J38" s="297">
        <f>[30]Ave.LOS!$G$33</f>
        <v>7.4923076923076923</v>
      </c>
      <c r="K38" s="297"/>
      <c r="L38" s="533">
        <f>[30]Ave.LOS!$H$33</f>
        <v>3.6629213483146068</v>
      </c>
      <c r="M38" s="297"/>
      <c r="N38" s="398">
        <f>[30]Ave.LOS!$C$33</f>
        <v>5.7333333333333334</v>
      </c>
    </row>
    <row r="39" spans="1:14" ht="14.25" hidden="1" customHeight="1">
      <c r="A39" s="359">
        <v>2017</v>
      </c>
      <c r="B39" s="360" t="s">
        <v>29</v>
      </c>
      <c r="C39" s="305">
        <f>[30]Ave.LOS!$I$35</f>
        <v>4.6428571428571432</v>
      </c>
      <c r="D39" s="297">
        <f>[30]Ave.LOS!$F$35</f>
        <v>7.1542857142857139</v>
      </c>
      <c r="E39" s="297"/>
      <c r="F39" s="297">
        <f>[30]Ave.LOS!$E$35</f>
        <v>5.4285714285714288</v>
      </c>
      <c r="G39" s="297"/>
      <c r="H39" s="297">
        <f>[30]Ave.LOS!$D$35</f>
        <v>6.9444444444444446</v>
      </c>
      <c r="I39" s="297"/>
      <c r="J39" s="297">
        <f>[30]Ave.LOS!$G$35</f>
        <v>3.8453608247422681</v>
      </c>
      <c r="K39" s="297"/>
      <c r="L39" s="533">
        <f>[30]Ave.LOS!$H$35</f>
        <v>3.6869369369369371</v>
      </c>
      <c r="M39" s="297"/>
      <c r="N39" s="398">
        <f>[30]Ave.LOS!$C$35</f>
        <v>5.2837427486396562</v>
      </c>
    </row>
    <row r="40" spans="1:14" ht="14.25" hidden="1" customHeight="1">
      <c r="A40" s="359"/>
      <c r="B40" s="360" t="s">
        <v>35</v>
      </c>
      <c r="C40" s="305">
        <f>[30]Ave.LOS!$I$36</f>
        <v>5.3061224489795915</v>
      </c>
      <c r="D40" s="297">
        <f>[30]Ave.LOS!$F$36</f>
        <v>7.0538461538461537</v>
      </c>
      <c r="E40" s="297"/>
      <c r="F40" s="297">
        <f>[30]Ave.LOS!$E$36</f>
        <v>5.90625</v>
      </c>
      <c r="G40" s="297"/>
      <c r="H40" s="297">
        <f>[30]Ave.LOS!$D$36</f>
        <v>14.245762711864407</v>
      </c>
      <c r="I40" s="297"/>
      <c r="J40" s="297">
        <f>[30]Ave.LOS!$G$36</f>
        <v>6.2850000000000001</v>
      </c>
      <c r="K40" s="297"/>
      <c r="L40" s="533">
        <f>[30]Ave.LOS!$H$36</f>
        <v>3.6205191594561188</v>
      </c>
      <c r="M40" s="297"/>
      <c r="N40" s="398">
        <f>[30]Ave.LOS!$C$36</f>
        <v>7.0695834123577121</v>
      </c>
    </row>
    <row r="41" spans="1:14" ht="14.25" hidden="1" customHeight="1">
      <c r="A41" s="359"/>
      <c r="B41" s="360" t="s">
        <v>4</v>
      </c>
      <c r="C41" s="305">
        <f>[30]Ave.LOS!$I$37</f>
        <v>4.9000000000000004</v>
      </c>
      <c r="D41" s="297">
        <f>[30]Ave.LOS!$F$37</f>
        <v>6.1388478581979324</v>
      </c>
      <c r="E41" s="297"/>
      <c r="F41" s="297">
        <f>[30]Ave.LOS!$E$37</f>
        <v>3.1139240506329116</v>
      </c>
      <c r="G41" s="297"/>
      <c r="H41" s="297">
        <f>[30]Ave.LOS!$D$37</f>
        <v>8.045045045045045</v>
      </c>
      <c r="I41" s="297"/>
      <c r="J41" s="297">
        <f>[30]Ave.LOS!$G$37</f>
        <v>4.0170454545454541</v>
      </c>
      <c r="K41" s="297"/>
      <c r="L41" s="533">
        <f>[30]Ave.LOS!$H$37</f>
        <v>3.6103723404255321</v>
      </c>
      <c r="M41" s="297"/>
      <c r="N41" s="398">
        <f>[30]Ave.LOS!$C$37</f>
        <v>4.9708724581411454</v>
      </c>
    </row>
    <row r="42" spans="1:14" ht="14.25" hidden="1" customHeight="1">
      <c r="A42" s="359"/>
      <c r="B42" s="360" t="s">
        <v>30</v>
      </c>
      <c r="C42" s="305">
        <f>[30]Ave.LOS!$I$38</f>
        <v>7.4204545454545459</v>
      </c>
      <c r="D42" s="297">
        <f>[32]Ave.LOS!$F$36</f>
        <v>7.15</v>
      </c>
      <c r="E42" s="297"/>
      <c r="F42" s="297">
        <f>[32]Ave.LOS!$E$36</f>
        <v>3.98</v>
      </c>
      <c r="G42" s="297"/>
      <c r="H42" s="297">
        <f>[32]Ave.LOS!$D$36</f>
        <v>9.36</v>
      </c>
      <c r="I42" s="297"/>
      <c r="J42" s="297">
        <f>[32]Ave.LOS!$G$36</f>
        <v>5.7</v>
      </c>
      <c r="K42" s="297"/>
      <c r="L42" s="533">
        <f>[32]Ave.LOS!$H$36</f>
        <v>2.76</v>
      </c>
      <c r="M42" s="297"/>
      <c r="N42" s="398">
        <f>[30]Ave.LOS!$C$38</f>
        <v>6.1391579811500137</v>
      </c>
    </row>
    <row r="43" spans="1:14" ht="14.25" hidden="1" customHeight="1">
      <c r="A43" s="359"/>
      <c r="B43" s="360" t="s">
        <v>36</v>
      </c>
      <c r="C43" s="305">
        <f>[32]Ave.LOS!$I$37</f>
        <v>5.3873873873873874</v>
      </c>
      <c r="D43" s="297">
        <f>[32]Ave.LOS!$F$37</f>
        <v>6.2817379497623893</v>
      </c>
      <c r="E43" s="297"/>
      <c r="F43" s="297">
        <f>[32]Ave.LOS!$E$37</f>
        <v>6.0784313725490193</v>
      </c>
      <c r="G43" s="297"/>
      <c r="H43" s="297">
        <f>[32]Ave.LOS!$D$37</f>
        <v>6.1701244813278011</v>
      </c>
      <c r="I43" s="297"/>
      <c r="J43" s="297">
        <f>[32]Ave.LOS!$G$37</f>
        <v>4.8990654205607473</v>
      </c>
      <c r="K43" s="297"/>
      <c r="L43" s="533">
        <f>[32]Ave.LOS!$H$37</f>
        <v>3.1874172185430463</v>
      </c>
      <c r="M43" s="297"/>
      <c r="N43" s="398">
        <f>[30]Ave.LOS!$I$39</f>
        <v>5.3873873873873874</v>
      </c>
    </row>
    <row r="44" spans="1:14" ht="14.25" hidden="1" customHeight="1">
      <c r="A44" s="359"/>
      <c r="B44" s="360" t="s">
        <v>37</v>
      </c>
      <c r="C44" s="305">
        <f>[30]Ave.LOS!$I$40</f>
        <v>8.0204081632653068</v>
      </c>
      <c r="D44" s="297">
        <f>[33]Ave.LOS!$F$40</f>
        <v>6.34</v>
      </c>
      <c r="E44" s="297"/>
      <c r="F44" s="297">
        <f>[33]Ave.LOS!$E$40</f>
        <v>4.5999999999999996</v>
      </c>
      <c r="G44" s="297"/>
      <c r="H44" s="297">
        <f>[33]Ave.LOS!$D$40</f>
        <v>6.56</v>
      </c>
      <c r="I44" s="297"/>
      <c r="J44" s="297">
        <f>[33]Ave.LOS!$G$40</f>
        <v>5.52</v>
      </c>
      <c r="K44" s="297"/>
      <c r="L44" s="533">
        <f>[33]Ave.LOS!$H$40</f>
        <v>3.3</v>
      </c>
      <c r="M44" s="297"/>
      <c r="N44" s="398">
        <f>[33]Ave.LOS!$C$40</f>
        <v>5.72</v>
      </c>
    </row>
    <row r="45" spans="1:14" ht="14.25" hidden="1" customHeight="1">
      <c r="A45" s="359"/>
      <c r="B45" s="360" t="s">
        <v>31</v>
      </c>
      <c r="C45" s="305">
        <f>[30]Ave.LOS!$I$41</f>
        <v>4.4074074074074074</v>
      </c>
      <c r="D45" s="297">
        <f>[30]Ave.LOS!$F$41</f>
        <v>7.1679306608884072</v>
      </c>
      <c r="E45" s="297"/>
      <c r="F45" s="297">
        <f>[30]Ave.LOS!$E$41</f>
        <v>4.8878504672897201</v>
      </c>
      <c r="G45" s="297"/>
      <c r="H45" s="297">
        <f>[30]Ave.LOS!$D$41</f>
        <v>3.989795918367347</v>
      </c>
      <c r="I45" s="297"/>
      <c r="J45" s="297">
        <f>[30]Ave.LOS!$G$41</f>
        <v>4.1291512915129154</v>
      </c>
      <c r="K45" s="297"/>
      <c r="L45" s="533">
        <f>[33]Ave.LOS!$H$41</f>
        <v>3.0162810625535563</v>
      </c>
      <c r="M45" s="297"/>
      <c r="N45" s="398">
        <f>[30]Ave.LOS!$C$41</f>
        <v>4.6044526941743698</v>
      </c>
    </row>
    <row r="46" spans="1:14" ht="14.25" hidden="1" customHeight="1">
      <c r="A46" s="359"/>
      <c r="B46" s="360" t="s">
        <v>38</v>
      </c>
      <c r="C46" s="305">
        <f>[30]Ave.LOS!$I$42</f>
        <v>7.4864864864864868</v>
      </c>
      <c r="D46" s="297">
        <f>[30]Ave.LOS!$F$42</f>
        <v>5.1048728813559325</v>
      </c>
      <c r="E46" s="297"/>
      <c r="F46" s="297">
        <f>[30]Ave.LOS!$E$42</f>
        <v>4.3478260869565215</v>
      </c>
      <c r="G46" s="297"/>
      <c r="H46" s="297">
        <f>[30]Ave.LOS!$D$42</f>
        <v>4.2190812720848054</v>
      </c>
      <c r="I46" s="297"/>
      <c r="J46" s="297">
        <f>[30]Ave.LOS!$G$42</f>
        <v>5.1978798586572434</v>
      </c>
      <c r="K46" s="297"/>
      <c r="L46" s="533">
        <f>[30]Ave.LOS!$H$42</f>
        <v>3.5834068843777582</v>
      </c>
      <c r="M46" s="297"/>
      <c r="N46" s="398">
        <f>[30]Ave.LOS!$C$42</f>
        <v>4.9899255783197916</v>
      </c>
    </row>
    <row r="47" spans="1:14" ht="14.25" hidden="1" customHeight="1">
      <c r="A47" s="359"/>
      <c r="B47" s="360" t="s">
        <v>39</v>
      </c>
      <c r="C47" s="305">
        <f>[30]Ave.LOS!$I$43</f>
        <v>3.6538461538461537</v>
      </c>
      <c r="D47" s="297">
        <f>[30]Ave.LOS!$F$43</f>
        <v>6.1428571428571432</v>
      </c>
      <c r="E47" s="297"/>
      <c r="F47" s="297">
        <f>[30]Ave.LOS!$E$43</f>
        <v>4.7826086956521738</v>
      </c>
      <c r="G47" s="297"/>
      <c r="H47" s="297">
        <f>[30]Ave.LOS!$D$43</f>
        <v>6.2413793103448274</v>
      </c>
      <c r="I47" s="297"/>
      <c r="J47" s="297">
        <f>[30]Ave.LOS!$G$43</f>
        <v>3.71875</v>
      </c>
      <c r="K47" s="297"/>
      <c r="L47" s="533">
        <f>[30]Ave.LOS!$H$43</f>
        <v>3.2881355932203391</v>
      </c>
      <c r="M47" s="297"/>
      <c r="N47" s="398">
        <f>[30]Ave.LOS!$C$43</f>
        <v>4.6379294826534396</v>
      </c>
    </row>
    <row r="48" spans="1:14" hidden="1">
      <c r="A48" s="359"/>
      <c r="B48" s="360" t="s">
        <v>32</v>
      </c>
      <c r="C48" s="305">
        <f>[30]Ave.LOS!$I$44</f>
        <v>12.0625</v>
      </c>
      <c r="D48" s="297">
        <f>[30]Ave.LOS!$F$44</f>
        <v>6.7426160337552741</v>
      </c>
      <c r="E48" s="297"/>
      <c r="F48" s="297">
        <f>[30]Ave.LOS!$E$44</f>
        <v>9.5892857142857135</v>
      </c>
      <c r="G48" s="297"/>
      <c r="H48" s="297">
        <f>[30]Ave.LOS!$D$44</f>
        <v>9.3464566929133852</v>
      </c>
      <c r="I48" s="297"/>
      <c r="J48" s="297">
        <f>[30]Ave.LOS!$G$44</f>
        <v>6.1008403361344534</v>
      </c>
      <c r="K48" s="297"/>
      <c r="L48" s="533">
        <f>[30]Ave.LOS!$H$44</f>
        <v>3.7938144329896906</v>
      </c>
      <c r="M48" s="297"/>
      <c r="N48" s="398">
        <f>[30]Ave.LOS!$C$44</f>
        <v>7.9392522016797535</v>
      </c>
    </row>
    <row r="49" spans="1:14">
      <c r="A49" s="357">
        <v>2018</v>
      </c>
      <c r="B49" s="360" t="s">
        <v>33</v>
      </c>
      <c r="C49" s="305">
        <f>[33]Ave.LOS!$I$49</f>
        <v>25.06451612903226</v>
      </c>
      <c r="D49" s="297">
        <f>[33]Ave.LOS!$F$49</f>
        <v>6.5809443507588536</v>
      </c>
      <c r="E49" s="297"/>
      <c r="F49" s="297">
        <f>[33]Ave.LOS!$E$49</f>
        <v>17.136363636363637</v>
      </c>
      <c r="G49" s="297"/>
      <c r="H49" s="297">
        <f>[33]Ave.LOS!$D$49</f>
        <v>7.3506493506493502</v>
      </c>
      <c r="I49" s="297"/>
      <c r="J49" s="297">
        <f>[33]Ave.LOS!$G$49</f>
        <v>3.6363636363636362</v>
      </c>
      <c r="K49" s="297"/>
      <c r="L49" s="533">
        <f>[33]Ave.LOS!$H$49</f>
        <v>3.7540394973070019</v>
      </c>
      <c r="M49" s="297"/>
      <c r="N49" s="398">
        <f>[33]Ave.LOS!$C$49</f>
        <v>10.587146100079124</v>
      </c>
    </row>
    <row r="50" spans="1:14">
      <c r="A50" s="357"/>
      <c r="B50" s="360" t="s">
        <v>34</v>
      </c>
      <c r="C50" s="305">
        <f>[33]Ave.LOS!$I$50</f>
        <v>5.7</v>
      </c>
      <c r="D50" s="297">
        <f>[33]Ave.LOS!$F$50</f>
        <v>9.5487077534791247</v>
      </c>
      <c r="E50" s="297"/>
      <c r="F50" s="297">
        <f>[33]Ave.LOS!$E$50</f>
        <v>12.424242424242424</v>
      </c>
      <c r="G50" s="297"/>
      <c r="H50" s="297">
        <f>[33]Ave.LOS!$D$50</f>
        <v>13.844155844155845</v>
      </c>
      <c r="I50" s="297"/>
      <c r="J50" s="297">
        <f>[33]Ave.LOS!$G$50</f>
        <v>3.3412698412698414</v>
      </c>
      <c r="K50" s="297"/>
      <c r="L50" s="533">
        <f>[33]Ave.LOS!$H$50</f>
        <v>3.4392678868552413</v>
      </c>
      <c r="M50" s="297"/>
      <c r="N50" s="398">
        <f>[33]Ave.LOS!$C$50</f>
        <v>8.0496072916670798</v>
      </c>
    </row>
    <row r="51" spans="1:14">
      <c r="A51" s="357"/>
      <c r="B51" s="360" t="s">
        <v>29</v>
      </c>
      <c r="C51" s="305">
        <f>[33]Ave.LOS!$I$51</f>
        <v>1.8666666666666667</v>
      </c>
      <c r="D51" s="297">
        <f>[33]Ave.LOS!$F$51</f>
        <v>7.5835140997830806</v>
      </c>
      <c r="E51" s="297"/>
      <c r="F51" s="297">
        <f>[33]Ave.LOS!$E$51</f>
        <v>5.71875</v>
      </c>
      <c r="G51" s="297"/>
      <c r="H51" s="297">
        <f>[33]Ave.LOS!$D$51</f>
        <v>5.333333333333333</v>
      </c>
      <c r="I51" s="297"/>
      <c r="J51" s="297">
        <f>[33]Ave.LOS!$G$51</f>
        <v>13.279069767441861</v>
      </c>
      <c r="K51" s="297"/>
      <c r="L51" s="533">
        <f>[33]Ave.LOS!$H$51</f>
        <v>4.3788235294117648</v>
      </c>
      <c r="M51" s="297"/>
      <c r="N51" s="398">
        <f>[33]Ave.LOS!$C$51</f>
        <v>6.3600262327727846</v>
      </c>
    </row>
    <row r="52" spans="1:14">
      <c r="A52" s="357"/>
      <c r="B52" s="360" t="s">
        <v>35</v>
      </c>
      <c r="C52" s="305">
        <f>[33]Ave.LOS!$I$52</f>
        <v>13.227272727272727</v>
      </c>
      <c r="D52" s="297">
        <f>[33]Ave.LOS!$F$52</f>
        <v>6.2655440414507773</v>
      </c>
      <c r="E52" s="297"/>
      <c r="F52" s="297">
        <f>[33]Ave.LOS!$E$52</f>
        <v>3.0370370370370372</v>
      </c>
      <c r="G52" s="297"/>
      <c r="H52" s="297">
        <f>[33]Ave.LOS!$D$52</f>
        <v>9.3652173913043484</v>
      </c>
      <c r="I52" s="297"/>
      <c r="J52" s="297">
        <f>[33]Ave.LOS!$G$52</f>
        <v>3.7938144329896906</v>
      </c>
      <c r="K52" s="297"/>
      <c r="L52" s="533">
        <f>[33]Ave.LOS!$H$52</f>
        <v>3.7109283196239717</v>
      </c>
      <c r="M52" s="297"/>
      <c r="N52" s="398">
        <f>[33]Ave.LOS!$C$52</f>
        <v>6.5666356582797585</v>
      </c>
    </row>
    <row r="53" spans="1:14">
      <c r="A53" s="357"/>
      <c r="B53" s="360" t="s">
        <v>4</v>
      </c>
      <c r="C53" s="305">
        <f>[33]Ave.LOS!$I$53</f>
        <v>4.333333333333333</v>
      </c>
      <c r="D53" s="297">
        <f>[33]Ave.LOS!$F$53</f>
        <v>6.7924528301886795</v>
      </c>
      <c r="E53" s="297"/>
      <c r="F53" s="297">
        <f>[33]Ave.LOS!$E$53</f>
        <v>5.3888888888888893</v>
      </c>
      <c r="G53" s="297"/>
      <c r="H53" s="297">
        <f>[33]Ave.LOS!$D$53</f>
        <v>5.2299465240641707</v>
      </c>
      <c r="I53" s="297"/>
      <c r="J53" s="297">
        <f>[33]Ave.LOS!$G$53</f>
        <v>3.8018018018018016</v>
      </c>
      <c r="K53" s="297"/>
      <c r="L53" s="533">
        <f>[33]Ave.LOS!$H$53</f>
        <v>3.7973921765295886</v>
      </c>
      <c r="M53" s="297"/>
      <c r="N53" s="398">
        <f>AVERAGE(C53:L53)</f>
        <v>4.8906359258010772</v>
      </c>
    </row>
    <row r="54" spans="1:14">
      <c r="A54" s="357"/>
      <c r="B54" s="360" t="s">
        <v>30</v>
      </c>
      <c r="C54" s="305">
        <f>[34]Ave.LOS!$I$54</f>
        <v>4.1515151515151514</v>
      </c>
      <c r="D54" s="297">
        <f>[34]Ave.LOS!$F$54</f>
        <v>7.0877598152424941</v>
      </c>
      <c r="E54" s="297"/>
      <c r="F54" s="297">
        <f>[34]Ave.LOS!$E$54</f>
        <v>4.72463768115942</v>
      </c>
      <c r="G54" s="297"/>
      <c r="H54" s="297">
        <f>[34]Ave.LOS!$D$54</f>
        <v>7.1263736263736268</v>
      </c>
      <c r="I54" s="297"/>
      <c r="J54" s="297">
        <f>[34]Ave.LOS!$G$54</f>
        <v>4.1768292682926829</v>
      </c>
      <c r="K54" s="297"/>
      <c r="L54" s="533">
        <f>[34]Ave.LOS!$H$54</f>
        <v>3.6907327586206895</v>
      </c>
      <c r="M54" s="297"/>
      <c r="N54" s="398">
        <f>[34]Ave.LOS!$C$54</f>
        <v>5.1596413835340114</v>
      </c>
    </row>
    <row r="55" spans="1:14">
      <c r="A55" s="357"/>
      <c r="B55" s="360" t="s">
        <v>36</v>
      </c>
      <c r="C55" s="305">
        <f>[34]Ave.LOS!$I$55</f>
        <v>21.403508771929825</v>
      </c>
      <c r="D55" s="297">
        <f>[34]Ave.LOS!$F$55</f>
        <v>6.7789789789789792</v>
      </c>
      <c r="E55" s="297"/>
      <c r="F55" s="297">
        <f>[34]Ave.LOS!$E$55</f>
        <v>4.5588235294117645</v>
      </c>
      <c r="G55" s="297"/>
      <c r="H55" s="297">
        <f>[34]Ave.LOS!$D$55</f>
        <v>6.7766990291262132</v>
      </c>
      <c r="I55" s="297"/>
      <c r="J55" s="297">
        <f>[34]Ave.LOS!$G$55</f>
        <v>4.5672823218997358</v>
      </c>
      <c r="K55" s="297"/>
      <c r="L55" s="533">
        <f>[34]Ave.LOS!$H$55</f>
        <v>3.7335907335907335</v>
      </c>
      <c r="M55" s="297"/>
      <c r="N55" s="398">
        <f>[34]Ave.LOS!$C$55</f>
        <v>7.969813894156208</v>
      </c>
    </row>
    <row r="56" spans="1:14">
      <c r="A56" s="357"/>
      <c r="B56" s="360" t="s">
        <v>37</v>
      </c>
      <c r="C56" s="305">
        <f>[34]Ave.LOS!$I$56</f>
        <v>6.6271186440677967</v>
      </c>
      <c r="D56" s="297">
        <f>[34]Ave.LOS!$F$56</f>
        <v>6.1874062968515746</v>
      </c>
      <c r="E56" s="297"/>
      <c r="F56" s="297">
        <f>[34]Ave.LOS!$E$56</f>
        <v>5.5081967213114753</v>
      </c>
      <c r="G56" s="297"/>
      <c r="H56" s="297">
        <f>[34]Ave.LOS!$D$56</f>
        <v>7.0147058823529411</v>
      </c>
      <c r="I56" s="297"/>
      <c r="J56" s="297">
        <f>[34]Ave.LOS!$G$56</f>
        <v>4.7571428571428571</v>
      </c>
      <c r="K56" s="297"/>
      <c r="L56" s="533">
        <f>[34]Ave.LOS!$H$56</f>
        <v>3.6885017421602786</v>
      </c>
      <c r="M56" s="297"/>
      <c r="N56" s="398">
        <f>[34]Ave.LOS!$C$56</f>
        <v>5.6305120239811544</v>
      </c>
    </row>
    <row r="57" spans="1:14">
      <c r="A57" s="357"/>
      <c r="B57" s="360" t="s">
        <v>31</v>
      </c>
      <c r="C57" s="305">
        <f>[33]Ave.LOS!$I$60</f>
        <v>3.918032786885246</v>
      </c>
      <c r="D57" s="297">
        <f>[33]Ave.LOS!$F$60</f>
        <v>6.5845552297165204</v>
      </c>
      <c r="E57" s="297"/>
      <c r="F57" s="297">
        <f>[33]Ave.LOS!$E$60</f>
        <v>6.9</v>
      </c>
      <c r="G57" s="297"/>
      <c r="H57" s="297">
        <f>[33]Ave.LOS!$D$60</f>
        <v>5.7245762711864403</v>
      </c>
      <c r="I57" s="297"/>
      <c r="J57" s="297">
        <f>[33]Ave.LOS!$G$60</f>
        <v>3.6412213740458017</v>
      </c>
      <c r="K57" s="297"/>
      <c r="L57" s="533">
        <f>[33]Ave.LOS!$H$60</f>
        <v>3.6561679790026247</v>
      </c>
      <c r="M57" s="297"/>
      <c r="N57" s="398">
        <f>[33]Ave.LOS!$C$60</f>
        <v>5.0707589401394388</v>
      </c>
    </row>
    <row r="58" spans="1:14">
      <c r="A58" s="357"/>
      <c r="B58" s="360" t="s">
        <v>38</v>
      </c>
      <c r="C58" s="305">
        <f>[35]Ave.LOS!$I$58</f>
        <v>3.578125</v>
      </c>
      <c r="D58" s="297">
        <f>[35]Ave.LOS!$F$58</f>
        <v>7.0428249436513903</v>
      </c>
      <c r="E58" s="297"/>
      <c r="F58" s="297">
        <f>[35]Ave.LOS!$E$58</f>
        <v>9.8977272727272734</v>
      </c>
      <c r="G58" s="297"/>
      <c r="H58" s="297">
        <f>[35]Ave.LOS!$D$58</f>
        <v>7.0479452054794525</v>
      </c>
      <c r="I58" s="297"/>
      <c r="J58" s="297">
        <f>[35]Ave.LOS!$G$58</f>
        <v>5.1764705882352944</v>
      </c>
      <c r="K58" s="297"/>
      <c r="L58" s="533">
        <f>[35]Ave.LOS!$H$58</f>
        <v>3.6474708171206225</v>
      </c>
      <c r="M58" s="297"/>
      <c r="N58" s="398">
        <f>[35]Ave.LOS!$C$58</f>
        <v>6.0650939712023382</v>
      </c>
    </row>
    <row r="59" spans="1:14">
      <c r="A59" s="357"/>
      <c r="B59" s="360" t="s">
        <v>39</v>
      </c>
      <c r="C59" s="305">
        <f>[35]Ave.LOS!$I$59</f>
        <v>6.1960784313725492</v>
      </c>
      <c r="D59" s="297">
        <f>[35]Ave.LOS!$F$59</f>
        <v>6.375342465753425</v>
      </c>
      <c r="E59" s="297"/>
      <c r="F59" s="297">
        <f>[35]Ave.LOS!$E$59</f>
        <v>14.243243243243244</v>
      </c>
      <c r="G59" s="297"/>
      <c r="H59" s="297">
        <f>[35]Ave.LOS!$D$59</f>
        <v>6.3525179856115104</v>
      </c>
      <c r="I59" s="297"/>
      <c r="J59" s="297">
        <f>[35]Ave.LOS!$G$59</f>
        <v>7.0811965811965809</v>
      </c>
      <c r="K59" s="297"/>
      <c r="L59" s="533">
        <f>[35]Ave.LOS!$H$59</f>
        <v>3.4103896103896103</v>
      </c>
      <c r="M59" s="297"/>
      <c r="N59" s="398">
        <f>[35]Ave.LOS!$C$59</f>
        <v>7.2764613862611531</v>
      </c>
    </row>
    <row r="60" spans="1:14">
      <c r="A60" s="357"/>
      <c r="B60" s="360" t="s">
        <v>32</v>
      </c>
      <c r="C60" s="305">
        <f>[35]Ave.LOS!$I$60</f>
        <v>30</v>
      </c>
      <c r="D60" s="297">
        <f>[35]Ave.LOS!$F$60</f>
        <v>5.8281627576403698</v>
      </c>
      <c r="E60" s="297"/>
      <c r="F60" s="297">
        <f>[35]Ave.LOS!$E$60</f>
        <v>40.902777777777779</v>
      </c>
      <c r="G60" s="297"/>
      <c r="H60" s="297">
        <f>[35]Ave.LOS!$D$60</f>
        <v>22.131336405529954</v>
      </c>
      <c r="I60" s="297"/>
      <c r="J60" s="297">
        <f>[35]Ave.LOS!$G$60</f>
        <v>7.4363119336803551</v>
      </c>
      <c r="K60" s="297"/>
      <c r="L60" s="533">
        <f>[35]Ave.LOS!$H$60</f>
        <v>6.0194559228650144</v>
      </c>
      <c r="M60" s="297"/>
      <c r="N60" s="398">
        <f>[35]Ave.LOS!$C$60</f>
        <v>14.837075654644421</v>
      </c>
    </row>
    <row r="61" spans="1:14" hidden="1">
      <c r="A61" s="357">
        <v>2019</v>
      </c>
      <c r="B61" s="360" t="s">
        <v>33</v>
      </c>
      <c r="C61" s="305">
        <f>6.7</f>
        <v>6.7</v>
      </c>
      <c r="D61" s="297">
        <f>6.9</f>
        <v>6.9</v>
      </c>
      <c r="E61" s="297"/>
      <c r="F61" s="297">
        <v>10.9</v>
      </c>
      <c r="G61" s="297"/>
      <c r="H61" s="297">
        <v>9.9</v>
      </c>
      <c r="I61" s="297"/>
      <c r="J61" s="297">
        <v>4.2</v>
      </c>
      <c r="K61" s="297"/>
      <c r="L61" s="533">
        <v>3.3</v>
      </c>
      <c r="M61" s="297"/>
      <c r="N61" s="398">
        <v>5.4</v>
      </c>
    </row>
    <row r="62" spans="1:14" hidden="1">
      <c r="A62" s="357">
        <v>2019</v>
      </c>
      <c r="B62" s="360" t="s">
        <v>34</v>
      </c>
      <c r="C62" s="305">
        <f>'[54]Annex 2'!$F$16</f>
        <v>7.25</v>
      </c>
      <c r="D62" s="297">
        <f>'[54]Annex 2'!$F$14</f>
        <v>10.482196078431373</v>
      </c>
      <c r="E62" s="297"/>
      <c r="F62" s="297">
        <f>'[54]Annex 2'!$F$13</f>
        <v>6.0178571428571432</v>
      </c>
      <c r="G62" s="297"/>
      <c r="H62" s="297">
        <f>'[54]Annex 2'!$F$12</f>
        <v>8.5121951219512191</v>
      </c>
      <c r="I62" s="297"/>
      <c r="J62" s="297">
        <f>'[54]Annex 2'!$F$17</f>
        <v>10.063112073112071</v>
      </c>
      <c r="K62" s="297"/>
      <c r="L62" s="533">
        <f>'[54]Annex 2'!$F$15</f>
        <v>6.3890940073842657</v>
      </c>
      <c r="M62" s="297"/>
      <c r="N62" s="398">
        <f>'[54]Annex 2'!$F$18</f>
        <v>8.8377693480508928</v>
      </c>
    </row>
    <row r="63" spans="1:14" s="291" customFormat="1" hidden="1">
      <c r="A63" s="559"/>
      <c r="B63" s="360" t="s">
        <v>29</v>
      </c>
      <c r="C63" s="305">
        <f>'[37]Province LOS'!$F$9</f>
        <v>6.354166666666667</v>
      </c>
      <c r="D63" s="297">
        <f>'[37]Province LOS'!$F$6</f>
        <v>4.2504063031900294</v>
      </c>
      <c r="E63" s="297"/>
      <c r="F63" s="297">
        <f>'[37]Province LOS'!$F$5</f>
        <v>3.925925925925926</v>
      </c>
      <c r="G63" s="297"/>
      <c r="H63" s="297">
        <f>'[37]Province LOS'!$F$4</f>
        <v>5.2714598997493738</v>
      </c>
      <c r="I63" s="297"/>
      <c r="J63" s="297">
        <f>'[37]Province LOS'!$F$7</f>
        <v>2.218537894853684</v>
      </c>
      <c r="K63" s="297"/>
      <c r="L63" s="533">
        <f>'[37]Province LOS'!$F$8</f>
        <v>3.6692911820260461</v>
      </c>
      <c r="M63" s="297"/>
      <c r="N63" s="398">
        <f>AVERAGE(C63:L63)</f>
        <v>4.2816313120686207</v>
      </c>
    </row>
    <row r="64" spans="1:14">
      <c r="A64" s="357">
        <v>2019</v>
      </c>
      <c r="B64" s="360" t="s">
        <v>35</v>
      </c>
      <c r="C64" s="305">
        <f>[55]LOS!$B$9</f>
        <v>4.7105263157894735</v>
      </c>
      <c r="D64" s="297">
        <f>[55]LOS!$B$6</f>
        <v>6.7718808193668529</v>
      </c>
      <c r="E64" s="297"/>
      <c r="F64" s="297">
        <f>[55]LOS!$B$5</f>
        <v>3.9223300970873787</v>
      </c>
      <c r="G64" s="297"/>
      <c r="H64" s="297">
        <f>[55]LOS!$B$4</f>
        <v>7.1496062992125982</v>
      </c>
      <c r="I64" s="297"/>
      <c r="J64" s="297">
        <f>[55]LOS!$B$7</f>
        <v>2.073469387755102</v>
      </c>
      <c r="K64" s="297"/>
      <c r="L64" s="533">
        <f>[55]LOS!$B$8</f>
        <v>2.9243027888446216</v>
      </c>
      <c r="M64" s="297"/>
      <c r="N64" s="398">
        <f>[55]LOS!$B$10</f>
        <v>4.4837799717912556</v>
      </c>
    </row>
    <row r="65" spans="1:14">
      <c r="A65" s="357">
        <v>2019</v>
      </c>
      <c r="B65" s="360" t="s">
        <v>4</v>
      </c>
      <c r="C65" s="305">
        <f>'[39]Annex 2'!$B$8:$B$8</f>
        <v>5.1086956521739131</v>
      </c>
      <c r="D65" s="297">
        <f>'[39]Annex 2'!$B$5</f>
        <v>6.7767083734359961</v>
      </c>
      <c r="E65" s="297"/>
      <c r="F65" s="297">
        <f>'[39]Annex 2'!$B$4</f>
        <v>3.5350318471337578</v>
      </c>
      <c r="G65" s="297"/>
      <c r="H65" s="297">
        <f>'[39]Annex 2'!$B$3</f>
        <v>8.1343283582089558</v>
      </c>
      <c r="I65" s="297"/>
      <c r="J65" s="297">
        <f>'[39]Annex 2'!$B$6</f>
        <v>2.5043731778425657</v>
      </c>
      <c r="K65" s="297"/>
      <c r="L65" s="533">
        <f>'[39]Annex 2'!$B$7</f>
        <v>3.1006423982869378</v>
      </c>
      <c r="M65" s="297"/>
      <c r="N65" s="398">
        <f>'[39]Annex 2'!$B$9</f>
        <v>4.7779871843196382</v>
      </c>
    </row>
    <row r="66" spans="1:14">
      <c r="A66" s="357">
        <v>2019</v>
      </c>
      <c r="B66" s="360" t="s">
        <v>30</v>
      </c>
      <c r="C66" s="305">
        <f>'[40]LOS by province'!$C$8</f>
        <v>4</v>
      </c>
      <c r="D66" s="297">
        <f>'[40]LOS by province'!$C$5</f>
        <v>7.168728908886389</v>
      </c>
      <c r="E66" s="297"/>
      <c r="F66" s="297">
        <f>'[40]LOS by province'!$C$4</f>
        <v>9.5042735042735043</v>
      </c>
      <c r="G66" s="297"/>
      <c r="H66" s="297">
        <f>'[40]LOS by province'!$C$3</f>
        <v>13.320261437908497</v>
      </c>
      <c r="I66" s="297"/>
      <c r="J66" s="297">
        <f>'[40]LOS by province'!$C$6</f>
        <v>1.9920634920634921</v>
      </c>
      <c r="K66" s="297"/>
      <c r="L66" s="533">
        <f>'[40]LOS by province'!$C$7</f>
        <v>6.3344226579520697</v>
      </c>
      <c r="M66" s="297"/>
      <c r="N66" s="398">
        <f>'[40]LOS by province'!$C$9</f>
        <v>6.520498392282958</v>
      </c>
    </row>
    <row r="67" spans="1:14">
      <c r="A67" s="357">
        <v>2019</v>
      </c>
      <c r="B67" s="360" t="s">
        <v>36</v>
      </c>
      <c r="C67" s="305">
        <f>[56]Annex2!$B$8</f>
        <v>5.3962264150943398</v>
      </c>
      <c r="D67" s="297">
        <f>[56]Annex2!$B$5</f>
        <v>8.7210554658050619</v>
      </c>
      <c r="E67" s="297"/>
      <c r="F67" s="297">
        <f>[56]Annex2!$B$4</f>
        <v>2.0987654320987654</v>
      </c>
      <c r="G67" s="297"/>
      <c r="H67" s="297">
        <f>[56]Annex2!$B$3</f>
        <v>5.844086021505376</v>
      </c>
      <c r="I67" s="297"/>
      <c r="J67" s="297">
        <f>[56]Annex2!$B$6</f>
        <v>2.7203107658157601</v>
      </c>
      <c r="K67" s="297"/>
      <c r="L67" s="533">
        <f>[56]Annex2!$B$7</f>
        <v>3.8413373860182372</v>
      </c>
      <c r="M67" s="297"/>
      <c r="N67" s="398">
        <f>[56]Annex2!$B$10</f>
        <v>5.6125344060978195</v>
      </c>
    </row>
    <row r="68" spans="1:14">
      <c r="A68" s="357"/>
      <c r="B68" s="360" t="s">
        <v>37</v>
      </c>
      <c r="C68" s="305">
        <f>'[41]Annex 2'!$B$8</f>
        <v>4.7105263157894735</v>
      </c>
      <c r="D68" s="297">
        <f>'[41]Annex 2'!$B$5</f>
        <v>6.7718808193668529</v>
      </c>
      <c r="E68" s="297"/>
      <c r="F68" s="297">
        <f>'[41]Annex 2'!$B$4</f>
        <v>3.9223300970873787</v>
      </c>
      <c r="G68" s="297"/>
      <c r="H68" s="297">
        <f>'[41]Annex 2'!$B$3</f>
        <v>7.1496062992125982</v>
      </c>
      <c r="I68" s="297"/>
      <c r="J68" s="297">
        <f>'[41]Annex 2'!$B$6</f>
        <v>2.073469387755102</v>
      </c>
      <c r="K68" s="297"/>
      <c r="L68" s="533">
        <f>'[41]Annex 2'!$B$7</f>
        <v>2.9243027888446216</v>
      </c>
      <c r="M68" s="297"/>
      <c r="N68" s="398">
        <f>'[41]Annex 2'!$B$10</f>
        <v>4.4837799717912556</v>
      </c>
    </row>
    <row r="69" spans="1:14">
      <c r="A69" s="357"/>
      <c r="B69" s="360" t="s">
        <v>31</v>
      </c>
      <c r="C69" s="305">
        <f>'[42]Annex 2'!$B$8</f>
        <v>7.4651162790697674</v>
      </c>
      <c r="D69" s="297">
        <f>'[42]Annex 2'!$B$5</f>
        <v>6.4361036639857012</v>
      </c>
      <c r="E69" s="297"/>
      <c r="F69" s="297">
        <f>'[42]Annex 2'!$B$4</f>
        <v>13.595744680851064</v>
      </c>
      <c r="G69" s="297"/>
      <c r="H69" s="297">
        <f>'[42]Annex 2'!$B$3</f>
        <v>7.442622950819672</v>
      </c>
      <c r="I69" s="297"/>
      <c r="J69" s="297">
        <f>'[42]Annex 2'!$B$6</f>
        <v>5.6223404255319149</v>
      </c>
      <c r="K69" s="297"/>
      <c r="L69" s="533">
        <f>'[42]Annex 2'!$B$7</f>
        <v>4.6876790830945563</v>
      </c>
      <c r="M69" s="297"/>
      <c r="N69" s="398">
        <f>'[42]Annex 2'!$B$9</f>
        <v>5.8431372549019605</v>
      </c>
    </row>
    <row r="70" spans="1:14">
      <c r="A70" s="357"/>
      <c r="B70" s="360" t="s">
        <v>38</v>
      </c>
      <c r="C70" s="305">
        <f>'[43]Annex 2'!$B$8</f>
        <v>7.6538461538461542</v>
      </c>
      <c r="D70" s="297">
        <f>'[43]Annex 2'!$B$5</f>
        <v>6.4404567699836868</v>
      </c>
      <c r="E70" s="297"/>
      <c r="F70" s="297">
        <f>'[43]Annex 2'!$B$4</f>
        <v>12.660377358490566</v>
      </c>
      <c r="G70" s="297"/>
      <c r="H70" s="297">
        <f>'[43]Annex 2'!$B$3</f>
        <v>7.419354838709677</v>
      </c>
      <c r="I70" s="297"/>
      <c r="J70" s="297">
        <f>'[43]Annex 2'!$B$6</f>
        <v>5.4258373205741623</v>
      </c>
      <c r="K70" s="297"/>
      <c r="L70" s="533">
        <f>'[43]Annex 2'!$B$7</f>
        <v>4.7000937207122773</v>
      </c>
      <c r="M70" s="297"/>
      <c r="N70" s="398">
        <f>'[43]Annex 2'!$B$9</f>
        <v>5.8394557823129256</v>
      </c>
    </row>
    <row r="71" spans="1:14">
      <c r="A71" s="357"/>
      <c r="B71" s="360" t="s">
        <v>39</v>
      </c>
      <c r="C71" s="305">
        <f>'[44]Annex 2'!$B$11</f>
        <v>4.4230769230769234</v>
      </c>
      <c r="D71" s="297">
        <f>'[44]Annex 2'!$B$8</f>
        <v>8.9645569620253163</v>
      </c>
      <c r="E71" s="297"/>
      <c r="F71" s="297">
        <f>'[44]Annex 2'!$B$7</f>
        <v>5.7368421052631575</v>
      </c>
      <c r="G71" s="297"/>
      <c r="H71" s="297">
        <f>'[44]Annex 2'!$B$6</f>
        <v>4.2117647058823531</v>
      </c>
      <c r="I71" s="297"/>
      <c r="J71" s="297">
        <f>'[44]Annex 2'!$B$9</f>
        <v>2.7419354838709675</v>
      </c>
      <c r="K71" s="297"/>
      <c r="L71" s="533">
        <f>'[44]Annex 2'!$B$10</f>
        <v>2.9268292682926829</v>
      </c>
      <c r="M71" s="297"/>
      <c r="N71" s="398">
        <f>'[44]Annex 2'!$B$12</f>
        <v>4.8341675747352335</v>
      </c>
    </row>
    <row r="72" spans="1:14">
      <c r="A72" s="357"/>
      <c r="B72" s="360" t="s">
        <v>32</v>
      </c>
      <c r="C72" s="305">
        <f>'[45]Annex 2'!$B$8</f>
        <v>3.1481481481481484</v>
      </c>
      <c r="D72" s="297">
        <f>'[45]Annex 2'!$B$5</f>
        <v>6.3937677053824364</v>
      </c>
      <c r="E72" s="297"/>
      <c r="F72" s="297">
        <f>'[45]Annex 2'!$B$4</f>
        <v>7.6521739130434785</v>
      </c>
      <c r="G72" s="297"/>
      <c r="H72" s="297">
        <f>'[45]Annex 2'!$B$3</f>
        <v>13.527777777777779</v>
      </c>
      <c r="I72" s="297"/>
      <c r="J72" s="297">
        <f>'[45]Annex 2'!$B$6</f>
        <v>1.8151260504201681</v>
      </c>
      <c r="K72" s="297"/>
      <c r="L72" s="533">
        <f>'[45]Annex 2'!$B$7</f>
        <v>7.4724832214765105</v>
      </c>
      <c r="M72" s="297"/>
      <c r="N72" s="398">
        <f>'[45]Annex 2'!$B$9</f>
        <v>6.6242555495397939</v>
      </c>
    </row>
    <row r="73" spans="1:14" ht="14.25" customHeight="1">
      <c r="A73" s="359">
        <v>2020</v>
      </c>
      <c r="B73" s="360" t="s">
        <v>33</v>
      </c>
      <c r="C73" s="305">
        <f>'[46]Annex 2'!$B$7</f>
        <v>10.418181818181818</v>
      </c>
      <c r="D73" s="297">
        <f>'[46]Annex 2'!$B$4</f>
        <v>7.4645441389290879</v>
      </c>
      <c r="E73" s="297"/>
      <c r="F73" s="297">
        <f>'[46]Annex 2'!$B$3</f>
        <v>13.914893617021276</v>
      </c>
      <c r="G73" s="297"/>
      <c r="H73" s="297">
        <f>'[46]Annex 2'!$B$2</f>
        <v>5.9056603773584904</v>
      </c>
      <c r="I73" s="297"/>
      <c r="J73" s="297">
        <f>'[46]Annex 2'!$B$5</f>
        <v>2.8085714285714287</v>
      </c>
      <c r="K73" s="297"/>
      <c r="L73" s="533">
        <f>'[46]Annex 2'!$B$6</f>
        <v>3.4160475482912331</v>
      </c>
      <c r="M73" s="297"/>
      <c r="N73" s="398">
        <f>'[46]Annex 2'!$B$8</f>
        <v>7.3213164880588879</v>
      </c>
    </row>
    <row r="74" spans="1:14" ht="14.25" customHeight="1">
      <c r="A74" s="359"/>
      <c r="B74" s="360" t="s">
        <v>34</v>
      </c>
      <c r="C74" s="305">
        <f>'[47]Annex 2'!$B$10</f>
        <v>5.1142857142857139</v>
      </c>
      <c r="D74" s="297">
        <f>'[47]Annex 2'!$B$7</f>
        <v>9.2119487908961588</v>
      </c>
      <c r="E74" s="297"/>
      <c r="F74" s="297">
        <f>'[47]Annex 2'!$B$6</f>
        <v>4.7826086956521738</v>
      </c>
      <c r="G74" s="297"/>
      <c r="H74" s="297">
        <f>'[47]Annex 2'!$B$5</f>
        <v>8</v>
      </c>
      <c r="I74" s="297"/>
      <c r="J74" s="297">
        <f>'[47]Annex 2'!$B$8</f>
        <v>4.5999999999999996</v>
      </c>
      <c r="K74" s="297"/>
      <c r="L74" s="533">
        <f>'[47]Annex 2'!$B$9</f>
        <v>3.3570247933884296</v>
      </c>
      <c r="M74" s="312"/>
      <c r="N74" s="398">
        <f>'[47]Annex 2'!$B$11</f>
        <v>5.8443113323704123</v>
      </c>
    </row>
    <row r="75" spans="1:14" ht="14.25" customHeight="1">
      <c r="A75" s="359"/>
      <c r="B75" s="360" t="s">
        <v>29</v>
      </c>
      <c r="C75" s="305">
        <f>'[48]Annex 2'!$B$10</f>
        <v>10.75</v>
      </c>
      <c r="D75" s="297">
        <f>'[48]Annex 2'!$B$7</f>
        <v>7.1958041958041958</v>
      </c>
      <c r="E75" s="297"/>
      <c r="F75" s="297">
        <f>'[48]Annex 2'!$B$6</f>
        <v>17.649999999999999</v>
      </c>
      <c r="G75" s="297"/>
      <c r="H75" s="297">
        <f>'[48]Annex 2'!$B$5</f>
        <v>23.089552238805972</v>
      </c>
      <c r="I75" s="297"/>
      <c r="J75" s="297">
        <f>'[48]Annex 2'!$B$8</f>
        <v>3.9401197604790421</v>
      </c>
      <c r="K75" s="297"/>
      <c r="L75" s="533">
        <f>'[48]Annex 2'!$B$9</f>
        <v>7.220447284345048</v>
      </c>
      <c r="M75" s="297"/>
      <c r="N75" s="398">
        <f>'[48]Annex 2'!$B$11</f>
        <v>11.640987246572374</v>
      </c>
    </row>
    <row r="76" spans="1:14" ht="14.25" customHeight="1">
      <c r="A76" s="359"/>
      <c r="B76" s="360" t="s">
        <v>35</v>
      </c>
      <c r="C76" s="305">
        <f>'[49]Annex 2'!$B$6</f>
        <v>11.785714285714286</v>
      </c>
      <c r="D76" s="297">
        <f>'[49]Annex 2'!$B$3</f>
        <v>10.231707317073171</v>
      </c>
      <c r="E76" s="297"/>
      <c r="F76" s="150">
        <f>0</f>
        <v>0</v>
      </c>
      <c r="G76" s="297"/>
      <c r="H76" s="297">
        <f>'[49]Annex 2'!$B$2</f>
        <v>27.210526315789473</v>
      </c>
      <c r="I76" s="297"/>
      <c r="J76" s="297">
        <f>'[49]Annex 2'!$B$4</f>
        <v>2</v>
      </c>
      <c r="K76" s="297"/>
      <c r="L76" s="533">
        <f>'[49]Annex 2'!$B$5</f>
        <v>13.971428571428572</v>
      </c>
      <c r="M76" s="312"/>
      <c r="N76" s="398">
        <f>'[49]Annex 2'!$B$7</f>
        <v>13.039875298001101</v>
      </c>
    </row>
    <row r="77" spans="1:14" ht="14.25" customHeight="1">
      <c r="A77" s="359"/>
      <c r="B77" s="360" t="s">
        <v>4</v>
      </c>
      <c r="C77" s="305">
        <f>'[50]Annex 2'!$B$6</f>
        <v>13.2</v>
      </c>
      <c r="D77" s="297">
        <f>'[50]Annex 2'!$B$4</f>
        <v>23.076923076923077</v>
      </c>
      <c r="E77" s="297"/>
      <c r="F77" s="137">
        <f>'[50]Annex 2'!$B$3</f>
        <v>9</v>
      </c>
      <c r="G77" s="297"/>
      <c r="H77" s="297">
        <f>'[50]Annex 2'!$B$2</f>
        <v>12</v>
      </c>
      <c r="I77" s="297"/>
      <c r="J77" s="297" t="s">
        <v>306</v>
      </c>
      <c r="K77" s="297"/>
      <c r="L77" s="533">
        <f>'[50]Annex 2'!$B$5</f>
        <v>18.75</v>
      </c>
      <c r="M77" s="312"/>
      <c r="N77" s="398">
        <f>'[50]Annex 2'!$B$8</f>
        <v>15.205384615384617</v>
      </c>
    </row>
    <row r="78" spans="1:14" ht="14.25" customHeight="1">
      <c r="A78" s="359"/>
      <c r="B78" s="360" t="s">
        <v>30</v>
      </c>
      <c r="C78" s="305">
        <f>'[51]Annex 2'!$B$10</f>
        <v>15</v>
      </c>
      <c r="D78" s="297">
        <f>'[51]Annex 2'!$B$7</f>
        <v>13.136363636363637</v>
      </c>
      <c r="E78" s="297"/>
      <c r="F78" s="137">
        <f>'[51]Annex 2'!$B$6</f>
        <v>12.5</v>
      </c>
      <c r="G78" s="297"/>
      <c r="H78" s="297">
        <f>'[51]Annex 2'!$B$5</f>
        <v>8</v>
      </c>
      <c r="I78" s="297"/>
      <c r="J78" s="297">
        <f>'[51]Annex 2'!$B$8</f>
        <v>3</v>
      </c>
      <c r="K78" s="297"/>
      <c r="L78" s="533">
        <f>'[51]Annex 2'!$B$9</f>
        <v>7.7</v>
      </c>
      <c r="M78" s="312"/>
      <c r="N78" s="398">
        <f>'[51]Annex 2'!$B$11</f>
        <v>9.8893939393939405</v>
      </c>
    </row>
    <row r="79" spans="1:14" ht="14.25" customHeight="1">
      <c r="A79" s="534"/>
      <c r="B79" s="361" t="s">
        <v>36</v>
      </c>
      <c r="C79" s="584" t="s">
        <v>311</v>
      </c>
      <c r="D79" s="312">
        <f>'[52]Annex 2'!$B$5</f>
        <v>5.6</v>
      </c>
      <c r="E79" s="312"/>
      <c r="F79" s="562" t="s">
        <v>308</v>
      </c>
      <c r="G79" s="312"/>
      <c r="H79" s="312">
        <f>'[52]Annex 2'!$B$4</f>
        <v>15</v>
      </c>
      <c r="I79" s="312"/>
      <c r="J79" s="312" t="s">
        <v>306</v>
      </c>
      <c r="K79" s="312"/>
      <c r="L79" s="620" t="s">
        <v>306</v>
      </c>
      <c r="M79" s="312"/>
      <c r="N79" s="620">
        <f>'[52]Annex 2'!$B$7</f>
        <v>10.3</v>
      </c>
    </row>
    <row r="80" spans="1:14">
      <c r="A80" s="112" t="s">
        <v>82</v>
      </c>
      <c r="B80" s="113" t="s">
        <v>125</v>
      </c>
    </row>
    <row r="81" spans="1:20" s="271" customFormat="1" ht="13.8">
      <c r="A81" s="268"/>
      <c r="B81" s="50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</row>
    <row r="82" spans="1:20">
      <c r="C82" s="311" t="e">
        <f>C79-C67</f>
        <v>#VALUE!</v>
      </c>
      <c r="D82" s="311">
        <f t="shared" ref="D82:N82" si="1">D79-D67</f>
        <v>-3.1210554658050622</v>
      </c>
      <c r="E82" s="311">
        <f t="shared" si="1"/>
        <v>0</v>
      </c>
      <c r="F82" s="311" t="e">
        <f>F79-F67</f>
        <v>#VALUE!</v>
      </c>
      <c r="G82" s="311">
        <f t="shared" si="1"/>
        <v>0</v>
      </c>
      <c r="H82" s="311">
        <f t="shared" si="1"/>
        <v>9.155913978494624</v>
      </c>
      <c r="I82" s="311">
        <f t="shared" si="1"/>
        <v>0</v>
      </c>
      <c r="J82" s="311" t="e">
        <f t="shared" si="1"/>
        <v>#VALUE!</v>
      </c>
      <c r="K82" s="311">
        <f t="shared" si="1"/>
        <v>0</v>
      </c>
      <c r="L82" s="311" t="e">
        <f t="shared" si="1"/>
        <v>#VALUE!</v>
      </c>
      <c r="M82" s="311">
        <f t="shared" si="1"/>
        <v>0</v>
      </c>
      <c r="N82" s="311">
        <f t="shared" si="1"/>
        <v>4.6874655939021812</v>
      </c>
    </row>
    <row r="83" spans="1:20">
      <c r="C83" s="308" t="e">
        <f>C79-C78</f>
        <v>#VALUE!</v>
      </c>
      <c r="D83" s="308">
        <f>D79-D78</f>
        <v>-7.536363636363637</v>
      </c>
      <c r="E83" s="308">
        <f t="shared" ref="E83:M83" si="2">E79-E78</f>
        <v>0</v>
      </c>
      <c r="F83" s="308" t="e">
        <f t="shared" si="2"/>
        <v>#VALUE!</v>
      </c>
      <c r="G83" s="308">
        <f t="shared" si="2"/>
        <v>0</v>
      </c>
      <c r="H83" s="308">
        <f t="shared" si="2"/>
        <v>7</v>
      </c>
      <c r="I83" s="308">
        <f t="shared" si="2"/>
        <v>0</v>
      </c>
      <c r="J83" s="308" t="e">
        <f t="shared" si="2"/>
        <v>#VALUE!</v>
      </c>
      <c r="K83" s="308">
        <f t="shared" si="2"/>
        <v>0</v>
      </c>
      <c r="L83" s="308" t="e">
        <f t="shared" si="2"/>
        <v>#VALUE!</v>
      </c>
      <c r="M83" s="308">
        <f t="shared" si="2"/>
        <v>0</v>
      </c>
      <c r="N83" s="308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11</vt:i4>
      </vt:variant>
    </vt:vector>
  </HeadingPairs>
  <TitlesOfParts>
    <vt:vector size="32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7. visitors usual residence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 visit LOS'!Print_Area</vt:lpstr>
      <vt:lpstr>'Tab 5.Visitors LOS'!Print_Area</vt:lpstr>
      <vt:lpstr>'Tab 6 visitors age'!Print_Area</vt:lpstr>
      <vt:lpstr>'Tab 6.Visitors AGE'!Print_Area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User</cp:lastModifiedBy>
  <cp:lastPrinted>2026-04-06T23:19:21Z</cp:lastPrinted>
  <dcterms:created xsi:type="dcterms:W3CDTF">1998-11-05T22:59:49Z</dcterms:created>
  <dcterms:modified xsi:type="dcterms:W3CDTF">2026-04-06T23:31:39Z</dcterms:modified>
</cp:coreProperties>
</file>